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24226"/>
  <mc:AlternateContent xmlns:mc="http://schemas.openxmlformats.org/markup-compatibility/2006">
    <mc:Choice Requires="x15">
      <x15ac:absPath xmlns:x15ac="http://schemas.microsoft.com/office/spreadsheetml/2010/11/ac" url="K:\Sales\Sales_General\2026\Price lists 2026\# JW Dealerzone\Geupload\"/>
    </mc:Choice>
  </mc:AlternateContent>
  <xr:revisionPtr revIDLastSave="0" documentId="13_ncr:1_{218D829D-88EC-41DD-A159-A77640E4491E}" xr6:coauthVersionLast="47" xr6:coauthVersionMax="47" xr10:uidLastSave="{00000000-0000-0000-0000-000000000000}"/>
  <bookViews>
    <workbookView xWindow="-76920" yWindow="-2460" windowWidth="38640" windowHeight="21120" xr2:uid="{00000000-000D-0000-FFFF-FFFF00000000}"/>
  </bookViews>
  <sheets>
    <sheet name="Go-Karts pricelist 2026" sheetId="18" r:id="rId1"/>
    <sheet name="Ride-Ons pricelist 2026" sheetId="16" r:id="rId2"/>
    <sheet name="Trampoline pricelist 2026" sheetId="20" r:id="rId3"/>
    <sheet name="Play pricelist 2026" sheetId="21" r:id="rId4"/>
    <sheet name="Sports pricelist 2026" sheetId="15" r:id="rId5"/>
    <sheet name="Pricelist Spareparts 2026" sheetId="19" r:id="rId6"/>
    <sheet name="$13.000 Container" sheetId="13" state="hidden" r:id="rId7"/>
    <sheet name="$15.000 Container" sheetId="14" state="hidden" r:id="rId8"/>
    <sheet name="Nieuw AX" sheetId="10" state="hidden" r:id="rId9"/>
    <sheet name="EAN" sheetId="11" state="hidden" r:id="rId10"/>
    <sheet name="Mastersheet" sheetId="12" state="hidden" r:id="rId11"/>
    <sheet name="Sheet1" sheetId="9" state="hidden" r:id="rId12"/>
  </sheets>
  <definedNames>
    <definedName name="_xlnm._FilterDatabase" localSheetId="0" hidden="1">'Go-Karts pricelist 2026'!$A$6:$D$194</definedName>
    <definedName name="_xlnm._FilterDatabase" localSheetId="3" hidden="1">'Play pricelist 2026'!$A$7:$D$68</definedName>
    <definedName name="_xlnm._FilterDatabase" localSheetId="5" hidden="1">'Pricelist Spareparts 2026'!$A$4:$D$1822</definedName>
    <definedName name="_xlnm._FilterDatabase" localSheetId="1" hidden="1">'Ride-Ons pricelist 2026'!$A$7:$D$107</definedName>
    <definedName name="_xlnm._FilterDatabase" localSheetId="4" hidden="1">'Sports pricelist 2026'!$A$7:$D$19</definedName>
    <definedName name="_xlnm._FilterDatabase" localSheetId="2" hidden="1">'Trampoline pricelist 2026'!$A$4:$D$258</definedName>
    <definedName name="_xlnm.Print_Area" localSheetId="6">'$13.000 Container'!$A$1:$C$48</definedName>
    <definedName name="_xlnm.Print_Area" localSheetId="7">'$15.000 Container'!$A$1:$C$48</definedName>
    <definedName name="_xlnm.Print_Area" localSheetId="0">'Go-Karts pricelist 2026'!$A$1:$D$206</definedName>
    <definedName name="_xlnm.Print_Area" localSheetId="3">'Play pricelist 2026'!$A$1:$D$77</definedName>
    <definedName name="_xlnm.Print_Area" localSheetId="1">'Ride-Ons pricelist 2026'!$A$1:$D$118</definedName>
    <definedName name="_xlnm.Print_Area" localSheetId="4">'Sports pricelist 2026'!$A$1:$D$43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12" i="13" l="1"/>
  <c r="AD12" i="14"/>
  <c r="AA12" i="14"/>
  <c r="AA37" i="14"/>
  <c r="AA39" i="14"/>
  <c r="AA43" i="14"/>
  <c r="AA36" i="14"/>
  <c r="AA33" i="14"/>
  <c r="AA21" i="14"/>
  <c r="AA22" i="14"/>
  <c r="AA23" i="14"/>
  <c r="AA24" i="14"/>
  <c r="AA25" i="14"/>
  <c r="AA26" i="14"/>
  <c r="AA27" i="14"/>
  <c r="AD27" i="14" s="1"/>
  <c r="AE27" i="14" s="1"/>
  <c r="AA28" i="14"/>
  <c r="AA20" i="14"/>
  <c r="AA13" i="14"/>
  <c r="AA14" i="14"/>
  <c r="AA15" i="14"/>
  <c r="AA16" i="14"/>
  <c r="AA17" i="14"/>
  <c r="AA18" i="14"/>
  <c r="AC43" i="14"/>
  <c r="Z43" i="14"/>
  <c r="AC42" i="14"/>
  <c r="AA42" i="14" s="1"/>
  <c r="Z42" i="14"/>
  <c r="AC41" i="14"/>
  <c r="AA41" i="14" s="1"/>
  <c r="Z41" i="14"/>
  <c r="AC40" i="14"/>
  <c r="AA40" i="14" s="1"/>
  <c r="Z40" i="14"/>
  <c r="AC39" i="14"/>
  <c r="Z39" i="14"/>
  <c r="AC38" i="14"/>
  <c r="AA38" i="14" s="1"/>
  <c r="Z38" i="14"/>
  <c r="AC37" i="14"/>
  <c r="Z37" i="14"/>
  <c r="AC36" i="14"/>
  <c r="Z36" i="14"/>
  <c r="AC34" i="14"/>
  <c r="AA34" i="14" s="1"/>
  <c r="Z34" i="14"/>
  <c r="AC33" i="14"/>
  <c r="Z33" i="14"/>
  <c r="AC31" i="14"/>
  <c r="AC30" i="14"/>
  <c r="AC29" i="14"/>
  <c r="AC28" i="14"/>
  <c r="Z28" i="14"/>
  <c r="AC27" i="14"/>
  <c r="Z27" i="14"/>
  <c r="AC26" i="14"/>
  <c r="AD26" i="14" s="1"/>
  <c r="AE26" i="14" s="1"/>
  <c r="Z26" i="14"/>
  <c r="AC25" i="14"/>
  <c r="AD25" i="14"/>
  <c r="AE25" i="14" s="1"/>
  <c r="Z25" i="14"/>
  <c r="AC24" i="14"/>
  <c r="AD24" i="14" s="1"/>
  <c r="AE24" i="14" s="1"/>
  <c r="Z24" i="14"/>
  <c r="AC23" i="14"/>
  <c r="Z23" i="14"/>
  <c r="AC22" i="14"/>
  <c r="Z22" i="14"/>
  <c r="AC21" i="14"/>
  <c r="AD21" i="14"/>
  <c r="AE21" i="14" s="1"/>
  <c r="Z21" i="14"/>
  <c r="AC20" i="14"/>
  <c r="AD20" i="14" s="1"/>
  <c r="AE20" i="14" s="1"/>
  <c r="Z20" i="14"/>
  <c r="AD18" i="14"/>
  <c r="AE18" i="14" s="1"/>
  <c r="AC18" i="14"/>
  <c r="Z18" i="14"/>
  <c r="AC17" i="14"/>
  <c r="AD17" i="14" s="1"/>
  <c r="AE17" i="14" s="1"/>
  <c r="Z17" i="14"/>
  <c r="AC16" i="14"/>
  <c r="AD16" i="14"/>
  <c r="AE16" i="14" s="1"/>
  <c r="Z16" i="14"/>
  <c r="AC15" i="14"/>
  <c r="AD15" i="14" s="1"/>
  <c r="AE15" i="14" s="1"/>
  <c r="Z15" i="14"/>
  <c r="AC14" i="14"/>
  <c r="AD14" i="14" s="1"/>
  <c r="AE14" i="14" s="1"/>
  <c r="Z14" i="14"/>
  <c r="AC13" i="14"/>
  <c r="AD13" i="14" s="1"/>
  <c r="AE13" i="14" s="1"/>
  <c r="Z13" i="14"/>
  <c r="AC12" i="14"/>
  <c r="AE12" i="14"/>
  <c r="Z12" i="14"/>
  <c r="AC10" i="14"/>
  <c r="AC9" i="14"/>
  <c r="AC31" i="13"/>
  <c r="AC30" i="13"/>
  <c r="AC29" i="13"/>
  <c r="AC9" i="13"/>
  <c r="AC10" i="13"/>
  <c r="Q31" i="13"/>
  <c r="Q30" i="13"/>
  <c r="Q29" i="13"/>
  <c r="Q31" i="14"/>
  <c r="Q30" i="14"/>
  <c r="Q29" i="14"/>
  <c r="R29" i="14" s="1"/>
  <c r="T29" i="14" s="1"/>
  <c r="AA43" i="13"/>
  <c r="AA39" i="13"/>
  <c r="AA36" i="13"/>
  <c r="AA34" i="13"/>
  <c r="U43" i="14"/>
  <c r="T43" i="14"/>
  <c r="S43" i="14"/>
  <c r="R43" i="14"/>
  <c r="P43" i="14"/>
  <c r="N43" i="14"/>
  <c r="L43" i="14"/>
  <c r="K43" i="14"/>
  <c r="J43" i="14"/>
  <c r="I43" i="14"/>
  <c r="H43" i="14"/>
  <c r="E43" i="14"/>
  <c r="S42" i="14"/>
  <c r="R42" i="14"/>
  <c r="P42" i="14"/>
  <c r="N42" i="14"/>
  <c r="T42" i="14" s="1"/>
  <c r="H42" i="14"/>
  <c r="I42" i="14" s="1"/>
  <c r="E42" i="14"/>
  <c r="T41" i="14"/>
  <c r="U41" i="14" s="1"/>
  <c r="S41" i="14"/>
  <c r="R41" i="14"/>
  <c r="P41" i="14"/>
  <c r="N41" i="14"/>
  <c r="I41" i="14"/>
  <c r="H41" i="14"/>
  <c r="E41" i="14"/>
  <c r="S40" i="14"/>
  <c r="R40" i="14"/>
  <c r="P40" i="14"/>
  <c r="N40" i="14"/>
  <c r="T40" i="14" s="1"/>
  <c r="U40" i="14" s="1"/>
  <c r="H40" i="14"/>
  <c r="I40" i="14" s="1"/>
  <c r="E40" i="14"/>
  <c r="T39" i="14"/>
  <c r="U39" i="14" s="1"/>
  <c r="S39" i="14"/>
  <c r="R39" i="14"/>
  <c r="P39" i="14"/>
  <c r="N39" i="14"/>
  <c r="I39" i="14"/>
  <c r="H39" i="14"/>
  <c r="E39" i="14"/>
  <c r="S38" i="14"/>
  <c r="R38" i="14"/>
  <c r="P38" i="14"/>
  <c r="N38" i="14"/>
  <c r="T38" i="14" s="1"/>
  <c r="U38" i="14" s="1"/>
  <c r="L38" i="14"/>
  <c r="K38" i="14"/>
  <c r="J38" i="14"/>
  <c r="I38" i="14"/>
  <c r="H38" i="14"/>
  <c r="E38" i="14"/>
  <c r="S37" i="14"/>
  <c r="R37" i="14"/>
  <c r="T37" i="14" s="1"/>
  <c r="P37" i="14"/>
  <c r="N37" i="14"/>
  <c r="L37" i="14"/>
  <c r="K37" i="14"/>
  <c r="J37" i="14"/>
  <c r="H37" i="14"/>
  <c r="E37" i="14"/>
  <c r="I37" i="14" s="1"/>
  <c r="S36" i="14"/>
  <c r="R36" i="14"/>
  <c r="T36" i="14" s="1"/>
  <c r="P36" i="14"/>
  <c r="N36" i="14"/>
  <c r="L36" i="14"/>
  <c r="K36" i="14"/>
  <c r="J36" i="14"/>
  <c r="H36" i="14"/>
  <c r="E36" i="14"/>
  <c r="I36" i="14" s="1"/>
  <c r="U34" i="14"/>
  <c r="T34" i="14"/>
  <c r="S34" i="14"/>
  <c r="R34" i="14"/>
  <c r="P34" i="14"/>
  <c r="N34" i="14"/>
  <c r="L34" i="14"/>
  <c r="K34" i="14"/>
  <c r="J34" i="14"/>
  <c r="I34" i="14"/>
  <c r="H34" i="14"/>
  <c r="E34" i="14"/>
  <c r="T33" i="14"/>
  <c r="U33" i="14" s="1"/>
  <c r="S33" i="14"/>
  <c r="R33" i="14"/>
  <c r="P33" i="14" s="1"/>
  <c r="N33" i="14"/>
  <c r="L33" i="14"/>
  <c r="K33" i="14"/>
  <c r="J33" i="14"/>
  <c r="I33" i="14"/>
  <c r="H33" i="14"/>
  <c r="E33" i="14"/>
  <c r="R31" i="14"/>
  <c r="N31" i="14"/>
  <c r="R30" i="14"/>
  <c r="N30" i="14"/>
  <c r="N29" i="14"/>
  <c r="S28" i="14"/>
  <c r="R28" i="14"/>
  <c r="T28" i="14" s="1"/>
  <c r="U28" i="14" s="1"/>
  <c r="P28" i="14"/>
  <c r="N28" i="14"/>
  <c r="L28" i="14"/>
  <c r="K28" i="14"/>
  <c r="J28" i="14"/>
  <c r="H28" i="14"/>
  <c r="E28" i="14"/>
  <c r="I28" i="14" s="1"/>
  <c r="S27" i="14"/>
  <c r="R27" i="14"/>
  <c r="P27" i="14"/>
  <c r="N27" i="14"/>
  <c r="T27" i="14" s="1"/>
  <c r="U27" i="14" s="1"/>
  <c r="I27" i="14"/>
  <c r="H27" i="14"/>
  <c r="E27" i="14"/>
  <c r="T26" i="14"/>
  <c r="S26" i="14"/>
  <c r="R26" i="14"/>
  <c r="P26" i="14"/>
  <c r="N26" i="14"/>
  <c r="H26" i="14"/>
  <c r="E26" i="14"/>
  <c r="I26" i="14" s="1"/>
  <c r="U26" i="14" s="1"/>
  <c r="S25" i="14"/>
  <c r="R25" i="14"/>
  <c r="T25" i="14" s="1"/>
  <c r="U25" i="14" s="1"/>
  <c r="P25" i="14"/>
  <c r="N25" i="14"/>
  <c r="L25" i="14"/>
  <c r="K25" i="14"/>
  <c r="J25" i="14"/>
  <c r="H25" i="14"/>
  <c r="E25" i="14"/>
  <c r="I25" i="14" s="1"/>
  <c r="T24" i="14"/>
  <c r="U24" i="14" s="1"/>
  <c r="S24" i="14"/>
  <c r="R24" i="14"/>
  <c r="P24" i="14"/>
  <c r="N24" i="14"/>
  <c r="L24" i="14"/>
  <c r="K24" i="14"/>
  <c r="J24" i="14"/>
  <c r="I24" i="14"/>
  <c r="H24" i="14"/>
  <c r="E24" i="14"/>
  <c r="U23" i="14"/>
  <c r="T23" i="14"/>
  <c r="S23" i="14"/>
  <c r="R23" i="14"/>
  <c r="P23" i="14"/>
  <c r="N23" i="14"/>
  <c r="L23" i="14"/>
  <c r="K23" i="14"/>
  <c r="J23" i="14"/>
  <c r="I23" i="14"/>
  <c r="H23" i="14"/>
  <c r="E23" i="14"/>
  <c r="S22" i="14"/>
  <c r="R22" i="14"/>
  <c r="P22" i="14"/>
  <c r="N22" i="14"/>
  <c r="T22" i="14" s="1"/>
  <c r="U22" i="14" s="1"/>
  <c r="L22" i="14"/>
  <c r="K22" i="14"/>
  <c r="J22" i="14"/>
  <c r="H22" i="14"/>
  <c r="E22" i="14"/>
  <c r="I22" i="14" s="1"/>
  <c r="S21" i="14"/>
  <c r="R21" i="14"/>
  <c r="P21" i="14"/>
  <c r="N21" i="14"/>
  <c r="T21" i="14" s="1"/>
  <c r="U21" i="14" s="1"/>
  <c r="L21" i="14"/>
  <c r="K21" i="14"/>
  <c r="J21" i="14"/>
  <c r="H21" i="14"/>
  <c r="E21" i="14"/>
  <c r="I21" i="14" s="1"/>
  <c r="S20" i="14"/>
  <c r="R20" i="14"/>
  <c r="P20" i="14"/>
  <c r="N20" i="14"/>
  <c r="L20" i="14"/>
  <c r="K20" i="14"/>
  <c r="J20" i="14"/>
  <c r="H20" i="14"/>
  <c r="E20" i="14"/>
  <c r="I20" i="14" s="1"/>
  <c r="S18" i="14"/>
  <c r="R18" i="14"/>
  <c r="P18" i="14"/>
  <c r="N18" i="14"/>
  <c r="T18" i="14" s="1"/>
  <c r="U18" i="14" s="1"/>
  <c r="I18" i="14"/>
  <c r="H18" i="14"/>
  <c r="E18" i="14"/>
  <c r="S17" i="14"/>
  <c r="R17" i="14"/>
  <c r="P17" i="14"/>
  <c r="N17" i="14"/>
  <c r="T17" i="14" s="1"/>
  <c r="U17" i="14" s="1"/>
  <c r="H17" i="14"/>
  <c r="I17" i="14" s="1"/>
  <c r="E17" i="14"/>
  <c r="T16" i="14"/>
  <c r="U16" i="14" s="1"/>
  <c r="S16" i="14"/>
  <c r="R16" i="14"/>
  <c r="P16" i="14"/>
  <c r="N16" i="14"/>
  <c r="H16" i="14"/>
  <c r="E16" i="14"/>
  <c r="I16" i="14" s="1"/>
  <c r="S15" i="14"/>
  <c r="R15" i="14"/>
  <c r="T15" i="14" s="1"/>
  <c r="U15" i="14" s="1"/>
  <c r="P15" i="14"/>
  <c r="N15" i="14"/>
  <c r="H15" i="14"/>
  <c r="E15" i="14"/>
  <c r="I15" i="14" s="1"/>
  <c r="S14" i="14"/>
  <c r="R14" i="14"/>
  <c r="P14" i="14"/>
  <c r="N14" i="14"/>
  <c r="I14" i="14"/>
  <c r="H14" i="14"/>
  <c r="E14" i="14"/>
  <c r="C14" i="14"/>
  <c r="S13" i="14"/>
  <c r="R13" i="14"/>
  <c r="P13" i="14"/>
  <c r="N13" i="14"/>
  <c r="T13" i="14" s="1"/>
  <c r="U13" i="14" s="1"/>
  <c r="I13" i="14"/>
  <c r="H13" i="14"/>
  <c r="E13" i="14"/>
  <c r="C13" i="14"/>
  <c r="S12" i="14"/>
  <c r="R12" i="14"/>
  <c r="P12" i="14"/>
  <c r="N12" i="14"/>
  <c r="T12" i="14" s="1"/>
  <c r="U12" i="14" s="1"/>
  <c r="H12" i="14"/>
  <c r="I12" i="14" s="1"/>
  <c r="E12" i="14"/>
  <c r="R10" i="14"/>
  <c r="N10" i="14"/>
  <c r="T10" i="14" s="1"/>
  <c r="R9" i="14"/>
  <c r="N9" i="14"/>
  <c r="T9" i="14" s="1"/>
  <c r="S43" i="13"/>
  <c r="Z43" i="13" s="1"/>
  <c r="R43" i="13"/>
  <c r="P43" i="13"/>
  <c r="N43" i="13"/>
  <c r="AC43" i="13" s="1"/>
  <c r="L43" i="13"/>
  <c r="K43" i="13"/>
  <c r="J43" i="13"/>
  <c r="H43" i="13"/>
  <c r="E43" i="13"/>
  <c r="I43" i="13" s="1"/>
  <c r="Z42" i="13"/>
  <c r="T42" i="13"/>
  <c r="S42" i="13"/>
  <c r="R42" i="13"/>
  <c r="P42" i="13"/>
  <c r="N42" i="13"/>
  <c r="AC42" i="13" s="1"/>
  <c r="AA42" i="13" s="1"/>
  <c r="H42" i="13"/>
  <c r="E42" i="13"/>
  <c r="I42" i="13" s="1"/>
  <c r="S41" i="13"/>
  <c r="Z41" i="13" s="1"/>
  <c r="R41" i="13"/>
  <c r="P41" i="13"/>
  <c r="N41" i="13"/>
  <c r="AC41" i="13" s="1"/>
  <c r="AA41" i="13" s="1"/>
  <c r="H41" i="13"/>
  <c r="E41" i="13"/>
  <c r="I41" i="13" s="1"/>
  <c r="Z40" i="13"/>
  <c r="T40" i="13"/>
  <c r="U40" i="13" s="1"/>
  <c r="S40" i="13"/>
  <c r="R40" i="13"/>
  <c r="P40" i="13"/>
  <c r="N40" i="13"/>
  <c r="AC40" i="13" s="1"/>
  <c r="AA40" i="13" s="1"/>
  <c r="H40" i="13"/>
  <c r="E40" i="13"/>
  <c r="I40" i="13" s="1"/>
  <c r="S39" i="13"/>
  <c r="Z39" i="13" s="1"/>
  <c r="R39" i="13"/>
  <c r="P39" i="13"/>
  <c r="N39" i="13"/>
  <c r="AC39" i="13" s="1"/>
  <c r="H39" i="13"/>
  <c r="E39" i="13"/>
  <c r="I39" i="13" s="1"/>
  <c r="Z38" i="13"/>
  <c r="T38" i="13"/>
  <c r="U38" i="13" s="1"/>
  <c r="S38" i="13"/>
  <c r="R38" i="13"/>
  <c r="P38" i="13"/>
  <c r="N38" i="13"/>
  <c r="AC38" i="13" s="1"/>
  <c r="AA38" i="13" s="1"/>
  <c r="L38" i="13"/>
  <c r="K38" i="13"/>
  <c r="J38" i="13"/>
  <c r="I38" i="13"/>
  <c r="H38" i="13"/>
  <c r="E38" i="13"/>
  <c r="T37" i="13"/>
  <c r="S37" i="13"/>
  <c r="Z37" i="13" s="1"/>
  <c r="R37" i="13"/>
  <c r="P37" i="13"/>
  <c r="N37" i="13"/>
  <c r="AC37" i="13" s="1"/>
  <c r="AA37" i="13" s="1"/>
  <c r="L37" i="13"/>
  <c r="K37" i="13"/>
  <c r="J37" i="13"/>
  <c r="H37" i="13"/>
  <c r="I37" i="13" s="1"/>
  <c r="E37" i="13"/>
  <c r="S36" i="13"/>
  <c r="Z36" i="13" s="1"/>
  <c r="R36" i="13"/>
  <c r="T36" i="13" s="1"/>
  <c r="P36" i="13"/>
  <c r="N36" i="13"/>
  <c r="AC36" i="13" s="1"/>
  <c r="L36" i="13"/>
  <c r="K36" i="13"/>
  <c r="J36" i="13"/>
  <c r="H36" i="13"/>
  <c r="E36" i="13"/>
  <c r="I36" i="13" s="1"/>
  <c r="S34" i="13"/>
  <c r="Z34" i="13" s="1"/>
  <c r="R34" i="13"/>
  <c r="T34" i="13" s="1"/>
  <c r="P34" i="13"/>
  <c r="N34" i="13"/>
  <c r="AC34" i="13" s="1"/>
  <c r="L34" i="13"/>
  <c r="K34" i="13"/>
  <c r="J34" i="13"/>
  <c r="H34" i="13"/>
  <c r="E34" i="13"/>
  <c r="I34" i="13" s="1"/>
  <c r="Z33" i="13"/>
  <c r="T33" i="13"/>
  <c r="U33" i="13" s="1"/>
  <c r="S33" i="13"/>
  <c r="R33" i="13"/>
  <c r="P33" i="13"/>
  <c r="N33" i="13"/>
  <c r="AC33" i="13" s="1"/>
  <c r="AA33" i="13" s="1"/>
  <c r="L33" i="13"/>
  <c r="K33" i="13"/>
  <c r="J33" i="13"/>
  <c r="I33" i="13"/>
  <c r="H33" i="13"/>
  <c r="E33" i="13"/>
  <c r="R31" i="13"/>
  <c r="N31" i="13"/>
  <c r="R30" i="13"/>
  <c r="N30" i="13"/>
  <c r="R29" i="13"/>
  <c r="N29" i="13"/>
  <c r="S28" i="13"/>
  <c r="Z28" i="13" s="1"/>
  <c r="R28" i="13"/>
  <c r="P28" i="13"/>
  <c r="N28" i="13"/>
  <c r="T28" i="13" s="1"/>
  <c r="U28" i="13" s="1"/>
  <c r="L28" i="13"/>
  <c r="K28" i="13"/>
  <c r="J28" i="13"/>
  <c r="H28" i="13"/>
  <c r="E28" i="13"/>
  <c r="I28" i="13" s="1"/>
  <c r="S27" i="13"/>
  <c r="Z27" i="13" s="1"/>
  <c r="R27" i="13"/>
  <c r="P27" i="13"/>
  <c r="N27" i="13"/>
  <c r="T27" i="13" s="1"/>
  <c r="U27" i="13" s="1"/>
  <c r="I27" i="13"/>
  <c r="H27" i="13"/>
  <c r="E27" i="13"/>
  <c r="S26" i="13"/>
  <c r="Z26" i="13" s="1"/>
  <c r="R26" i="13"/>
  <c r="P26" i="13"/>
  <c r="N26" i="13"/>
  <c r="T26" i="13" s="1"/>
  <c r="H26" i="13"/>
  <c r="E26" i="13"/>
  <c r="I26" i="13" s="1"/>
  <c r="S25" i="13"/>
  <c r="Z25" i="13" s="1"/>
  <c r="R25" i="13"/>
  <c r="P25" i="13"/>
  <c r="N25" i="13"/>
  <c r="AC25" i="13" s="1"/>
  <c r="L25" i="13"/>
  <c r="K25" i="13"/>
  <c r="J25" i="13"/>
  <c r="H25" i="13"/>
  <c r="I25" i="13" s="1"/>
  <c r="E25" i="13"/>
  <c r="S24" i="13"/>
  <c r="Z24" i="13" s="1"/>
  <c r="R24" i="13"/>
  <c r="P24" i="13"/>
  <c r="N24" i="13"/>
  <c r="AC24" i="13" s="1"/>
  <c r="AA24" i="13" s="1"/>
  <c r="L24" i="13"/>
  <c r="K24" i="13"/>
  <c r="J24" i="13"/>
  <c r="I24" i="13"/>
  <c r="H24" i="13"/>
  <c r="E24" i="13"/>
  <c r="S23" i="13"/>
  <c r="Z23" i="13" s="1"/>
  <c r="R23" i="13"/>
  <c r="P23" i="13"/>
  <c r="N23" i="13"/>
  <c r="T23" i="13" s="1"/>
  <c r="U23" i="13" s="1"/>
  <c r="L23" i="13"/>
  <c r="K23" i="13"/>
  <c r="J23" i="13"/>
  <c r="H23" i="13"/>
  <c r="E23" i="13"/>
  <c r="I23" i="13" s="1"/>
  <c r="S22" i="13"/>
  <c r="Z22" i="13" s="1"/>
  <c r="R22" i="13"/>
  <c r="P22" i="13"/>
  <c r="N22" i="13"/>
  <c r="T22" i="13" s="1"/>
  <c r="U22" i="13" s="1"/>
  <c r="L22" i="13"/>
  <c r="K22" i="13"/>
  <c r="J22" i="13"/>
  <c r="H22" i="13"/>
  <c r="E22" i="13"/>
  <c r="I22" i="13" s="1"/>
  <c r="S21" i="13"/>
  <c r="Z21" i="13" s="1"/>
  <c r="R21" i="13"/>
  <c r="P21" i="13"/>
  <c r="N21" i="13"/>
  <c r="T21" i="13" s="1"/>
  <c r="L21" i="13"/>
  <c r="K21" i="13"/>
  <c r="J21" i="13"/>
  <c r="H21" i="13"/>
  <c r="E21" i="13"/>
  <c r="I21" i="13" s="1"/>
  <c r="S20" i="13"/>
  <c r="Z20" i="13" s="1"/>
  <c r="R20" i="13"/>
  <c r="P20" i="13"/>
  <c r="N20" i="13"/>
  <c r="T20" i="13" s="1"/>
  <c r="L20" i="13"/>
  <c r="K20" i="13"/>
  <c r="J20" i="13"/>
  <c r="H20" i="13"/>
  <c r="E20" i="13"/>
  <c r="I20" i="13" s="1"/>
  <c r="S18" i="13"/>
  <c r="Z18" i="13" s="1"/>
  <c r="R18" i="13"/>
  <c r="P18" i="13"/>
  <c r="N18" i="13"/>
  <c r="AC18" i="13" s="1"/>
  <c r="AA18" i="13" s="1"/>
  <c r="H18" i="13"/>
  <c r="E18" i="13"/>
  <c r="I18" i="13" s="1"/>
  <c r="S17" i="13"/>
  <c r="Z17" i="13" s="1"/>
  <c r="R17" i="13"/>
  <c r="P17" i="13"/>
  <c r="N17" i="13"/>
  <c r="T17" i="13" s="1"/>
  <c r="U17" i="13" s="1"/>
  <c r="I17" i="13"/>
  <c r="H17" i="13"/>
  <c r="E17" i="13"/>
  <c r="S16" i="13"/>
  <c r="Z16" i="13" s="1"/>
  <c r="R16" i="13"/>
  <c r="P16" i="13"/>
  <c r="N16" i="13"/>
  <c r="T16" i="13" s="1"/>
  <c r="H16" i="13"/>
  <c r="E16" i="13"/>
  <c r="I16" i="13" s="1"/>
  <c r="S15" i="13"/>
  <c r="Z15" i="13" s="1"/>
  <c r="R15" i="13"/>
  <c r="P15" i="13"/>
  <c r="N15" i="13"/>
  <c r="AC15" i="13" s="1"/>
  <c r="AA15" i="13" s="1"/>
  <c r="H15" i="13"/>
  <c r="E15" i="13"/>
  <c r="I15" i="13" s="1"/>
  <c r="S14" i="13"/>
  <c r="Z14" i="13" s="1"/>
  <c r="R14" i="13"/>
  <c r="P14" i="13"/>
  <c r="N14" i="13"/>
  <c r="AC14" i="13" s="1"/>
  <c r="AA14" i="13" s="1"/>
  <c r="H14" i="13"/>
  <c r="E14" i="13"/>
  <c r="I14" i="13" s="1"/>
  <c r="C14" i="13"/>
  <c r="S13" i="13"/>
  <c r="Z13" i="13" s="1"/>
  <c r="R13" i="13"/>
  <c r="P13" i="13"/>
  <c r="N13" i="13"/>
  <c r="T13" i="13" s="1"/>
  <c r="U13" i="13" s="1"/>
  <c r="H13" i="13"/>
  <c r="E13" i="13"/>
  <c r="I13" i="13" s="1"/>
  <c r="C13" i="13"/>
  <c r="S12" i="13"/>
  <c r="Z12" i="13" s="1"/>
  <c r="R12" i="13"/>
  <c r="P12" i="13"/>
  <c r="N12" i="13"/>
  <c r="T12" i="13" s="1"/>
  <c r="U12" i="13" s="1"/>
  <c r="I12" i="13"/>
  <c r="H12" i="13"/>
  <c r="E12" i="13"/>
  <c r="R10" i="13"/>
  <c r="N10" i="13"/>
  <c r="T10" i="13" s="1"/>
  <c r="R9" i="13"/>
  <c r="N9" i="13"/>
  <c r="T9" i="13" s="1"/>
  <c r="AD23" i="14" l="1"/>
  <c r="AE23" i="14" s="1"/>
  <c r="AD28" i="14"/>
  <c r="AE28" i="14" s="1"/>
  <c r="AD22" i="14"/>
  <c r="AE22" i="14" s="1"/>
  <c r="T31" i="13"/>
  <c r="T29" i="13"/>
  <c r="T30" i="13"/>
  <c r="T31" i="14"/>
  <c r="T30" i="14"/>
  <c r="T14" i="13"/>
  <c r="U14" i="13" s="1"/>
  <c r="AA25" i="13"/>
  <c r="AD25" i="13" s="1"/>
  <c r="AE25" i="13" s="1"/>
  <c r="AD24" i="13"/>
  <c r="AE24" i="13" s="1"/>
  <c r="AD14" i="13"/>
  <c r="AE14" i="13" s="1"/>
  <c r="T18" i="13"/>
  <c r="U18" i="13" s="1"/>
  <c r="AD15" i="13"/>
  <c r="AE15" i="13" s="1"/>
  <c r="AD18" i="13"/>
  <c r="AE18" i="13" s="1"/>
  <c r="U36" i="14"/>
  <c r="U42" i="14"/>
  <c r="U37" i="14"/>
  <c r="T14" i="14"/>
  <c r="U14" i="14" s="1"/>
  <c r="T20" i="14"/>
  <c r="U20" i="14" s="1"/>
  <c r="T25" i="13"/>
  <c r="U25" i="13" s="1"/>
  <c r="T24" i="13"/>
  <c r="U24" i="13" s="1"/>
  <c r="T15" i="13"/>
  <c r="U15" i="13" s="1"/>
  <c r="U20" i="13"/>
  <c r="U34" i="13"/>
  <c r="U16" i="13"/>
  <c r="U21" i="13"/>
  <c r="U26" i="13"/>
  <c r="U36" i="13"/>
  <c r="U42" i="13"/>
  <c r="U37" i="13"/>
  <c r="T39" i="13"/>
  <c r="U39" i="13" s="1"/>
  <c r="T41" i="13"/>
  <c r="U41" i="13" s="1"/>
  <c r="AC17" i="13"/>
  <c r="AC21" i="13"/>
  <c r="AC20" i="13"/>
  <c r="AC12" i="13"/>
  <c r="AC28" i="13"/>
  <c r="AC26" i="13"/>
  <c r="T43" i="13"/>
  <c r="U43" i="13" s="1"/>
  <c r="AC13" i="13"/>
  <c r="AC16" i="13"/>
  <c r="AC23" i="13"/>
  <c r="AC27" i="13"/>
  <c r="AC22" i="13"/>
  <c r="AA27" i="13" l="1"/>
  <c r="AD27" i="13" s="1"/>
  <c r="AE27" i="13" s="1"/>
  <c r="AA28" i="13"/>
  <c r="AD28" i="13" s="1"/>
  <c r="AE28" i="13" s="1"/>
  <c r="AA26" i="13"/>
  <c r="AD26" i="13" s="1"/>
  <c r="AE26" i="13" s="1"/>
  <c r="AA23" i="13"/>
  <c r="AD23" i="13" s="1"/>
  <c r="AE23" i="13" s="1"/>
  <c r="AA22" i="13"/>
  <c r="AD22" i="13" s="1"/>
  <c r="AE22" i="13" s="1"/>
  <c r="AA21" i="13"/>
  <c r="AD21" i="13" s="1"/>
  <c r="AE21" i="13" s="1"/>
  <c r="AD20" i="13"/>
  <c r="AE20" i="13" s="1"/>
  <c r="AA20" i="13"/>
  <c r="AD12" i="13"/>
  <c r="AE12" i="13" s="1"/>
  <c r="AA13" i="13"/>
  <c r="AD13" i="13" s="1"/>
  <c r="AE13" i="13" s="1"/>
  <c r="AA17" i="13"/>
  <c r="AD17" i="13" s="1"/>
  <c r="AE17" i="13" s="1"/>
  <c r="AA16" i="13"/>
  <c r="AD16" i="13" s="1"/>
  <c r="AE16" i="13" s="1"/>
</calcChain>
</file>

<file path=xl/sharedStrings.xml><?xml version="1.0" encoding="utf-8"?>
<sst xmlns="http://schemas.openxmlformats.org/spreadsheetml/2006/main" count="30660" uniqueCount="19579">
  <si>
    <t>EAN-code</t>
  </si>
  <si>
    <t xml:space="preserve"> </t>
  </si>
  <si>
    <t>35.09.01.01</t>
  </si>
  <si>
    <t>BERG Favorit 270 + Safety Net Comfort 270</t>
  </si>
  <si>
    <t>35.11.01.01</t>
  </si>
  <si>
    <t>BERG Favorit 330 + Safety Net Comfort 330</t>
  </si>
  <si>
    <t>35.12.01.01</t>
  </si>
  <si>
    <t>BERG Favorit 380 + Safety Net Comfort 380</t>
  </si>
  <si>
    <t>35.14.02.01</t>
  </si>
  <si>
    <t>BERG Favorit 430 + Safety Net Comfort 430</t>
  </si>
  <si>
    <t>35.14.03.01</t>
  </si>
  <si>
    <t>BERG Favorit 430 Tattoo + Safety Net Comfort 430</t>
  </si>
  <si>
    <t>35.09.03.00</t>
  </si>
  <si>
    <t>BERG Favorit 270 + Safety Net Deluxe 270</t>
  </si>
  <si>
    <t>35.11.02.00</t>
  </si>
  <si>
    <t>BERG Favorit 330 + Safety Net Deluxe 330</t>
  </si>
  <si>
    <t>35.12.02.00</t>
  </si>
  <si>
    <t>BERG Favorit 380 + Safety Net Deluxe 380</t>
  </si>
  <si>
    <t>35.14.04.00</t>
  </si>
  <si>
    <t>BERG Favorit 430 + Safety Net Deluxe 430</t>
  </si>
  <si>
    <t>35.14.05.00</t>
  </si>
  <si>
    <t>BERG Favorit 430 Tattoo + Safety Net Deluxe 430</t>
  </si>
  <si>
    <t>35.09.05.00</t>
  </si>
  <si>
    <t>35.11.04.00</t>
  </si>
  <si>
    <t>35.12.04.00</t>
  </si>
  <si>
    <t>35.14.09.00</t>
  </si>
  <si>
    <t>35.09.04.00</t>
  </si>
  <si>
    <t>35.11.03.00</t>
  </si>
  <si>
    <t>35.12.03.00</t>
  </si>
  <si>
    <t>35.14.06.00</t>
  </si>
  <si>
    <t>35.39.04.00</t>
  </si>
  <si>
    <t>BERG Champion 270 + Safety Net Comfort 270</t>
  </si>
  <si>
    <t>35.41.04.00</t>
  </si>
  <si>
    <t>BERG Champion 330 + Safety Net Comfort 330</t>
  </si>
  <si>
    <t>35.42.04.00</t>
  </si>
  <si>
    <t>BERG Champion 380 + Safety Net Comfort 380</t>
  </si>
  <si>
    <t>35.44.05.00</t>
  </si>
  <si>
    <t>BERG Champion 430 + Safety Net Comfort 430</t>
  </si>
  <si>
    <t>35.44.06.00</t>
  </si>
  <si>
    <t>BERG Champion 430 Tattoo + Safety Net Comfort 430</t>
  </si>
  <si>
    <t>35.39.01.01</t>
  </si>
  <si>
    <t>BERG Champion 270 + Safety Net Deluxe 270</t>
  </si>
  <si>
    <t>35.41.01.01</t>
  </si>
  <si>
    <t>BERG Champion 330 + Safety Net Deluxe 330</t>
  </si>
  <si>
    <t>35.42.01.01</t>
  </si>
  <si>
    <t>BERG Champion 380 + Safety Net Deluxe 380</t>
  </si>
  <si>
    <t>35.44.01.01</t>
  </si>
  <si>
    <t>BERG Champion 430 + Safety Net Deluxe 430</t>
  </si>
  <si>
    <t>35.44.02.01</t>
  </si>
  <si>
    <t>BERG Champion 430 Tattoo + Safety Net Deluxe 430</t>
  </si>
  <si>
    <t>35.39.06.00</t>
  </si>
  <si>
    <t>BERG InGround Champion + Safety Net Comfort (InGr) 270</t>
  </si>
  <si>
    <t>35.41.06.00</t>
  </si>
  <si>
    <t>BERG InGround Champion + Safety Net Comfort (InGr) 330</t>
  </si>
  <si>
    <t>35.42.06.00</t>
  </si>
  <si>
    <t>BERG InGround Champion + Safety Net Comfort (InGr) 380</t>
  </si>
  <si>
    <t>35.44.09.00</t>
  </si>
  <si>
    <t>BERG InGround Champion + Safety Net Comfort (InGr) 430</t>
  </si>
  <si>
    <t>35.39.05.00</t>
  </si>
  <si>
    <t>BERG InGround Champion 270 + Safety Net Deluxe 270</t>
  </si>
  <si>
    <t>35.41.05.00</t>
  </si>
  <si>
    <t>BERG InGround Champion 330 + Safety Net Deluxe 330</t>
  </si>
  <si>
    <t>35.42.05.00</t>
  </si>
  <si>
    <t>BERG InGround Champion 380 + Safety Net Deluxe 380</t>
  </si>
  <si>
    <t>35.44.08.00</t>
  </si>
  <si>
    <t>BERG InGround Champion 430 + Safety Net Deluxe 430</t>
  </si>
  <si>
    <t>37.11.81.00</t>
  </si>
  <si>
    <t>37.12.81.00</t>
  </si>
  <si>
    <t>37.14.81.00</t>
  </si>
  <si>
    <t>37.24.81.00</t>
  </si>
  <si>
    <t>37.11.91.00</t>
  </si>
  <si>
    <t>37.12.91.00</t>
  </si>
  <si>
    <t>37.14.91.00</t>
  </si>
  <si>
    <t>37.24.91.00</t>
  </si>
  <si>
    <t>37.11.82.00</t>
  </si>
  <si>
    <t>37.12.82.00</t>
  </si>
  <si>
    <t>37.14.82.00</t>
  </si>
  <si>
    <t>37.24.82.00</t>
  </si>
  <si>
    <t>37.11.92.00</t>
  </si>
  <si>
    <t>37.12.92.00</t>
  </si>
  <si>
    <t>37.14.92.00</t>
  </si>
  <si>
    <t>37.24.92.00</t>
  </si>
  <si>
    <t>35.63.02.00</t>
  </si>
  <si>
    <t>BERG Grand Champion + Safety Net Grand Champion</t>
  </si>
  <si>
    <t>35.63.01.00</t>
  </si>
  <si>
    <t>BERG InGround BERG Champion + Safety Net Grand Champion</t>
  </si>
  <si>
    <t>35.62.00.00</t>
  </si>
  <si>
    <t>BERG EazyFit (Regular) + Safety Net EazyFit</t>
  </si>
  <si>
    <t>35.09.47.02</t>
  </si>
  <si>
    <t>BERG InGround Favorit 270</t>
  </si>
  <si>
    <t>35.11.47.02</t>
  </si>
  <si>
    <t>BERG InGround Favorit 330</t>
  </si>
  <si>
    <t>35.12.47.02</t>
  </si>
  <si>
    <t>BERG InGround Favorit 380</t>
  </si>
  <si>
    <t>35.14.47.02</t>
  </si>
  <si>
    <t>BERG InGround Favorit 430</t>
  </si>
  <si>
    <t>37.11.00.17</t>
  </si>
  <si>
    <t>37.12.00.17</t>
  </si>
  <si>
    <t>37.14.00.23</t>
  </si>
  <si>
    <t>37.14.00.24</t>
  </si>
  <si>
    <t>37.11.00.18</t>
  </si>
  <si>
    <t>37.12.00.18</t>
  </si>
  <si>
    <t>37.14.00.25</t>
  </si>
  <si>
    <t>37.14.00.26</t>
  </si>
  <si>
    <t>35.63.00.00</t>
  </si>
  <si>
    <t>BERG InGround Grand Champion</t>
  </si>
  <si>
    <t>35.99.27.03</t>
  </si>
  <si>
    <t>35.99.33.03</t>
  </si>
  <si>
    <t>35.99.38.03</t>
  </si>
  <si>
    <t>35.99.43.03</t>
  </si>
  <si>
    <t>35.98.32.01</t>
  </si>
  <si>
    <t>35.99.58.01</t>
  </si>
  <si>
    <t>35.99.10.00</t>
  </si>
  <si>
    <t>Elite+ Regular 430</t>
  </si>
  <si>
    <t xml:space="preserve">inkoopprijs </t>
  </si>
  <si>
    <t>verkoopprijs</t>
  </si>
  <si>
    <t>excl. BTW</t>
  </si>
  <si>
    <t>incl. BTW</t>
  </si>
  <si>
    <t>Omschrijving</t>
  </si>
  <si>
    <t>Art. nr.</t>
  </si>
  <si>
    <t>07.10.06.00</t>
  </si>
  <si>
    <t>BERG Basic BFR</t>
  </si>
  <si>
    <t>07.10.00.00</t>
  </si>
  <si>
    <t>BERG Extra BFR</t>
  </si>
  <si>
    <t>07.10.01.00</t>
  </si>
  <si>
    <t>BERG Extra Sport BFR</t>
  </si>
  <si>
    <t>07.20.01.00</t>
  </si>
  <si>
    <t>BERG Extra Sport BFR-3</t>
  </si>
  <si>
    <t>BERG Compact Sport BFR</t>
  </si>
  <si>
    <t>BERG Compact Pink BFR</t>
  </si>
  <si>
    <t>07.10.04.00</t>
  </si>
  <si>
    <t>BERG Route 66 BFR</t>
  </si>
  <si>
    <t>07.10.08.00</t>
  </si>
  <si>
    <t>BERG X-Cross BFR</t>
  </si>
  <si>
    <t>07.20.08.00</t>
  </si>
  <si>
    <t>BERG X-Cross BFR-3</t>
  </si>
  <si>
    <t>07.10.05.00</t>
  </si>
  <si>
    <t>BERG Black Edition BFR</t>
  </si>
  <si>
    <t>07.20.05.00</t>
  </si>
  <si>
    <t>BERG Black Edition BFR-3</t>
  </si>
  <si>
    <t>07.10.03.00</t>
  </si>
  <si>
    <t>BERG X-plore BFR</t>
  </si>
  <si>
    <t>07.20.03.00</t>
  </si>
  <si>
    <t>BERG X-plore BFR-3</t>
  </si>
  <si>
    <t>07.10.07.00</t>
  </si>
  <si>
    <t>BERG Safari BFR</t>
  </si>
  <si>
    <t>07.20.07.00</t>
  </si>
  <si>
    <t>BERG Safari BFR-3</t>
  </si>
  <si>
    <t>07.10.02.00</t>
  </si>
  <si>
    <t>BERG Race BFR</t>
  </si>
  <si>
    <t>07.20.02.00</t>
  </si>
  <si>
    <t>BERG Race BFR-3</t>
  </si>
  <si>
    <t>07.11.06.00</t>
  </si>
  <si>
    <t>07.21.06.00</t>
  </si>
  <si>
    <t>07.11.02.00</t>
  </si>
  <si>
    <t>07.21.02.00</t>
  </si>
  <si>
    <t>07.11.01.00</t>
  </si>
  <si>
    <t>07.21.01.00</t>
  </si>
  <si>
    <t>07.11.05.00</t>
  </si>
  <si>
    <t>07.21.05.00</t>
  </si>
  <si>
    <t>07.11.04.00</t>
  </si>
  <si>
    <t>BERG Fendt BFR</t>
  </si>
  <si>
    <t>07.21.04.00</t>
  </si>
  <si>
    <t>BERG Fendt BFR-3</t>
  </si>
  <si>
    <t>07.11.00.00</t>
  </si>
  <si>
    <t>BERG John Deere BFR</t>
  </si>
  <si>
    <t>07.21.00.00</t>
  </si>
  <si>
    <t>BERG John Deere BFR-3</t>
  </si>
  <si>
    <t>07.11.03.00</t>
  </si>
  <si>
    <t>BERG New Holland BFR</t>
  </si>
  <si>
    <t>07.21.03.00</t>
  </si>
  <si>
    <t>BERG New Holland BFR-3</t>
  </si>
  <si>
    <t>18.07.10.01</t>
  </si>
  <si>
    <t>18.07.17.01</t>
  </si>
  <si>
    <t>18.08.00.00</t>
  </si>
  <si>
    <t>15.03.32.00</t>
  </si>
  <si>
    <t>15.08.28.01</t>
  </si>
  <si>
    <t>15.09.08.00</t>
  </si>
  <si>
    <t>15.20.01.00</t>
  </si>
  <si>
    <t>15.20.10.00</t>
  </si>
  <si>
    <t>15.20.20.00</t>
  </si>
  <si>
    <t>15.20.45.00</t>
  </si>
  <si>
    <t>15.21.01.00</t>
  </si>
  <si>
    <t>15.24.02.00</t>
  </si>
  <si>
    <t>15.24.10.01</t>
  </si>
  <si>
    <t>15.24.70.01</t>
  </si>
  <si>
    <t>16.24.20.00</t>
  </si>
  <si>
    <t>15.60.40.01</t>
  </si>
  <si>
    <t>15.60.50.01</t>
  </si>
  <si>
    <t>15.60.55.01</t>
  </si>
  <si>
    <t>15.60.60.01</t>
  </si>
  <si>
    <t>15.63.01.00</t>
  </si>
  <si>
    <t>15.63.11.00</t>
  </si>
  <si>
    <t>15.63.40.00</t>
  </si>
  <si>
    <t>15.63.41.00</t>
  </si>
  <si>
    <t>15.63.42.00</t>
  </si>
  <si>
    <t>15.99.00.00</t>
  </si>
  <si>
    <t>15.63.50.00</t>
  </si>
  <si>
    <t>50.99.42.01</t>
  </si>
  <si>
    <t>56.09.03.00</t>
  </si>
  <si>
    <t>15.63.22.00</t>
  </si>
  <si>
    <t>15.63.25.00</t>
  </si>
  <si>
    <t>15.63.23.00</t>
  </si>
  <si>
    <t>15.63.24.00</t>
  </si>
  <si>
    <t>15.37.00.00</t>
  </si>
  <si>
    <t>15.37.01.00</t>
  </si>
  <si>
    <t>15.37.02.00</t>
  </si>
  <si>
    <t>15.37.03.00</t>
  </si>
  <si>
    <t>15.37.04.00</t>
  </si>
  <si>
    <t>15.37.05.00</t>
  </si>
  <si>
    <t>15.37.06.00</t>
  </si>
  <si>
    <t>15.37.07.00</t>
  </si>
  <si>
    <t>15.37.08.00</t>
  </si>
  <si>
    <t>15.37.09.00</t>
  </si>
  <si>
    <t>15.37.10.00</t>
  </si>
  <si>
    <t>15.37.11.00</t>
  </si>
  <si>
    <t>15.37.12.00</t>
  </si>
  <si>
    <t>15.37.13.00</t>
  </si>
  <si>
    <t>29.07.33.00</t>
  </si>
  <si>
    <t>29.07.43.00</t>
  </si>
  <si>
    <t>29.07.30.00</t>
  </si>
  <si>
    <t>29.07.40.00</t>
  </si>
  <si>
    <t>29.41.25.00</t>
  </si>
  <si>
    <t>25.17.00.02</t>
  </si>
  <si>
    <t>Pagina 1/1</t>
  </si>
  <si>
    <t>Dealerprijs</t>
  </si>
  <si>
    <t>Verkoopadviesprijs</t>
  </si>
  <si>
    <t>excl. Btw</t>
  </si>
  <si>
    <t>incl. Btw</t>
  </si>
  <si>
    <t>24.75.01.00</t>
  </si>
  <si>
    <t>BERG Biky Grey</t>
  </si>
  <si>
    <t>24.75.02.00</t>
  </si>
  <si>
    <t>BERG Biky White</t>
  </si>
  <si>
    <t>24.75.03.00</t>
  </si>
  <si>
    <t>BERG Biky John Deere</t>
  </si>
  <si>
    <t>BERG Buzzy</t>
  </si>
  <si>
    <t>24.30.00.00</t>
  </si>
  <si>
    <t>24.30.10.00</t>
  </si>
  <si>
    <t>BERG Buzzy Fiat 500</t>
  </si>
  <si>
    <t>BERG Buddy</t>
  </si>
  <si>
    <t>24.20.60.01</t>
  </si>
  <si>
    <t>BERG Buddy Orange</t>
  </si>
  <si>
    <t>24.20.61.01</t>
  </si>
  <si>
    <t>24.21.24.01</t>
  </si>
  <si>
    <t>BERG Buddy John Deere</t>
  </si>
  <si>
    <t>24.21.34.01</t>
  </si>
  <si>
    <t>24.21.54.00</t>
  </si>
  <si>
    <t>BERG Buddy Fendt</t>
  </si>
  <si>
    <t>BERG Choppy</t>
  </si>
  <si>
    <t>24.15.00.00</t>
  </si>
  <si>
    <t>BERG Rally</t>
  </si>
  <si>
    <t>24.40.00.00</t>
  </si>
  <si>
    <t>BERG Rally Orange</t>
  </si>
  <si>
    <t>24.40.10.00</t>
  </si>
  <si>
    <t>24.40.20.00</t>
  </si>
  <si>
    <t>24.20.00.01</t>
  </si>
  <si>
    <t>16.24.30.00</t>
  </si>
  <si>
    <t>16.24.10.00</t>
  </si>
  <si>
    <t>16.24.70.00</t>
  </si>
  <si>
    <t>16.99.42.00</t>
  </si>
  <si>
    <t>BERG Dempy</t>
  </si>
  <si>
    <t>BERG Buzzy Racing</t>
  </si>
  <si>
    <t>Description</t>
  </si>
  <si>
    <t>8715839055511</t>
  </si>
  <si>
    <t>24.21.64.00</t>
  </si>
  <si>
    <t>24.30.20.00</t>
  </si>
  <si>
    <t>07.30.02.01</t>
  </si>
  <si>
    <t>07.30.01.01</t>
  </si>
  <si>
    <t>15.23.12.01</t>
  </si>
  <si>
    <t>BERG Speedometer</t>
  </si>
  <si>
    <t>15.24.80.01</t>
  </si>
  <si>
    <t>18.07.91.00</t>
  </si>
  <si>
    <t>35.26.00.00</t>
  </si>
  <si>
    <t>35.28.00.00</t>
  </si>
  <si>
    <t>35.30.00.00</t>
  </si>
  <si>
    <t>35.26.10.00</t>
  </si>
  <si>
    <t>35.28.10.00</t>
  </si>
  <si>
    <t>35.30.10.00</t>
  </si>
  <si>
    <t>35.39.57.00</t>
  </si>
  <si>
    <t>BERG InGround Champion 270 (9ft)</t>
  </si>
  <si>
    <t>35.41.57.00</t>
  </si>
  <si>
    <t>BERG InGround Champion 330 (11ft)</t>
  </si>
  <si>
    <t>35.42.57.00</t>
  </si>
  <si>
    <t>BERG InGround Champion 380 (12,5ft)</t>
  </si>
  <si>
    <t>35.44.57.00</t>
  </si>
  <si>
    <t>BERG InGround Champion 430 (14ft)</t>
  </si>
  <si>
    <t>35.41.53.00</t>
  </si>
  <si>
    <t>35.42.53.00</t>
  </si>
  <si>
    <t>35.44.53.00</t>
  </si>
  <si>
    <t>35.26.47.00</t>
  </si>
  <si>
    <t>35.28.47.00</t>
  </si>
  <si>
    <t>35.30.47.00</t>
  </si>
  <si>
    <t>35.99.26.00</t>
  </si>
  <si>
    <t>35.99.28.00</t>
  </si>
  <si>
    <t>35.99.30.00</t>
  </si>
  <si>
    <t>35.90.06.00</t>
  </si>
  <si>
    <t>35.90.05.00</t>
  </si>
  <si>
    <t>35.90.04.00</t>
  </si>
  <si>
    <t>15.60.30.03</t>
  </si>
  <si>
    <t>8715839054170</t>
  </si>
  <si>
    <t>8715839054187</t>
  </si>
  <si>
    <t>8715839055993</t>
  </si>
  <si>
    <t>8715839051964</t>
  </si>
  <si>
    <t>8715839053715</t>
  </si>
  <si>
    <t>8715839054347</t>
  </si>
  <si>
    <t>8715839056587</t>
  </si>
  <si>
    <t>8715839057959</t>
  </si>
  <si>
    <t>8715839058017</t>
  </si>
  <si>
    <t>8715839057980</t>
  </si>
  <si>
    <t>8715839057966</t>
  </si>
  <si>
    <t>8715839058024</t>
  </si>
  <si>
    <t>8715839057997</t>
  </si>
  <si>
    <t>8715839057973</t>
  </si>
  <si>
    <t>8715839058031</t>
  </si>
  <si>
    <t>8715839058000</t>
  </si>
  <si>
    <t>8715839052299</t>
  </si>
  <si>
    <t>8715839058147</t>
  </si>
  <si>
    <t>8715839052305</t>
  </si>
  <si>
    <t>8715839058154</t>
  </si>
  <si>
    <t>8715839052312</t>
  </si>
  <si>
    <t>8715839058161</t>
  </si>
  <si>
    <t>8715839052329</t>
  </si>
  <si>
    <t>8715839058468</t>
  </si>
  <si>
    <t>8715839058475</t>
  </si>
  <si>
    <t>8715839058482</t>
  </si>
  <si>
    <t>35.72.19.02</t>
  </si>
  <si>
    <t>35.72.21.02</t>
  </si>
  <si>
    <t>35.72.22.02</t>
  </si>
  <si>
    <t>35.72.24.02</t>
  </si>
  <si>
    <t>35.72.62.00</t>
  </si>
  <si>
    <t>35.72.63.00</t>
  </si>
  <si>
    <t>35.73.11.02</t>
  </si>
  <si>
    <t>35.73.12.02</t>
  </si>
  <si>
    <t>35.73.14.02</t>
  </si>
  <si>
    <t>35.74.09.01</t>
  </si>
  <si>
    <t>35.74.11.01</t>
  </si>
  <si>
    <t>35.74.12.01</t>
  </si>
  <si>
    <t>35.74.14.01</t>
  </si>
  <si>
    <t>35.74.19.00</t>
  </si>
  <si>
    <t>35.74.21.00</t>
  </si>
  <si>
    <t>35.74.22.00</t>
  </si>
  <si>
    <t>35.74.24.00</t>
  </si>
  <si>
    <t>35.09.07.06</t>
  </si>
  <si>
    <t>BERG Favorit 270 (9ft)</t>
  </si>
  <si>
    <t>35.11.07.06</t>
  </si>
  <si>
    <t>BERG Favorit 330 (11ft)</t>
  </si>
  <si>
    <t>35.12.07.06</t>
  </si>
  <si>
    <t>BERG Favorit 380 (12,5ft)</t>
  </si>
  <si>
    <t>35.14.07.06</t>
  </si>
  <si>
    <t>BERG Favorit 430 (14ft)</t>
  </si>
  <si>
    <t>35.14.08.06</t>
  </si>
  <si>
    <t>BERG Favorit 430 (14ft) Tattoo</t>
  </si>
  <si>
    <t>35.39.27.00</t>
  </si>
  <si>
    <t>BERG Champion 270 (9ft)</t>
  </si>
  <si>
    <t>35.41.27.00</t>
  </si>
  <si>
    <t>BERG Champion 330 (11ft)</t>
  </si>
  <si>
    <t>35.42.27.00</t>
  </si>
  <si>
    <t>BERG Champion 380 (12,5ft)</t>
  </si>
  <si>
    <t>35.44.27.00</t>
  </si>
  <si>
    <t>BERG Champion 430 (14 ft)</t>
  </si>
  <si>
    <t>35.44.28.00</t>
  </si>
  <si>
    <t>BERG Champion 430 (14ft) Tattoo</t>
  </si>
  <si>
    <t>35.62.16.00</t>
  </si>
  <si>
    <t>8715839052046</t>
  </si>
  <si>
    <t>8715839052053</t>
  </si>
  <si>
    <t>8715839052060</t>
  </si>
  <si>
    <t>8715839052077</t>
  </si>
  <si>
    <t>8715839052084</t>
  </si>
  <si>
    <t>8715839052244</t>
  </si>
  <si>
    <t>8715839052251</t>
  </si>
  <si>
    <t>8715839052268</t>
  </si>
  <si>
    <t>8715839052275</t>
  </si>
  <si>
    <t>8715839052282</t>
  </si>
  <si>
    <t>8715839053463</t>
  </si>
  <si>
    <t>8715839053036</t>
  </si>
  <si>
    <t>8715839053043</t>
  </si>
  <si>
    <t>8715839053050</t>
  </si>
  <si>
    <t>8715839053067</t>
  </si>
  <si>
    <t>8715839053111</t>
  </si>
  <si>
    <t>8715839053104</t>
  </si>
  <si>
    <t>8715839053074</t>
  </si>
  <si>
    <t>8715839053081</t>
  </si>
  <si>
    <t>8715839053098</t>
  </si>
  <si>
    <t>8715839052138</t>
  </si>
  <si>
    <t>8715839052145</t>
  </si>
  <si>
    <t>8715839052152</t>
  </si>
  <si>
    <t>8715839052169</t>
  </si>
  <si>
    <t>8715839053425</t>
  </si>
  <si>
    <t>8715839053432</t>
  </si>
  <si>
    <t>8715839053449</t>
  </si>
  <si>
    <t>8715839053456</t>
  </si>
  <si>
    <t>BERG InGround Talent 180</t>
  </si>
  <si>
    <t>BERG InGround Talent 240</t>
  </si>
  <si>
    <t>BERG InGround Talent 300</t>
  </si>
  <si>
    <t>BERG Talent 180 + Safety Net Comfort</t>
  </si>
  <si>
    <t>BERG Talent 240 + Safety Net Comfort</t>
  </si>
  <si>
    <t>BERG Talent 300 + Safety Net Comfort</t>
  </si>
  <si>
    <t>BERG InGround Talent 180 + Safety Net Comfort</t>
  </si>
  <si>
    <t>BERG InGround Talent 240 + Safety Net Comfort</t>
  </si>
  <si>
    <t>BERG InGround Talent 300 + Safety Net Comfort</t>
  </si>
  <si>
    <t>37.11.01.00</t>
  </si>
  <si>
    <t>Elite+ Regular 330</t>
  </si>
  <si>
    <t>37.11.07.02</t>
  </si>
  <si>
    <t>Elite+ Padding Green 330</t>
  </si>
  <si>
    <t>37.11.10.02</t>
  </si>
  <si>
    <t>Elite+ Padding Red 330</t>
  </si>
  <si>
    <t>37.11.11.00</t>
  </si>
  <si>
    <t>Elite+ InGround 330</t>
  </si>
  <si>
    <t>37.12.01.00</t>
  </si>
  <si>
    <t>Elite+ Regular 380</t>
  </si>
  <si>
    <t>37.12.07.02</t>
  </si>
  <si>
    <t>Elite+ Padding Green 380</t>
  </si>
  <si>
    <t>37.12.10.02</t>
  </si>
  <si>
    <t>Elite+ Padding Red 380</t>
  </si>
  <si>
    <t>37.12.11.00</t>
  </si>
  <si>
    <t>Elite+ InGround 380</t>
  </si>
  <si>
    <t>37.14.01.00</t>
  </si>
  <si>
    <t>37.14.02.00</t>
  </si>
  <si>
    <t>Elite+ Regular 430 Tattoo</t>
  </si>
  <si>
    <t>37.14.07.02</t>
  </si>
  <si>
    <t>Elite+ Padding Green 430</t>
  </si>
  <si>
    <t>37.14.10.02</t>
  </si>
  <si>
    <t>Elite+ Padding Red 430</t>
  </si>
  <si>
    <t>37.14.11.00</t>
  </si>
  <si>
    <t>Elite+ InGround 430</t>
  </si>
  <si>
    <t>37.14.12.00</t>
  </si>
  <si>
    <t>Elite+ InGround 430 Tattoo</t>
  </si>
  <si>
    <t>35.63.70.00</t>
  </si>
  <si>
    <t>35.63.80.00</t>
  </si>
  <si>
    <t>35.63.90.00</t>
  </si>
  <si>
    <t>35.75.26.00</t>
  </si>
  <si>
    <t>BERG Safety Net Comfort 180</t>
  </si>
  <si>
    <t>35.75.28.00</t>
  </si>
  <si>
    <t>BERG Safety Net Comfort 240</t>
  </si>
  <si>
    <t>35.75.30.00</t>
  </si>
  <si>
    <t>BERG Safety Net Comfort 300</t>
  </si>
  <si>
    <t>8715839058185</t>
  </si>
  <si>
    <t>35.41.91.00</t>
  </si>
  <si>
    <t>8715839058215</t>
  </si>
  <si>
    <t>35.41.92.00</t>
  </si>
  <si>
    <t>8715839058192</t>
  </si>
  <si>
    <t>35.42.91.00</t>
  </si>
  <si>
    <t>8715839058222</t>
  </si>
  <si>
    <t>35.42.92.00</t>
  </si>
  <si>
    <t>8715839058208</t>
  </si>
  <si>
    <t>35.44.91.00</t>
  </si>
  <si>
    <t>8715839058239</t>
  </si>
  <si>
    <t>35.44.92.00</t>
  </si>
  <si>
    <t>BERG InGround Champion Grey 330 + Safety Net Deluxe</t>
  </si>
  <si>
    <t>BERG InGround Champion Grey 430 + Safety Net Deluxe</t>
  </si>
  <si>
    <t>BERG InGround Champion Grey 380 + Safety Net Deluxe</t>
  </si>
  <si>
    <t>51.30.14.02</t>
  </si>
  <si>
    <t>51.30.14.12</t>
  </si>
  <si>
    <t>51.30.14.29</t>
  </si>
  <si>
    <t>35.62.01.00</t>
  </si>
  <si>
    <t>BERG InGround EazyFit + Safety Net EazyFit</t>
  </si>
  <si>
    <t>35.99.52.02</t>
  </si>
  <si>
    <t>35.99.53.02</t>
  </si>
  <si>
    <t>35.99.54.02</t>
  </si>
  <si>
    <t>35.99.55.02</t>
  </si>
  <si>
    <t>24.30.01.00</t>
  </si>
  <si>
    <t>BERG Buzzy Nitro</t>
  </si>
  <si>
    <t>24.30.02.00</t>
  </si>
  <si>
    <t>BERG Buzzy Bloom</t>
  </si>
  <si>
    <t>24.30.11.00</t>
  </si>
  <si>
    <t>16.67.00.00</t>
  </si>
  <si>
    <t>07.12.00.00</t>
  </si>
  <si>
    <t>BERG Flatground Champion 430</t>
  </si>
  <si>
    <t>BERG Flatground Champion Padding Green 430</t>
  </si>
  <si>
    <t>35.62.91.00</t>
  </si>
  <si>
    <t>BERG InGround EazyFit Grey + Safety Net EazyFit</t>
  </si>
  <si>
    <t>35.62.53.00</t>
  </si>
  <si>
    <t>BERG InGround EazyFit Grey</t>
  </si>
  <si>
    <t>35.62.57.00</t>
  </si>
  <si>
    <t>BERG InGround EazyFit</t>
  </si>
  <si>
    <t>35.80.09.01</t>
  </si>
  <si>
    <t>35.80.11.01</t>
  </si>
  <si>
    <t>35.80.12.01</t>
  </si>
  <si>
    <t>35.80.14.01</t>
  </si>
  <si>
    <t>38.14.07.00</t>
  </si>
  <si>
    <t>38.14.50.00</t>
  </si>
  <si>
    <t>38.14.67.00</t>
  </si>
  <si>
    <t>35.90.03.00</t>
  </si>
  <si>
    <t>BERG Ladder Platform</t>
  </si>
  <si>
    <t>35.90.54.00</t>
  </si>
  <si>
    <t>BERG Ladder Platform + Ladder L</t>
  </si>
  <si>
    <t>35.90.55.00</t>
  </si>
  <si>
    <t>BERG Ladder Platform + Ladder M</t>
  </si>
  <si>
    <t>35.90.56.00</t>
  </si>
  <si>
    <t>BERG Ladder Platform + Ladder S</t>
  </si>
  <si>
    <t>38.14.03.00</t>
  </si>
  <si>
    <t>BERG Flatground Champion Grey 430</t>
  </si>
  <si>
    <t>BERG Flatground Champion Green 430</t>
  </si>
  <si>
    <t>BERG Buzzy Yellow</t>
  </si>
  <si>
    <t>38.14.63.00</t>
  </si>
  <si>
    <t>BERG Flatground Champion Padding Grey 430</t>
  </si>
  <si>
    <t>BERG Frame Net Basic 180 (6 ft)</t>
  </si>
  <si>
    <t>BERG Frame Net Basic 240 (8 ft)</t>
  </si>
  <si>
    <t>BERG Frame Net Extra 270 (9 ft)</t>
  </si>
  <si>
    <t>BERG Frame Net Basic 300 (10 ft)</t>
  </si>
  <si>
    <t>35.80.10.00</t>
  </si>
  <si>
    <t>35.80.08.00</t>
  </si>
  <si>
    <t>35.80.06.00</t>
  </si>
  <si>
    <t>BERG Frame Net Extra 330 (11 ft)</t>
  </si>
  <si>
    <t>BERG Frame Net Extra 380 (12,5 ft)</t>
  </si>
  <si>
    <t>BERG Frame Net Extra 430 (14 ft)</t>
  </si>
  <si>
    <t>24.10.00.01</t>
  </si>
  <si>
    <t>BERG Buddy PRO</t>
  </si>
  <si>
    <t>BERG Gran Tour Off Road 4 seater F</t>
  </si>
  <si>
    <t>BERG Gran Tour Racer 4 seater F</t>
  </si>
  <si>
    <t>BERG Gran Tour Racer 2 seater F</t>
  </si>
  <si>
    <t>BERG Sunroof Gran Tour (for GT from 2015)</t>
  </si>
  <si>
    <t>BERG Case IH BFR</t>
  </si>
  <si>
    <t>BERG Case IH BFR-3</t>
  </si>
  <si>
    <t>15.07.00.01</t>
  </si>
  <si>
    <t>BERG Side skirts</t>
  </si>
  <si>
    <t>BERG Large Trailer</t>
  </si>
  <si>
    <t>28.24.00.00</t>
  </si>
  <si>
    <t>BERG Duostoel Basic/Extra</t>
  </si>
  <si>
    <t>BERG Duostoel John Deere</t>
  </si>
  <si>
    <t>BERG Duostoel Route 66</t>
  </si>
  <si>
    <t>BERG Liftbakje</t>
  </si>
  <si>
    <t>BERG Palletvork</t>
  </si>
  <si>
    <t>BERG Schuif</t>
  </si>
  <si>
    <t>BERG Reservewiel X-Cross</t>
  </si>
  <si>
    <t>BERG Safety Net Deluxe 270 (9 ft)</t>
  </si>
  <si>
    <t>BERG Safety Net Deluxe 330 (11 ft)</t>
  </si>
  <si>
    <t>BERG Safety Net Deluxe 380 (12,5 ft)</t>
  </si>
  <si>
    <t>BERG Safety Net Deluxe 430 (14 ft)</t>
  </si>
  <si>
    <t>BERG Safety Net Deluxe EazyFit</t>
  </si>
  <si>
    <t>BERG Safety Net Deluxe Grand Champion</t>
  </si>
  <si>
    <t>BERG Safety Net T-series 330 (11 ft)</t>
  </si>
  <si>
    <t>BERG Safety Net T-series 380 (12,5 ft)</t>
  </si>
  <si>
    <t>BERG Safety Net T-series 430 (14 ft)</t>
  </si>
  <si>
    <t>BERG Safety Net Comfort 270 (9 ft)</t>
  </si>
  <si>
    <t>BERG Safety Net Comfort 330 (11 ft)</t>
  </si>
  <si>
    <t>BERG Safety Net Comfort 380 (12,5 ft)</t>
  </si>
  <si>
    <t>BERG Safety Net Comfort 430 (14 ft)</t>
  </si>
  <si>
    <t>BERG Safety Net Comfort (InGround) 270 (9 ft)</t>
  </si>
  <si>
    <t>BERG Safety Net Comfort (InGround) 330 (11 ft)</t>
  </si>
  <si>
    <t>BERG Safety Net Comfort (InGround) 380 (12,5 ft)</t>
  </si>
  <si>
    <t>BERG Safety Net Comfort (InGround) 430 (14 ft)</t>
  </si>
  <si>
    <t>BERG Afdekhoes Basic 180</t>
  </si>
  <si>
    <t>BERG Afdekhoes Basic 240</t>
  </si>
  <si>
    <t>BERG Afdekhoes Basic 300</t>
  </si>
  <si>
    <t>BERG Afdekhoes Basic 270</t>
  </si>
  <si>
    <t>BERG Afdekhoes Basic 330</t>
  </si>
  <si>
    <t>BERG Afdekhoes Basic 380</t>
  </si>
  <si>
    <t>BERG Afdekhoes Basic 430</t>
  </si>
  <si>
    <t>BERG Afdekhoes Extra 270</t>
  </si>
  <si>
    <t>BERG Afdekhoes Extra 330</t>
  </si>
  <si>
    <t>BERG Afdekhoes Extra 380</t>
  </si>
  <si>
    <t>BERG Afdekhoes Extra 430</t>
  </si>
  <si>
    <t>BERG Afdekhoes Extra Grand Champion</t>
  </si>
  <si>
    <t>BERG Ankerset</t>
  </si>
  <si>
    <t>BERG Afdekhoes Extra EazyStore/EazyFit (220x330)</t>
  </si>
  <si>
    <t>BERG Ladder S</t>
  </si>
  <si>
    <t>BERG Ladder M</t>
  </si>
  <si>
    <t>BERG Ladder L</t>
  </si>
  <si>
    <t>Item number</t>
  </si>
  <si>
    <t>Product name nl</t>
  </si>
  <si>
    <t>BERG InGround Favorit 270 + Safety Net Comfort (InGr)</t>
  </si>
  <si>
    <t>BERG InGround Favorit 270 (9ft)</t>
  </si>
  <si>
    <t>BERG InGround Favorit 330 + Safety Net Comfort (InGr)</t>
  </si>
  <si>
    <t>BERG InGround Favorit 330 (11ft)</t>
  </si>
  <si>
    <t>BERG InGround Favorit 380 (12,5ft)</t>
  </si>
  <si>
    <t>BERG InGround Favorit 430 (14ft)</t>
  </si>
  <si>
    <t>BERG InGround Champion 270 + Safety Net Comfort (InGr) 270</t>
  </si>
  <si>
    <t>BERG InGround Champion 330 + Safety Net Comfort (InGr) 330</t>
  </si>
  <si>
    <t>35.41.23.00</t>
  </si>
  <si>
    <t>BERG Champion Grey 330 (11 ft)</t>
  </si>
  <si>
    <t>BERG InGround Champion Grey 330 (11 ft)</t>
  </si>
  <si>
    <t>BERG InGround Champion Grey 330 + Safety Net Comfort</t>
  </si>
  <si>
    <t>35.41.93.00</t>
  </si>
  <si>
    <t>BERG Champion Grey 330 + Safety Net Deluxe</t>
  </si>
  <si>
    <t>BERG InGround Champion 380 + Safety Net Comfort (InGr) 380</t>
  </si>
  <si>
    <t>35.42.23.00</t>
  </si>
  <si>
    <t>BERG Champion Grey 380 (12,5 ft)</t>
  </si>
  <si>
    <t>BERG InGround Champion Grey 380 (12,5 ft)</t>
  </si>
  <si>
    <t>BERG InGround Champion Grey 380 + Safety Net Comfort</t>
  </si>
  <si>
    <t>35.42.93.00</t>
  </si>
  <si>
    <t>BERG Champion Grey 380 + Safety Net Deluxe</t>
  </si>
  <si>
    <t>BERG InGround Champion 430 + Safety Net Comfort (InGr) 430</t>
  </si>
  <si>
    <t>35.44.23.00</t>
  </si>
  <si>
    <t>BERG Champion Grey 430 (14 ft)</t>
  </si>
  <si>
    <t>BERG InGround Champion Grey 430 (14 ft)</t>
  </si>
  <si>
    <t>BERG InGround Champion Grey 430 + Safety Net Comfort</t>
  </si>
  <si>
    <t>35.44.93.00</t>
  </si>
  <si>
    <t>BERG Champion Grey 430 + Safety Net Deluxe</t>
  </si>
  <si>
    <t>BERG EazyFit Regular</t>
  </si>
  <si>
    <t>BERG InGround Grand Champion + Safety Net Grand Champion</t>
  </si>
  <si>
    <t>BERG Grand Champion (Regular) (Box 2/2)</t>
  </si>
  <si>
    <t>BERG Grand Champion (InGround) (Box 2/2)</t>
  </si>
  <si>
    <t>BERG Grand Champion (Universal) (Box 1/2)</t>
  </si>
  <si>
    <t>BERG Safety Net Deluxe 270</t>
  </si>
  <si>
    <t>BERG Safety Net Deluxe 330</t>
  </si>
  <si>
    <t>BERG Safety Net Deluxe 380</t>
  </si>
  <si>
    <t>BERG Safety Net Deluxe 430</t>
  </si>
  <si>
    <t>BERG Safety Net T-series 330</t>
  </si>
  <si>
    <t>BERG Safety Net T-series 380</t>
  </si>
  <si>
    <t>BERG Safety Net T-series 430</t>
  </si>
  <si>
    <t>BERG Frame Net Basic 180</t>
  </si>
  <si>
    <t>BERG Frame Net Basic 240</t>
  </si>
  <si>
    <t>BERG Frame Net Extra 270</t>
  </si>
  <si>
    <t>BERG Frame Net Basic 300</t>
  </si>
  <si>
    <t>BERG Frame Net Extra 330</t>
  </si>
  <si>
    <t>BERG Frame Net Extra 380</t>
  </si>
  <si>
    <t>BERG Frame Net Extra 430</t>
  </si>
  <si>
    <t>35.90.01.00</t>
  </si>
  <si>
    <t>Trapje voor trampoline</t>
  </si>
  <si>
    <t>35.99.63.00</t>
  </si>
  <si>
    <t>BERG Afdekhoes Extra Grey 330</t>
  </si>
  <si>
    <t>35.99.64.00</t>
  </si>
  <si>
    <t>BERG Afdekhoes Extra Grey 380</t>
  </si>
  <si>
    <t>35.99.65.00</t>
  </si>
  <si>
    <t>BERG Afdekhoes Extra Grey 430</t>
  </si>
  <si>
    <t>BERG Elite+ InGround Red 330</t>
  </si>
  <si>
    <t>BERG Elite+ InGround Green 330</t>
  </si>
  <si>
    <t>Elite+ Regular 330 (zonder beschermrand)</t>
  </si>
  <si>
    <t>Elite+ InGround 330 (zonder beschermrand)</t>
  </si>
  <si>
    <t>BERG Elite+ Regular Red 330 + Safety Net T-series 330</t>
  </si>
  <si>
    <t>BERG Elite+ InGround Red 330 + Safety Net T-series 330</t>
  </si>
  <si>
    <t>BERG Elite+ Regular Green 330 + Safety Net T-series 330</t>
  </si>
  <si>
    <t>BERG Elite+ InGround Green 330 + Safety Net T-series 330</t>
  </si>
  <si>
    <t>BERG Elite+ InGround Red 380</t>
  </si>
  <si>
    <t>BERG Elite+ InGround Green 380</t>
  </si>
  <si>
    <t>Elite+ Regular 380 (zonder beschermrand)</t>
  </si>
  <si>
    <t>Elite+ InGround 380 (zonder beschermrand)</t>
  </si>
  <si>
    <t>BERG Elite+ Regular Red 380 + Safety Net T-series 380</t>
  </si>
  <si>
    <t>BERG Elite+ InGround Red 380 + Safety Net T-series 380</t>
  </si>
  <si>
    <t>BERG Elite+ Regular Green 380 + Safety Net T-series 380</t>
  </si>
  <si>
    <t>BERG Elite+ InGround Green 380 + Safety Net T-series 380</t>
  </si>
  <si>
    <t>BERG Elite+ InGround Red 430</t>
  </si>
  <si>
    <t>BERG Elite+ InGround Red 430 Tattoo</t>
  </si>
  <si>
    <t>BERG Elite+ InGround Green 430</t>
  </si>
  <si>
    <t>BERG Elite+ InGround Green 430 Tattoo</t>
  </si>
  <si>
    <t>Elite+ Regular 430 (zonder beschermrand)</t>
  </si>
  <si>
    <t>Elite+ Regular 430 Tattoo (zonder beschermrand)</t>
  </si>
  <si>
    <t>Elite+ InGround 430 (zonder beschermrand)</t>
  </si>
  <si>
    <t>Elite+ InGround 430 Tattoo (zonder beschermrand)</t>
  </si>
  <si>
    <t>BERG Elite+ Regular Red 430 + Safety Net T-series 430</t>
  </si>
  <si>
    <t>BERG Elite+ InGround Red 430 + Safety Net T-series 430</t>
  </si>
  <si>
    <t>BERG Elite+ Regular Green 430 + Safety Net T-series 430</t>
  </si>
  <si>
    <t>BERG Elite+ InGround Green 430 + Safety Net T-series 430</t>
  </si>
  <si>
    <t>BERG Elite+ Regular Red 430 Tattoo + Safety Net T-series 430</t>
  </si>
  <si>
    <t>BERG Elite+ InGround Red 430 Tattoo + Safety Net T-series 43</t>
  </si>
  <si>
    <t>BERG Elite+ Regular Green 430 Tattoo + Safety Net T-series 4</t>
  </si>
  <si>
    <t>BERG Elite+ InGround Green 430 Tattoo + Safety Net T-series</t>
  </si>
  <si>
    <t>BERG Flatground Champion 430 (14 ft) (zonder beschermrand)</t>
  </si>
  <si>
    <t>BERG InGround Favorit 270 + Safety Net Deluxe</t>
  </si>
  <si>
    <t>BERG InGround Favorit 380 + Safety Net Comfort (InGr)</t>
  </si>
  <si>
    <t>BERG InGround Favorit 430 + Safety Net Comfort (InGr)</t>
  </si>
  <si>
    <t>BERG InGround Favorit 330 + Safety Net Deluxe</t>
  </si>
  <si>
    <t>BERG InGround Favorit 380 + Safety Net Deluxe</t>
  </si>
  <si>
    <t>BERG InGround Favorit 430 + Safety Net Deluxe</t>
  </si>
  <si>
    <t>BERG CLAAS BFR</t>
  </si>
  <si>
    <t>BERG CLAAS BFR-3</t>
  </si>
  <si>
    <t>BERG Reservewiel Safari</t>
  </si>
  <si>
    <t>Ford Mustang GT pedal go-kart</t>
  </si>
  <si>
    <t>BERG LED koplamp</t>
  </si>
  <si>
    <t>BERG Spiegelset</t>
  </si>
  <si>
    <t>BERG LED wit</t>
  </si>
  <si>
    <t>BERG LED rood</t>
  </si>
  <si>
    <t>BERG Verlichtingsset</t>
  </si>
  <si>
    <t>BERG Hoorn 2-tonig</t>
  </si>
  <si>
    <t>BERG Sirene</t>
  </si>
  <si>
    <t>BERG Zwaailamp oranje voor rolbeugel</t>
  </si>
  <si>
    <t>BERG Rolbeugel Farm</t>
  </si>
  <si>
    <t>BERG Uitlaat Farm</t>
  </si>
  <si>
    <t>BERG Voorspatborden zwart</t>
  </si>
  <si>
    <t>Jeep® Revolution pedal go-kart BFR</t>
  </si>
  <si>
    <t>BERG Buzzy John Deere</t>
  </si>
  <si>
    <t>Jeep® Junior Pedal Go-kart</t>
  </si>
  <si>
    <t>BMW Street Racer</t>
  </si>
  <si>
    <t>BERG Bolderwagen L</t>
  </si>
  <si>
    <t>BERG Bolderwagen XL</t>
  </si>
  <si>
    <t>BERG Buddy Sirene</t>
  </si>
  <si>
    <t>BERG Buddy Zwaailamp</t>
  </si>
  <si>
    <t>BERG Buddy Trekhaak</t>
  </si>
  <si>
    <t>BERG Blauwe kap voor zwaailamp</t>
  </si>
  <si>
    <t>BERG InGround Champion 270</t>
  </si>
  <si>
    <t>BERG InGround Champion 380</t>
  </si>
  <si>
    <t>BERG InGround Champion 330</t>
  </si>
  <si>
    <t>BERG InGround Champion 430</t>
  </si>
  <si>
    <t>BERG Duostoel DEUTZ-FAHR</t>
  </si>
  <si>
    <t>BERG DEUTZ-FAHR BFR</t>
  </si>
  <si>
    <t>BERG DEUTZ-FAHR BFR-3</t>
  </si>
  <si>
    <t>35.09.01.02</t>
  </si>
  <si>
    <t>BERG Favorit 270 (9 ft) + Safety Net Comfort</t>
  </si>
  <si>
    <t>35.11.01.02</t>
  </si>
  <si>
    <t>BERG Favorit 330 (11 ft) + Safety Net Comfort</t>
  </si>
  <si>
    <t>35.12.01.02</t>
  </si>
  <si>
    <t>BERG Favorit 380 (12,5 ft) + Safety Net Comfort</t>
  </si>
  <si>
    <t>35.14.02.02</t>
  </si>
  <si>
    <t>BERG Favorit 430 (14 ft) + Safety Net Comfort</t>
  </si>
  <si>
    <t>35.14.03.02</t>
  </si>
  <si>
    <t>BERG Favorit 430 (14 ft) Tattoo + Safety Net Comfort</t>
  </si>
  <si>
    <t>35.09.05.01</t>
  </si>
  <si>
    <t>BERG InGround Favorit 270 (9 ft) + Safety Net Comfort</t>
  </si>
  <si>
    <t>35.11.04.01</t>
  </si>
  <si>
    <t>BERG InGround Favorit 330 (11 ft) + Safety Net Comfort</t>
  </si>
  <si>
    <t>35.12.04.01</t>
  </si>
  <si>
    <t>BERG InGround Favorit 380 (12,5 ft) + Safety Net Comfort</t>
  </si>
  <si>
    <t>35.14.09.01</t>
  </si>
  <si>
    <t>BERG InGround Favorit 430 (14 ft) + Safety Net Comfort</t>
  </si>
  <si>
    <t>35.11.92.00</t>
  </si>
  <si>
    <t>BERG InGround Favorit Grey 330 + Safety Net Comfort</t>
  </si>
  <si>
    <t>35.12.92.00</t>
  </si>
  <si>
    <t>BERG InGround Favorit Grey 380 + Safety Net Comfort</t>
  </si>
  <si>
    <t>35.14.92.00</t>
  </si>
  <si>
    <t>BERG InGround Favorit Grey 430 + Safety Net Comfort</t>
  </si>
  <si>
    <t>35.11.94.00</t>
  </si>
  <si>
    <t>BERG Favorit Grey 330 + Safety Net Comfort</t>
  </si>
  <si>
    <t>35.12.94.00</t>
  </si>
  <si>
    <t>BERG Favorit Grey 380 + Safety Net Comfort</t>
  </si>
  <si>
    <t>35.14.94.00</t>
  </si>
  <si>
    <t>BERG Favorit Grey 430 + Safety Net Comfort</t>
  </si>
  <si>
    <t>35.39.04.01</t>
  </si>
  <si>
    <t>BERG Champion 270 + Safety Net Comfort</t>
  </si>
  <si>
    <t>35.41.04.01</t>
  </si>
  <si>
    <t>BERG Champion 330 + Safety Net Comfort</t>
  </si>
  <si>
    <t>35.42.04.01</t>
  </si>
  <si>
    <t>BERG Champion 380 + Safety Net Comfort</t>
  </si>
  <si>
    <t>35.44.05.01</t>
  </si>
  <si>
    <t>BERG Champion 430 + Safety Net Comfort</t>
  </si>
  <si>
    <t>35.44.06.01</t>
  </si>
  <si>
    <t>BERG Champion 430 Tattoo + Safety Net Comfort</t>
  </si>
  <si>
    <t>35.39.01.02</t>
  </si>
  <si>
    <t>BERG Champion 270 + Safety Net Deluxe</t>
  </si>
  <si>
    <t>35.41.01.02</t>
  </si>
  <si>
    <t>BERG Champion 330 + Safety Net Deluxe</t>
  </si>
  <si>
    <t>35.42.01.02</t>
  </si>
  <si>
    <t>BERG Champion 380 + Safety Net Deluxe</t>
  </si>
  <si>
    <t>35.44.01.02</t>
  </si>
  <si>
    <t>BERG Champion 430 + Safety Net Deluxe</t>
  </si>
  <si>
    <t>35.44.02.02</t>
  </si>
  <si>
    <t>BERG Champion 430 Tattoo + Safety Net Deluxe</t>
  </si>
  <si>
    <t>35.39.06.01</t>
  </si>
  <si>
    <t>BERG InGround Champion 270 + Safety Net Comfort</t>
  </si>
  <si>
    <t>35.41.06.01</t>
  </si>
  <si>
    <t>BERG InGround Champion 330 + Safety Net Comfort</t>
  </si>
  <si>
    <t>35.42.06.01</t>
  </si>
  <si>
    <t>BERG InGround Champion 380 + Safety Net Comfort</t>
  </si>
  <si>
    <t>35.44.09.01</t>
  </si>
  <si>
    <t>BERG InGround Champion 430 + Safety Net Comfort</t>
  </si>
  <si>
    <t>35.39.05.01</t>
  </si>
  <si>
    <t>BERG InGround Champion 270 + Safety Net Deluxe</t>
  </si>
  <si>
    <t>35.41.05.01</t>
  </si>
  <si>
    <t>BERG InGround Champion 330 + Safety Net Deluxe</t>
  </si>
  <si>
    <t>35.42.05.01</t>
  </si>
  <si>
    <t>BERG InGround Champion 380 + Safety Net Deluxe</t>
  </si>
  <si>
    <t>35.44.08.01</t>
  </si>
  <si>
    <t>BERG InGround Champion 430 + Safety Net Deluxe</t>
  </si>
  <si>
    <t>35.41.92.01</t>
  </si>
  <si>
    <t>35.42.92.01</t>
  </si>
  <si>
    <t>35.44.92.01</t>
  </si>
  <si>
    <t>35.41.91.01</t>
  </si>
  <si>
    <t>35.42.91.01</t>
  </si>
  <si>
    <t>35.44.91.01</t>
  </si>
  <si>
    <t>35.41.94.01</t>
  </si>
  <si>
    <t>BERG Champion Grey 330 + Safety Net Comfort</t>
  </si>
  <si>
    <t>35.42.94.01</t>
  </si>
  <si>
    <t>BERG Champion Grey 380 + Safety Net Comfort</t>
  </si>
  <si>
    <t>35.44.94.01</t>
  </si>
  <si>
    <t>BERG Champion Grey 430 + Safety Net Comfort</t>
  </si>
  <si>
    <t>35.41.93.01</t>
  </si>
  <si>
    <t>35.42.93.01</t>
  </si>
  <si>
    <t>35.44.93.01</t>
  </si>
  <si>
    <t>35.63.02.01</t>
  </si>
  <si>
    <t>BERG Grand Champion + Safety Net Deluxe</t>
  </si>
  <si>
    <t>35.63.32.01</t>
  </si>
  <si>
    <t>BERG Grand Champion Grey + Safety Net Deluxe</t>
  </si>
  <si>
    <t>35.63.01.01</t>
  </si>
  <si>
    <t>BERG InGround Grand Champion + Safety Net Deluxe</t>
  </si>
  <si>
    <t>35.63.31.01</t>
  </si>
  <si>
    <t>BERG InGround Grand Champion Grey + Safety Net Deluxe</t>
  </si>
  <si>
    <t>35.62.00.01</t>
  </si>
  <si>
    <t>BERG EazyFit (Regular) + Safety Net  Deluxe EazyFit</t>
  </si>
  <si>
    <t>35.62.90.01</t>
  </si>
  <si>
    <t>BERG EazyFit (Regular) Grey + Safety Net  Deluxe EazyFit</t>
  </si>
  <si>
    <t>35.62.01.01</t>
  </si>
  <si>
    <t>BERG InGround EazyFit + Safety Net  Deluxe EazyFit</t>
  </si>
  <si>
    <t>35.62.91.01</t>
  </si>
  <si>
    <t>BERG InGround EazyFit Grey + Safety Net Deluxe EazyFit</t>
  </si>
  <si>
    <t>35.63.00.01</t>
  </si>
  <si>
    <t>35.63.30.01</t>
  </si>
  <si>
    <t>BERG InGround Grand Champion Grey</t>
  </si>
  <si>
    <t>35.11.43.00</t>
  </si>
  <si>
    <t>BERG InGround Favorit Grey 330 (11 ft)</t>
  </si>
  <si>
    <t>35.12.43.00</t>
  </si>
  <si>
    <t>BERG InGround Favorit Grey 380 (12,5 ft)</t>
  </si>
  <si>
    <t>35.14.43.00</t>
  </si>
  <si>
    <t>BERG InGround Favorit Grey 430 (14 ft)</t>
  </si>
  <si>
    <t>35.39.57.01</t>
  </si>
  <si>
    <t>35.41.57.01</t>
  </si>
  <si>
    <t>35.42.57.01</t>
  </si>
  <si>
    <t>35.44.57.01</t>
  </si>
  <si>
    <t>35.41.53.01</t>
  </si>
  <si>
    <t>BERG InGround Champion Grey 330 (11ft)</t>
  </si>
  <si>
    <t>35.42.53.01</t>
  </si>
  <si>
    <t>BERG InGround Champion Grey 380 (12,5ft)</t>
  </si>
  <si>
    <t>35.44.53.01</t>
  </si>
  <si>
    <t>BERG InGround Champion Grey 430 (14ft)</t>
  </si>
  <si>
    <t>35.62.53.01</t>
  </si>
  <si>
    <t>35.62.57.01</t>
  </si>
  <si>
    <t>Product name</t>
  </si>
  <si>
    <t>Vendor</t>
  </si>
  <si>
    <t>Freight allocation group</t>
  </si>
  <si>
    <t>Visible in webshop</t>
  </si>
  <si>
    <t>Commission item group</t>
  </si>
  <si>
    <t>Alternative item number</t>
  </si>
  <si>
    <t>When to use</t>
  </si>
  <si>
    <t>Kit</t>
  </si>
  <si>
    <t>Item rebate group</t>
  </si>
  <si>
    <t>Coverage group</t>
  </si>
  <si>
    <t>Country/region</t>
  </si>
  <si>
    <t>Pallet quantity</t>
  </si>
  <si>
    <t>E-commerce</t>
  </si>
  <si>
    <t>Volume</t>
  </si>
  <si>
    <t>Net weight</t>
  </si>
  <si>
    <t>Tare weight</t>
  </si>
  <si>
    <t>Gross width</t>
  </si>
  <si>
    <t>Gross depth</t>
  </si>
  <si>
    <t>Gross height</t>
  </si>
  <si>
    <t>Commodity</t>
  </si>
  <si>
    <t>Danger class</t>
  </si>
  <si>
    <t>Search name</t>
  </si>
  <si>
    <t>Total weight</t>
  </si>
  <si>
    <t>Extended fieldcheck RT-WMS</t>
  </si>
  <si>
    <t>Product type</t>
  </si>
  <si>
    <t>Product subtype</t>
  </si>
  <si>
    <t>Product dimension group</t>
  </si>
  <si>
    <t>Production type</t>
  </si>
  <si>
    <t>UNDER_CON</t>
  </si>
  <si>
    <t>No</t>
  </si>
  <si>
    <t>Never</t>
  </si>
  <si>
    <t>Yes</t>
  </si>
  <si>
    <t>IMPOSSIBLE</t>
  </si>
  <si>
    <t>TRAMPO</t>
  </si>
  <si>
    <t>35090102</t>
  </si>
  <si>
    <t>Enabled</t>
  </si>
  <si>
    <t>Item</t>
  </si>
  <si>
    <t>Product</t>
  </si>
  <si>
    <t>BOM</t>
  </si>
  <si>
    <t>35090501</t>
  </si>
  <si>
    <t>35110102</t>
  </si>
  <si>
    <t>35110401</t>
  </si>
  <si>
    <t>PENDING</t>
  </si>
  <si>
    <t>35119200</t>
  </si>
  <si>
    <t>35119400</t>
  </si>
  <si>
    <t>35120102</t>
  </si>
  <si>
    <t>35120401</t>
  </si>
  <si>
    <t>35129200</t>
  </si>
  <si>
    <t>35129400</t>
  </si>
  <si>
    <t>35140202</t>
  </si>
  <si>
    <t>35140302</t>
  </si>
  <si>
    <t>35140901</t>
  </si>
  <si>
    <t>35149200</t>
  </si>
  <si>
    <t>35149400</t>
  </si>
  <si>
    <t>CHN</t>
  </si>
  <si>
    <t>95069190</t>
  </si>
  <si>
    <t>35390102</t>
  </si>
  <si>
    <t>35390401</t>
  </si>
  <si>
    <t>35390501</t>
  </si>
  <si>
    <t>35390601</t>
  </si>
  <si>
    <t>35410102</t>
  </si>
  <si>
    <t>35410401</t>
  </si>
  <si>
    <t>35410501</t>
  </si>
  <si>
    <t>35410601</t>
  </si>
  <si>
    <t>35.41.80.00</t>
  </si>
  <si>
    <t>BERG Champion USA 11ft + BERG Safety Net Deluxe USA</t>
  </si>
  <si>
    <t>35418000</t>
  </si>
  <si>
    <t>35.41.81.00</t>
  </si>
  <si>
    <t>BERG InGround Champion USA 11ft + BERG Safety Net Deluxe USA</t>
  </si>
  <si>
    <t>STD</t>
  </si>
  <si>
    <t>35418100</t>
  </si>
  <si>
    <t>35419101</t>
  </si>
  <si>
    <t>35419201</t>
  </si>
  <si>
    <t>35419301</t>
  </si>
  <si>
    <t>35419401</t>
  </si>
  <si>
    <t>35420102</t>
  </si>
  <si>
    <t>35420401</t>
  </si>
  <si>
    <t>35420501</t>
  </si>
  <si>
    <t>35420601</t>
  </si>
  <si>
    <t>35429101</t>
  </si>
  <si>
    <t>35429201</t>
  </si>
  <si>
    <t>35429301</t>
  </si>
  <si>
    <t>35429401</t>
  </si>
  <si>
    <t>35440102</t>
  </si>
  <si>
    <t>35440202</t>
  </si>
  <si>
    <t>35440501</t>
  </si>
  <si>
    <t>35440601</t>
  </si>
  <si>
    <t>35440801</t>
  </si>
  <si>
    <t>35440901</t>
  </si>
  <si>
    <t>35.44.80.00</t>
  </si>
  <si>
    <t>BERG Champion USA 14ft + BERG Safety Net Deluxe USA</t>
  </si>
  <si>
    <t>35448000</t>
  </si>
  <si>
    <t>35.44.81.00</t>
  </si>
  <si>
    <t>BERG InGround Champion USA 14ft + BERG Safety Net Deluxe USA</t>
  </si>
  <si>
    <t>35448100</t>
  </si>
  <si>
    <t>35449101</t>
  </si>
  <si>
    <t>35449201</t>
  </si>
  <si>
    <t>35449301</t>
  </si>
  <si>
    <t>35449401</t>
  </si>
  <si>
    <t>35620001</t>
  </si>
  <si>
    <t>35620101</t>
  </si>
  <si>
    <t>35629001</t>
  </si>
  <si>
    <t>35629101</t>
  </si>
  <si>
    <t>35630001</t>
  </si>
  <si>
    <t>35630101</t>
  </si>
  <si>
    <t>35630201</t>
  </si>
  <si>
    <t>35633001</t>
  </si>
  <si>
    <t>35633101</t>
  </si>
  <si>
    <t>35633201</t>
  </si>
  <si>
    <t>35114300</t>
  </si>
  <si>
    <t>35124300</t>
  </si>
  <si>
    <t>35144300</t>
  </si>
  <si>
    <t>350446</t>
  </si>
  <si>
    <t>35395701</t>
  </si>
  <si>
    <t>35415301</t>
  </si>
  <si>
    <t>35415701</t>
  </si>
  <si>
    <t>35425301</t>
  </si>
  <si>
    <t>35425701</t>
  </si>
  <si>
    <t>35445301</t>
  </si>
  <si>
    <t>35445701</t>
  </si>
  <si>
    <t>35625301</t>
  </si>
  <si>
    <t>35625701</t>
  </si>
  <si>
    <t>35.63.83.00</t>
  </si>
  <si>
    <t>BERG Grand Champion Grey (InGround) (Box 2/2)</t>
  </si>
  <si>
    <t>351840</t>
  </si>
  <si>
    <t>35638300</t>
  </si>
  <si>
    <t>37.81.00.00</t>
  </si>
  <si>
    <t>BERG Elite Red 330 (11 ft) + Safety Net Deluxe</t>
  </si>
  <si>
    <t>37.81.03.00</t>
  </si>
  <si>
    <t>BERG Elite Grey 330 (11 ft) + Safety Net Deluxe</t>
  </si>
  <si>
    <t>37.81.07.00</t>
  </si>
  <si>
    <t>BERG Elite Green 330 (11 ft) + Safety Net Deluxe</t>
  </si>
  <si>
    <t>37.82.00.00</t>
  </si>
  <si>
    <t>BERG Elite Red 380 (12,5 ft) + Safety Net Deluxe</t>
  </si>
  <si>
    <t>37.82.03.00</t>
  </si>
  <si>
    <t>BERG Elite Grey 380 (12,5 ft) + Safety Net Deluxe</t>
  </si>
  <si>
    <t>37.82.07.00</t>
  </si>
  <si>
    <t>BERG Elite Green 380 (12,5 ft) + Safety Net Deluxe</t>
  </si>
  <si>
    <t>37.84.00.00</t>
  </si>
  <si>
    <t>BERG Elite Red 430 (14 ft) + Safety Net Deluxe</t>
  </si>
  <si>
    <t>37.84.03.00</t>
  </si>
  <si>
    <t>BERG Elite Grey 430 (14 ft) + Safety Net Deluxe</t>
  </si>
  <si>
    <t>37.84.07.00</t>
  </si>
  <si>
    <t>BERG Elite Green 430 (14 ft) + Safety Net Deluxe</t>
  </si>
  <si>
    <t>37.84.13.00</t>
  </si>
  <si>
    <t>BERG Elite Grey 430 (14 ft) Tattoo + Safety Net Deluxe</t>
  </si>
  <si>
    <t>37.91.00.00</t>
  </si>
  <si>
    <t>BERG InGround Elite Red 330 (11 ft) + Safety Net Deluxe</t>
  </si>
  <si>
    <t>37.91.03.00</t>
  </si>
  <si>
    <t>BERG InGround Elite Grey 330 (11 ft) + Safety Net Deluxe</t>
  </si>
  <si>
    <t>37.91.07.00</t>
  </si>
  <si>
    <t>BERG InGround Elite Green 330 (11 ft) + Safety Net Deluxe</t>
  </si>
  <si>
    <t>37.92.00.00</t>
  </si>
  <si>
    <t>BERG InGround Elite Red 380 (12,5 ft) + Safety Net Deluxe</t>
  </si>
  <si>
    <t>37.92.03.00</t>
  </si>
  <si>
    <t>BERG InGround Elite Grey 380 (12,5 ft) + Safety Net Deluxe</t>
  </si>
  <si>
    <t>37.92.07.00</t>
  </si>
  <si>
    <t>BERG InGround Elite Green 380 (12,5 ft) + Safety Net Deluxe</t>
  </si>
  <si>
    <t>37.94.00.00</t>
  </si>
  <si>
    <t>BERG InGround Elite Red 430 (14 ft) + Safety Net Deluxe</t>
  </si>
  <si>
    <t>37.94.03.00</t>
  </si>
  <si>
    <t>BERG InGround Elite Grey 430 (14 ft) + Safety Net Deluxe</t>
  </si>
  <si>
    <t>37.94.07.00</t>
  </si>
  <si>
    <t>BERG InGround Elite Green 430 (14 ft) + Safety Net Deluxe</t>
  </si>
  <si>
    <t>37.94.13.00</t>
  </si>
  <si>
    <t>BERG InGround Elite Grey 430 Tattoo + Safety Net Deluxe</t>
  </si>
  <si>
    <t>37.51.00.00</t>
  </si>
  <si>
    <t>BERG InGround Elite Red 330 (11ft)</t>
  </si>
  <si>
    <t>37.51.03.00</t>
  </si>
  <si>
    <t>BERG InGround Elite Grey 330 (11ft)</t>
  </si>
  <si>
    <t>37.51.07.00</t>
  </si>
  <si>
    <t>BERG InGround Elite Green 330 (11ft)</t>
  </si>
  <si>
    <t>37.52.00.00</t>
  </si>
  <si>
    <t>BERG InGround Elite Red 380 (12,5ft)</t>
  </si>
  <si>
    <t>37.52.03.00</t>
  </si>
  <si>
    <t>BERG InGround Elite Grey 380 (12,5ft)</t>
  </si>
  <si>
    <t>37.52.07.00</t>
  </si>
  <si>
    <t>BERG InGround Elite Green 380 (12,5ft)</t>
  </si>
  <si>
    <t>37.54.00.00</t>
  </si>
  <si>
    <t>BERG InGround Elite Red 430 (14ft)</t>
  </si>
  <si>
    <t>37.54.03.00</t>
  </si>
  <si>
    <t>BERG InGround Elite Grey 430 (14ft)</t>
  </si>
  <si>
    <t>37.54.07.00</t>
  </si>
  <si>
    <t>BERG InGround Elite Green 430 (14ft)</t>
  </si>
  <si>
    <t>37.54.13.00</t>
  </si>
  <si>
    <t>BERG InGround Elite Grey 430 (14ft) Tattoo</t>
  </si>
  <si>
    <t>35.99.68.00</t>
  </si>
  <si>
    <t>BERG Weather Cover Extra Grey Grand Champion</t>
  </si>
  <si>
    <t>35.98.33.00</t>
  </si>
  <si>
    <t>BERG Weather Cover Extra Grey EazyFit (220x330)</t>
  </si>
  <si>
    <t>Bar code</t>
  </si>
  <si>
    <t>8715839034868</t>
  </si>
  <si>
    <t>01.95.14.00</t>
  </si>
  <si>
    <t>BERG Buster BF prof</t>
  </si>
  <si>
    <t>8716106025404</t>
  </si>
  <si>
    <t>02.41.82.00</t>
  </si>
  <si>
    <t>GK 1505 - KRAMP Midi AF</t>
  </si>
  <si>
    <t>8715839010831</t>
  </si>
  <si>
    <t>02.66.02.00</t>
  </si>
  <si>
    <t>BERG Donald AF</t>
  </si>
  <si>
    <t>8715839029345</t>
  </si>
  <si>
    <t>02.66.02.01</t>
  </si>
  <si>
    <t>BERG Donald F Blue</t>
  </si>
  <si>
    <t>8715839029352</t>
  </si>
  <si>
    <t>02.66.02.02</t>
  </si>
  <si>
    <t>BERG Donald F Red</t>
  </si>
  <si>
    <t>8715839020373</t>
  </si>
  <si>
    <t>02.79.52.01</t>
  </si>
  <si>
    <t>BERG Delta AF</t>
  </si>
  <si>
    <t>8715839014785</t>
  </si>
  <si>
    <t>03.11.50.00</t>
  </si>
  <si>
    <t>BERG Basic Rood + Duostoel</t>
  </si>
  <si>
    <t>8715839014389</t>
  </si>
  <si>
    <t>03.11.52.00</t>
  </si>
  <si>
    <t>BERG Basic AF Rood + Duostoel</t>
  </si>
  <si>
    <t>8715839020953</t>
  </si>
  <si>
    <t>03.15.00.00</t>
  </si>
  <si>
    <t>BERG Basic</t>
  </si>
  <si>
    <t>8715839020960</t>
  </si>
  <si>
    <t>03.15.02.00</t>
  </si>
  <si>
    <t>BERG Basic AF blauw</t>
  </si>
  <si>
    <t>8715839022544</t>
  </si>
  <si>
    <t>03.15.80.00</t>
  </si>
  <si>
    <t>BERG Basic zilver</t>
  </si>
  <si>
    <t>8715839022551</t>
  </si>
  <si>
    <t>03.15.82.00</t>
  </si>
  <si>
    <t>BERG Basic AF zilver</t>
  </si>
  <si>
    <t>8715839048308</t>
  </si>
  <si>
    <t>03.16.02.00</t>
  </si>
  <si>
    <t>BERG Basic AF + Rear Lift</t>
  </si>
  <si>
    <t>8715839013511</t>
  </si>
  <si>
    <t>03.33.42.00</t>
  </si>
  <si>
    <t>BERG Vision AF zwart +duostoel</t>
  </si>
  <si>
    <t>8715839040982</t>
  </si>
  <si>
    <t>03.35.01.00</t>
  </si>
  <si>
    <t>BERG Extra F blauw</t>
  </si>
  <si>
    <t>8715839010466</t>
  </si>
  <si>
    <t>03.35.02.00</t>
  </si>
  <si>
    <t>BERG Extra AF blauw</t>
  </si>
  <si>
    <t>8715839044898</t>
  </si>
  <si>
    <t>03.35.03.00</t>
  </si>
  <si>
    <t>BERG Extra AF blauw DR</t>
  </si>
  <si>
    <t>8715839024081</t>
  </si>
  <si>
    <t>03.35.52.00</t>
  </si>
  <si>
    <t>BERG Orla AF purple</t>
  </si>
  <si>
    <t>8715839022445</t>
  </si>
  <si>
    <t>03.35.62.00</t>
  </si>
  <si>
    <t>BERG Orla AF pink-blue</t>
  </si>
  <si>
    <t>8715839022568</t>
  </si>
  <si>
    <t>03.35.82.00</t>
  </si>
  <si>
    <t>BERG Extra AF zilver</t>
  </si>
  <si>
    <t>8715839041521</t>
  </si>
  <si>
    <t>03.36.00.01</t>
  </si>
  <si>
    <t>BERG Buzz AF</t>
  </si>
  <si>
    <t>8715839041538</t>
  </si>
  <si>
    <t>03.36.00.02</t>
  </si>
  <si>
    <t>BERG Flame AF</t>
  </si>
  <si>
    <t>8715839041545</t>
  </si>
  <si>
    <t>03.36.00.03</t>
  </si>
  <si>
    <t>BERG Green Lightning AF</t>
  </si>
  <si>
    <t>8715839010701</t>
  </si>
  <si>
    <t>03.36.02.00</t>
  </si>
  <si>
    <t>BERG Extra AF Sport Blauw</t>
  </si>
  <si>
    <t>8715839021813</t>
  </si>
  <si>
    <t>03.36.03.00</t>
  </si>
  <si>
    <t>BERG Extra BF-3 Sport blauw</t>
  </si>
  <si>
    <t>8715839023480</t>
  </si>
  <si>
    <t>03.36.22.00</t>
  </si>
  <si>
    <t>BERG Silver Race 25</t>
  </si>
  <si>
    <t>8715839028003</t>
  </si>
  <si>
    <t>03.36.32.00</t>
  </si>
  <si>
    <t>BERG Agravis 2011</t>
  </si>
  <si>
    <t>8715839041552</t>
  </si>
  <si>
    <t>03.36.33.00</t>
  </si>
  <si>
    <t>BERG Agravis 2013</t>
  </si>
  <si>
    <t>8715839028461</t>
  </si>
  <si>
    <t>03.36.42.00</t>
  </si>
  <si>
    <t>BERG Sprinter AF + Duostoel</t>
  </si>
  <si>
    <t>8715839022575</t>
  </si>
  <si>
    <t>03.36.82.00</t>
  </si>
  <si>
    <t>BERG Extra AF Sport zilver</t>
  </si>
  <si>
    <t>8715839022582</t>
  </si>
  <si>
    <t>03.36.83.00</t>
  </si>
  <si>
    <t>BERG Extra BF-3 Sport zilver</t>
  </si>
  <si>
    <t>8715839021950</t>
  </si>
  <si>
    <t>03.38.02.00</t>
  </si>
  <si>
    <t>BERG Extra AF + Duostoel</t>
  </si>
  <si>
    <t>8715839022742</t>
  </si>
  <si>
    <t>03.39.52.00</t>
  </si>
  <si>
    <t>BERG Rally AF rood</t>
  </si>
  <si>
    <t>8716106025374</t>
  </si>
  <si>
    <t>03.40.83.01</t>
  </si>
  <si>
    <t>GK 3505 - KRAMP Maxi+ BF-3</t>
  </si>
  <si>
    <t>8716106025411</t>
  </si>
  <si>
    <t>03.41.80.00</t>
  </si>
  <si>
    <t>GK 2500 - KRAMP Maxi</t>
  </si>
  <si>
    <t>8716106025428</t>
  </si>
  <si>
    <t>03.41.82.00</t>
  </si>
  <si>
    <t>GK 2505 - KRAMP Maxi AF</t>
  </si>
  <si>
    <t>8713235012107</t>
  </si>
  <si>
    <t>03.41.85.00</t>
  </si>
  <si>
    <t>BERG Mustang Classic  </t>
  </si>
  <si>
    <t>8713235012084</t>
  </si>
  <si>
    <t>03.41.86.00</t>
  </si>
  <si>
    <t>Mustang Deluxe</t>
  </si>
  <si>
    <t>8713235012077</t>
  </si>
  <si>
    <t>03.41.87.00</t>
  </si>
  <si>
    <t>Mustang Deluxe Sport</t>
  </si>
  <si>
    <t>8715839020434</t>
  </si>
  <si>
    <t>03.44.00.00</t>
  </si>
  <si>
    <t>BERG Politie</t>
  </si>
  <si>
    <t>8715839027099</t>
  </si>
  <si>
    <t>03.45.62.00</t>
  </si>
  <si>
    <t>BERG Fire Fighter AF</t>
  </si>
  <si>
    <t>8715839029444</t>
  </si>
  <si>
    <t>03.50.00.00</t>
  </si>
  <si>
    <t>BERG Offroad Special</t>
  </si>
  <si>
    <t>8715839010756</t>
  </si>
  <si>
    <t>03.50.42.00</t>
  </si>
  <si>
    <t>BERG X-plorer XT (AF)</t>
  </si>
  <si>
    <t>8715839010763</t>
  </si>
  <si>
    <t>03.50.43.00</t>
  </si>
  <si>
    <t>BERG X-plorer XT-3 (BF-3)</t>
  </si>
  <si>
    <t>8715839022759</t>
  </si>
  <si>
    <t>03.51.01.00</t>
  </si>
  <si>
    <t>BERG Complete F prof</t>
  </si>
  <si>
    <t>8715839029734</t>
  </si>
  <si>
    <t>03.55.00.00</t>
  </si>
  <si>
    <t>BERG Black Edition AF</t>
  </si>
  <si>
    <t>8715839047776</t>
  </si>
  <si>
    <t>03.55.42.00</t>
  </si>
  <si>
    <t>BERG Chrome Edition AF</t>
  </si>
  <si>
    <t>8715839010787</t>
  </si>
  <si>
    <t>03.55.82.00</t>
  </si>
  <si>
    <t>BERG Racing GT (AF)</t>
  </si>
  <si>
    <t>8715839010794</t>
  </si>
  <si>
    <t>03.55.83.00</t>
  </si>
  <si>
    <t>BERG Racing GT-3 (BF-3)</t>
  </si>
  <si>
    <t>8715839042054</t>
  </si>
  <si>
    <t>03.55.84.00</t>
  </si>
  <si>
    <t>BERG Racing BF-3</t>
  </si>
  <si>
    <t>8715839021325</t>
  </si>
  <si>
    <t>03.62.02.00</t>
  </si>
  <si>
    <t>BERG Complete prof</t>
  </si>
  <si>
    <t>8715839020533</t>
  </si>
  <si>
    <t>03.62.12.00</t>
  </si>
  <si>
    <t>BERG Racer AF geel</t>
  </si>
  <si>
    <t>8715839022476</t>
  </si>
  <si>
    <t>03.62.13.00</t>
  </si>
  <si>
    <t>BERG Racer BF-3 Geel</t>
  </si>
  <si>
    <t>8715839023237</t>
  </si>
  <si>
    <t>03.62.51.00</t>
  </si>
  <si>
    <t>BERG Phazer GT USA red</t>
  </si>
  <si>
    <t>8715839020595</t>
  </si>
  <si>
    <t>03.66.42.00</t>
  </si>
  <si>
    <t>BERG Pirato AF</t>
  </si>
  <si>
    <t>8715839018769</t>
  </si>
  <si>
    <t>03.67.02.00</t>
  </si>
  <si>
    <t>BERG X-Tech AF</t>
  </si>
  <si>
    <t>8715839022056</t>
  </si>
  <si>
    <t>03.67.12.00</t>
  </si>
  <si>
    <t>BERG Construxx AF</t>
  </si>
  <si>
    <t>8715839023510</t>
  </si>
  <si>
    <t>03.67.32.00</t>
  </si>
  <si>
    <t>Jeep Wrangler Skelter</t>
  </si>
  <si>
    <t>8715839042047</t>
  </si>
  <si>
    <t>03.67.33.00</t>
  </si>
  <si>
    <t>Wrangler Pedal Go-Kart BF-3</t>
  </si>
  <si>
    <t>8715839047752</t>
  </si>
  <si>
    <t>03.67.34.00</t>
  </si>
  <si>
    <t>JEEP Expedition AF</t>
  </si>
  <si>
    <t>8715839047769</t>
  </si>
  <si>
    <t>03.67.35.00</t>
  </si>
  <si>
    <t>JEEP Expedition BF-3</t>
  </si>
  <si>
    <t>8715839023725</t>
  </si>
  <si>
    <t>03.67.42.00</t>
  </si>
  <si>
    <t>BERG Mercedes AF</t>
  </si>
  <si>
    <t>8715839022490</t>
  </si>
  <si>
    <t>03.68.12.00</t>
  </si>
  <si>
    <t>BERG Construxx &amp; Liftbakje</t>
  </si>
  <si>
    <t>8715839020502</t>
  </si>
  <si>
    <t>03.70.02.01</t>
  </si>
  <si>
    <t>BERG Compleet AF</t>
  </si>
  <si>
    <t>8715839023626</t>
  </si>
  <si>
    <t>03.70.72.00</t>
  </si>
  <si>
    <t>BERG Unicorn AF</t>
  </si>
  <si>
    <t>8715839026368</t>
  </si>
  <si>
    <t>03.70.73.00</t>
  </si>
  <si>
    <t>8715839021622</t>
  </si>
  <si>
    <t>03.70.82.00</t>
  </si>
  <si>
    <t>BERG Silverstar AF</t>
  </si>
  <si>
    <t>8715839023695</t>
  </si>
  <si>
    <t>03.70.82.02</t>
  </si>
  <si>
    <t>8715839019391</t>
  </si>
  <si>
    <t>03.73.02.00</t>
  </si>
  <si>
    <t>BERG Claas AF</t>
  </si>
  <si>
    <t>8715839044690</t>
  </si>
  <si>
    <t>03.73.02.01</t>
  </si>
  <si>
    <t>8715839019407</t>
  </si>
  <si>
    <t>03.73.03.00</t>
  </si>
  <si>
    <t>BERG Claas BF-3</t>
  </si>
  <si>
    <t>8715839044706</t>
  </si>
  <si>
    <t>03.73.03.01</t>
  </si>
  <si>
    <t>8715839050233</t>
  </si>
  <si>
    <t>03.73.03.02</t>
  </si>
  <si>
    <t>8715839014686</t>
  </si>
  <si>
    <t>03.73.22.00</t>
  </si>
  <si>
    <t>BERG John Deere AF</t>
  </si>
  <si>
    <t>8715839014693</t>
  </si>
  <si>
    <t>03.73.23.00</t>
  </si>
  <si>
    <t>BERG John Deere BF-3</t>
  </si>
  <si>
    <t>8715839050240</t>
  </si>
  <si>
    <t>03.73.23.01</t>
  </si>
  <si>
    <t>8715839018707</t>
  </si>
  <si>
    <t>03.73.32.00</t>
  </si>
  <si>
    <t>BERG Fendt AF</t>
  </si>
  <si>
    <t>8715839021011</t>
  </si>
  <si>
    <t>03.73.33.00</t>
  </si>
  <si>
    <t>BERG Fendt BF-3</t>
  </si>
  <si>
    <t>8715839050257</t>
  </si>
  <si>
    <t>03.73.33.01</t>
  </si>
  <si>
    <t>8715839010855</t>
  </si>
  <si>
    <t>03.73.62.00</t>
  </si>
  <si>
    <t>8715839010862</t>
  </si>
  <si>
    <t>03.73.63.00</t>
  </si>
  <si>
    <t>BERG John Deere BF-3 (USA)</t>
  </si>
  <si>
    <t>8715839023442</t>
  </si>
  <si>
    <t>03.73.72.00</t>
  </si>
  <si>
    <t>BERG Case-IH AF</t>
  </si>
  <si>
    <t>8715839024074</t>
  </si>
  <si>
    <t>03.73.73.00</t>
  </si>
  <si>
    <t>BERG Case-IH BF-3</t>
  </si>
  <si>
    <t>8715839050264</t>
  </si>
  <si>
    <t>03.73.73.01</t>
  </si>
  <si>
    <t>8715839027075</t>
  </si>
  <si>
    <t>03.73.82.00</t>
  </si>
  <si>
    <t>BERG New Holland AF</t>
  </si>
  <si>
    <t>8715839027082</t>
  </si>
  <si>
    <t>03.73.83.00</t>
  </si>
  <si>
    <t>BERG New Holland BF-3</t>
  </si>
  <si>
    <t>8715839050271</t>
  </si>
  <si>
    <t>03.73.83.01</t>
  </si>
  <si>
    <t>8715839047370</t>
  </si>
  <si>
    <t>03.73.92.01</t>
  </si>
  <si>
    <t>BERG Deutz Fahr AF</t>
  </si>
  <si>
    <t>8715839047387</t>
  </si>
  <si>
    <t>03.73.93.01</t>
  </si>
  <si>
    <t>BERG Deutz Fahr BF-3</t>
  </si>
  <si>
    <t>8715839050288</t>
  </si>
  <si>
    <t>03.73.93.02</t>
  </si>
  <si>
    <t>8715839019636</t>
  </si>
  <si>
    <t>03.74.32.00</t>
  </si>
  <si>
    <t>BERG Safari AF</t>
  </si>
  <si>
    <t>8715839010770</t>
  </si>
  <si>
    <t>03.80.43.00</t>
  </si>
  <si>
    <t>BERG X-plorer X-treme (BF-3)</t>
  </si>
  <si>
    <t>8715839021165</t>
  </si>
  <si>
    <t>03.80.43.10</t>
  </si>
  <si>
    <t>8715839010800</t>
  </si>
  <si>
    <t>03.85.83.00</t>
  </si>
  <si>
    <t>BERG Racing GTX-treme (BF-3)</t>
  </si>
  <si>
    <t>8715839010824</t>
  </si>
  <si>
    <t>03.90.57.00</t>
  </si>
  <si>
    <t>Ferrari FXX Exclusive (BF-7)</t>
  </si>
  <si>
    <t>8715839018745</t>
  </si>
  <si>
    <t>04.11.52.00</t>
  </si>
  <si>
    <t>BERG Monaco AF</t>
  </si>
  <si>
    <t>8715839017526</t>
  </si>
  <si>
    <t>04.21.83.00</t>
  </si>
  <si>
    <t>BERG Typhoon BF-3 street</t>
  </si>
  <si>
    <t>8715839020618</t>
  </si>
  <si>
    <t>04.25.04.00</t>
  </si>
  <si>
    <t>BERG Buster BF USA blue</t>
  </si>
  <si>
    <t>8715839020625</t>
  </si>
  <si>
    <t>04.25.14.00</t>
  </si>
  <si>
    <t>BERG Buster BF USA yellow</t>
  </si>
  <si>
    <t>8715839021158</t>
  </si>
  <si>
    <t>04.25.64.00</t>
  </si>
  <si>
    <t>BERG Safari BF USA</t>
  </si>
  <si>
    <t>8715839017533</t>
  </si>
  <si>
    <t>04.62.87.00</t>
  </si>
  <si>
    <t>BERG Tornado BF-7 street</t>
  </si>
  <si>
    <t>8715839010060</t>
  </si>
  <si>
    <t>06.12.10.00</t>
  </si>
  <si>
    <t>BERG Cross</t>
  </si>
  <si>
    <t>8715839010459</t>
  </si>
  <si>
    <t>06.12.12.00</t>
  </si>
  <si>
    <t>BERG Cross AF</t>
  </si>
  <si>
    <t>8715839019063</t>
  </si>
  <si>
    <t>06.13.50.00</t>
  </si>
  <si>
    <t>BERG Cyclo</t>
  </si>
  <si>
    <t>8715839019070</t>
  </si>
  <si>
    <t>06.13.52.00</t>
  </si>
  <si>
    <t>BERG Cyclo AF</t>
  </si>
  <si>
    <t>8715839012422</t>
  </si>
  <si>
    <t>06.15.52.00</t>
  </si>
  <si>
    <t>BERG Roxy AF roze-oranje</t>
  </si>
  <si>
    <t>8715839012514</t>
  </si>
  <si>
    <t>06.15.62.00</t>
  </si>
  <si>
    <t>BERG Roxy AF roze-blauw</t>
  </si>
  <si>
    <t>8715839018783</t>
  </si>
  <si>
    <t>06.25.02.00</t>
  </si>
  <si>
    <t>BERG Gold AF</t>
  </si>
  <si>
    <t>8715839010817</t>
  </si>
  <si>
    <t>06.26.52.00</t>
  </si>
  <si>
    <t>Ferrari FXX Racer (AF)</t>
  </si>
  <si>
    <t>8715839050936</t>
  </si>
  <si>
    <t xml:space="preserve">BERG Extra BFR
</t>
  </si>
  <si>
    <t>8715839060744</t>
  </si>
  <si>
    <t>07.10.00.20</t>
  </si>
  <si>
    <t>BERG Extra BFR CCC</t>
  </si>
  <si>
    <t>8715839050943</t>
  </si>
  <si>
    <t>8715839060775</t>
  </si>
  <si>
    <t>07.10.01.20</t>
  </si>
  <si>
    <t>BERG Extra Sport BFR CCC</t>
  </si>
  <si>
    <t>8715839050950</t>
  </si>
  <si>
    <t>8715839060782</t>
  </si>
  <si>
    <t>07.10.02.20</t>
  </si>
  <si>
    <t>BERG Race BFR CCC</t>
  </si>
  <si>
    <t>8715839050967</t>
  </si>
  <si>
    <t>8715839060799</t>
  </si>
  <si>
    <t>07.10.03.20</t>
  </si>
  <si>
    <t>BERG X-plore BFR CCC</t>
  </si>
  <si>
    <t>8715839050974</t>
  </si>
  <si>
    <t>8715839050981</t>
  </si>
  <si>
    <t>8715839060805</t>
  </si>
  <si>
    <t>07.10.05.20</t>
  </si>
  <si>
    <t>BERG Black Edition BFR CCC</t>
  </si>
  <si>
    <t>8715839050998</t>
  </si>
  <si>
    <t>8715839060812</t>
  </si>
  <si>
    <t>07.10.06.20</t>
  </si>
  <si>
    <t>BERG Basic BFR CCC</t>
  </si>
  <si>
    <t>8715839051001</t>
  </si>
  <si>
    <t>8715839060829</t>
  </si>
  <si>
    <t>07.10.07.20</t>
  </si>
  <si>
    <t>BERG Safari BFR CCC</t>
  </si>
  <si>
    <t>8715839051018</t>
  </si>
  <si>
    <t>8715839060836</t>
  </si>
  <si>
    <t>07.10.08.20</t>
  </si>
  <si>
    <t>BERG X-Cross BFR CCC</t>
  </si>
  <si>
    <t>8715839060034</t>
  </si>
  <si>
    <t>07.10.09.00</t>
  </si>
  <si>
    <t>BERG Extra BFR Sport red + passanger seat</t>
  </si>
  <si>
    <t>8715839063462</t>
  </si>
  <si>
    <t>07.10.10.00</t>
  </si>
  <si>
    <t>BERG Basic Red BFR</t>
  </si>
  <si>
    <t>8715839063479</t>
  </si>
  <si>
    <t>07.10.11.00</t>
  </si>
  <si>
    <t>BERG Extra Red BFR</t>
  </si>
  <si>
    <t>8715839063486</t>
  </si>
  <si>
    <t>07.10.12.00</t>
  </si>
  <si>
    <t>BERG Extra Sport Red BFR</t>
  </si>
  <si>
    <t>8715839063509</t>
  </si>
  <si>
    <t>07.10.13.00</t>
  </si>
  <si>
    <t>BERG Special christmas 2017 BFR</t>
  </si>
  <si>
    <t>8715839051025</t>
  </si>
  <si>
    <t>8715839060843</t>
  </si>
  <si>
    <t>07.11.00.20</t>
  </si>
  <si>
    <t>BERG John Deere BFR CCC</t>
  </si>
  <si>
    <t>8715839051032</t>
  </si>
  <si>
    <t>BERG Claas BFR</t>
  </si>
  <si>
    <t>8715839060850</t>
  </si>
  <si>
    <t>07.11.01.20</t>
  </si>
  <si>
    <t>BERG Claas BFR CCC</t>
  </si>
  <si>
    <t>8715839051049</t>
  </si>
  <si>
    <t>BERG Case-IH BFR</t>
  </si>
  <si>
    <t>8715839060867</t>
  </si>
  <si>
    <t>07.11.02.20</t>
  </si>
  <si>
    <t>BERG Case IH BFR CCC</t>
  </si>
  <si>
    <t>8715839051056</t>
  </si>
  <si>
    <t>8715839060874</t>
  </si>
  <si>
    <t>07.11.03.20</t>
  </si>
  <si>
    <t>BERG New Holland BFR CCC</t>
  </si>
  <si>
    <t>8715839051063</t>
  </si>
  <si>
    <t>8715839060904</t>
  </si>
  <si>
    <t>07.11.04.20</t>
  </si>
  <si>
    <t>BERG Fendt BFR CCC</t>
  </si>
  <si>
    <t>8715839051070</t>
  </si>
  <si>
    <t>BERG Deutz Fahr BFR</t>
  </si>
  <si>
    <t>8715839060911</t>
  </si>
  <si>
    <t>07.11.05.20</t>
  </si>
  <si>
    <t>BERG Deutz Fahr BFR CCC</t>
  </si>
  <si>
    <t>8715839051087</t>
  </si>
  <si>
    <t>BERG JEEP Revolution BFR</t>
  </si>
  <si>
    <t>8715839060928</t>
  </si>
  <si>
    <t>07.11.06.20</t>
  </si>
  <si>
    <t>8715839058598</t>
  </si>
  <si>
    <t>BERG Chopper</t>
  </si>
  <si>
    <t>8715839062427</t>
  </si>
  <si>
    <t>07.12.00.20</t>
  </si>
  <si>
    <t>BERG Duo Chopper BF CN</t>
  </si>
  <si>
    <t>8715839064377</t>
  </si>
  <si>
    <t>07.12.01.00</t>
  </si>
  <si>
    <t>BERG Chopper BFR</t>
  </si>
  <si>
    <t>8715839061703</t>
  </si>
  <si>
    <t>07.15.00.00</t>
  </si>
  <si>
    <t>BERG Extra Sport Laumann</t>
  </si>
  <si>
    <t>8715839063189</t>
  </si>
  <si>
    <t>07.15.01.00</t>
  </si>
  <si>
    <t>BERG XXL Extra Sport BFR</t>
  </si>
  <si>
    <t>8715839063196</t>
  </si>
  <si>
    <t>07.15.02.00</t>
  </si>
  <si>
    <t>BERG XXL Race BFR</t>
  </si>
  <si>
    <t>8715839063202</t>
  </si>
  <si>
    <t>07.15.03.00</t>
  </si>
  <si>
    <t>BERG XXL X-Plore BFR</t>
  </si>
  <si>
    <t>8715839063219</t>
  </si>
  <si>
    <t>07.15.05.00</t>
  </si>
  <si>
    <t>BERG XXL Black Edition BFR</t>
  </si>
  <si>
    <t>8715839063226</t>
  </si>
  <si>
    <t>07.15.07.00</t>
  </si>
  <si>
    <t>BERG XXL Safari BFR</t>
  </si>
  <si>
    <t>8715839063233</t>
  </si>
  <si>
    <t>07.15.08.00</t>
  </si>
  <si>
    <t>BERG XXL X-Cross BFR</t>
  </si>
  <si>
    <t>8715839063455</t>
  </si>
  <si>
    <t>07.15.12.00</t>
  </si>
  <si>
    <t>BERG XXL Extra Sport Red BFR</t>
  </si>
  <si>
    <t>8715839063240</t>
  </si>
  <si>
    <t>07.16.00.00</t>
  </si>
  <si>
    <t>BERG XXL John Deere BFR</t>
  </si>
  <si>
    <t>8715839063257</t>
  </si>
  <si>
    <t>07.16.01.00</t>
  </si>
  <si>
    <t>BERG XXL CLAAS BFR</t>
  </si>
  <si>
    <t>8715839063264</t>
  </si>
  <si>
    <t>07.16.02.00</t>
  </si>
  <si>
    <t>BERG XXL Case IH BFR</t>
  </si>
  <si>
    <t>8715839063271</t>
  </si>
  <si>
    <t>07.16.03.00</t>
  </si>
  <si>
    <t>BERG XXL New Holland BFR</t>
  </si>
  <si>
    <t>8715839063288</t>
  </si>
  <si>
    <t>07.16.04.00</t>
  </si>
  <si>
    <t>BERG XXL Fendt BFR</t>
  </si>
  <si>
    <t>8715839063295</t>
  </si>
  <si>
    <t>07.16.05.00</t>
  </si>
  <si>
    <t>BERG XXL DEUTZ-FAHR BFR</t>
  </si>
  <si>
    <t>8715839063301</t>
  </si>
  <si>
    <t>07.16.06.00</t>
  </si>
  <si>
    <t>Jeep® Revolution pedal go-kart XXL BFR</t>
  </si>
  <si>
    <t>8715839051094</t>
  </si>
  <si>
    <t>8715839061161</t>
  </si>
  <si>
    <t>07.20.01.20</t>
  </si>
  <si>
    <t>BERG Extra Sport BFR-3 CCC</t>
  </si>
  <si>
    <t>8715839051100</t>
  </si>
  <si>
    <t>8715839061178</t>
  </si>
  <si>
    <t>07.20.02.20</t>
  </si>
  <si>
    <t>BERG Race BFR-3 CCC</t>
  </si>
  <si>
    <t>8715839051117</t>
  </si>
  <si>
    <t>8715839061185</t>
  </si>
  <si>
    <t>07.20.03.20</t>
  </si>
  <si>
    <t>BERG X-plore BFR-3 CCC</t>
  </si>
  <si>
    <t>8715839051124</t>
  </si>
  <si>
    <t>8715839061192</t>
  </si>
  <si>
    <t>07.20.05.20</t>
  </si>
  <si>
    <t>BERG Black Edition BFR-3 CCC</t>
  </si>
  <si>
    <t>8715839051131</t>
  </si>
  <si>
    <t>8715839061208</t>
  </si>
  <si>
    <t>07.20.07.20</t>
  </si>
  <si>
    <t>BERG Safari BFR-3 CCC</t>
  </si>
  <si>
    <t>8715839051148</t>
  </si>
  <si>
    <t>8715839061215</t>
  </si>
  <si>
    <t>07.20.08.20</t>
  </si>
  <si>
    <t>BERG X-Cross BFR-3 CCC</t>
  </si>
  <si>
    <t>8715839063493</t>
  </si>
  <si>
    <t>07.20.12.00</t>
  </si>
  <si>
    <t>BERG Extra Sport Red BFR-3</t>
  </si>
  <si>
    <t>8715839051155</t>
  </si>
  <si>
    <t>8715839061222</t>
  </si>
  <si>
    <t>07.21.00.20</t>
  </si>
  <si>
    <t>BERG John Deere BFR-3 CCC</t>
  </si>
  <si>
    <t>8715839051162</t>
  </si>
  <si>
    <t>BERG Claas BFR-3</t>
  </si>
  <si>
    <t>8715839061239</t>
  </si>
  <si>
    <t>07.21.01.20</t>
  </si>
  <si>
    <t>BERG Claas BFR-3 CCC</t>
  </si>
  <si>
    <t>8715839051179</t>
  </si>
  <si>
    <t>BERG Case-IH BFR-3</t>
  </si>
  <si>
    <t>8715839061246</t>
  </si>
  <si>
    <t>07.21.02.20</t>
  </si>
  <si>
    <t>BERG Case IH BFR-3 CCC</t>
  </si>
  <si>
    <t>8715839051186</t>
  </si>
  <si>
    <t>8715839061253</t>
  </si>
  <si>
    <t>07.21.03.20</t>
  </si>
  <si>
    <t>BERG New Holland BFR-3 CCC</t>
  </si>
  <si>
    <t>8715839051193</t>
  </si>
  <si>
    <t>8715839061260</t>
  </si>
  <si>
    <t>07.21.04.20</t>
  </si>
  <si>
    <t>BERG Fendt BFR-3 CCC</t>
  </si>
  <si>
    <t>8715839051209</t>
  </si>
  <si>
    <t>BERG Deutz Fahr BFR-3</t>
  </si>
  <si>
    <t>8715839061277</t>
  </si>
  <si>
    <t>07.21.05.20</t>
  </si>
  <si>
    <t>BERG Deutz Fahr BFR-3 CCC</t>
  </si>
  <si>
    <t>8715839051216</t>
  </si>
  <si>
    <t>BERG JEEP Revolution BFR-3</t>
  </si>
  <si>
    <t>8715839061284</t>
  </si>
  <si>
    <t>07.21.06.20</t>
  </si>
  <si>
    <t>8715839048094</t>
  </si>
  <si>
    <t>07.30.01.00</t>
  </si>
  <si>
    <t>8715839048100</t>
  </si>
  <si>
    <t>07.30.02.00</t>
  </si>
  <si>
    <t>8715839063318</t>
  </si>
  <si>
    <t>07.45.01.00</t>
  </si>
  <si>
    <t>BERG E-Extra Sport BFR</t>
  </si>
  <si>
    <t>8715839063325</t>
  </si>
  <si>
    <t>07.45.02.00</t>
  </si>
  <si>
    <t>BERG E-Race BFR</t>
  </si>
  <si>
    <t>8715839063332</t>
  </si>
  <si>
    <t>07.45.03.00</t>
  </si>
  <si>
    <t>BERG E-X-Plore BFR</t>
  </si>
  <si>
    <t>8715839063349</t>
  </si>
  <si>
    <t>07.45.05.00</t>
  </si>
  <si>
    <t>BERG E-Black Edition BFR</t>
  </si>
  <si>
    <t>8715839063356</t>
  </si>
  <si>
    <t>07.45.07.00</t>
  </si>
  <si>
    <t>BERG E-Safari BFR</t>
  </si>
  <si>
    <t>8715839063363</t>
  </si>
  <si>
    <t>07.45.08.00</t>
  </si>
  <si>
    <t>BERG E-X-Cross BFR</t>
  </si>
  <si>
    <t>8715839063448</t>
  </si>
  <si>
    <t>07.45.12.00</t>
  </si>
  <si>
    <t>BERG E-Extra Sport Red BFR</t>
  </si>
  <si>
    <t>8715839063370</t>
  </si>
  <si>
    <t>07.46.00.00</t>
  </si>
  <si>
    <t>BERG E-John Deere BFR</t>
  </si>
  <si>
    <t>8715839063387</t>
  </si>
  <si>
    <t>07.46.01.00</t>
  </si>
  <si>
    <t>BERG E-CLAAS BFR</t>
  </si>
  <si>
    <t>8715839063394</t>
  </si>
  <si>
    <t>07.46.02.00</t>
  </si>
  <si>
    <t>BERG E-Case IH BFR</t>
  </si>
  <si>
    <t>8715839063400</t>
  </si>
  <si>
    <t>07.46.03.00</t>
  </si>
  <si>
    <t>BERG E-New Holland BFR</t>
  </si>
  <si>
    <t>8715839063417</t>
  </si>
  <si>
    <t>07.46.04.00</t>
  </si>
  <si>
    <t>BERG E-Fendt BFR</t>
  </si>
  <si>
    <t>8715839063424</t>
  </si>
  <si>
    <t>07.46.05.00</t>
  </si>
  <si>
    <t>BERG E-DEUTZ-FAHR BFR</t>
  </si>
  <si>
    <t>8715839063431</t>
  </si>
  <si>
    <t>07.46.06.00</t>
  </si>
  <si>
    <t>Jeep® Revolution pedal go-kart E-BFR</t>
  </si>
  <si>
    <t>8715839050417</t>
  </si>
  <si>
    <t>07.50.00.00</t>
  </si>
  <si>
    <t>Box B BERG Boxer Black BFR</t>
  </si>
  <si>
    <t>8715839061338</t>
  </si>
  <si>
    <t>07.50.00.01</t>
  </si>
  <si>
    <t>BERG XL Frame BFR</t>
  </si>
  <si>
    <t>8715839060768</t>
  </si>
  <si>
    <t>07.50.00.20</t>
  </si>
  <si>
    <t>BERG XL Frame BFR CCC</t>
  </si>
  <si>
    <t>8715839051223</t>
  </si>
  <si>
    <t>07.50.01.00</t>
  </si>
  <si>
    <t xml:space="preserve">BERG Chopper Frame BFR
</t>
  </si>
  <si>
    <t>8715839061468</t>
  </si>
  <si>
    <t>07.50.01.01</t>
  </si>
  <si>
    <t>BERG Chopper Frame BFR</t>
  </si>
  <si>
    <t>8715839058574</t>
  </si>
  <si>
    <t>07.50.02.00</t>
  </si>
  <si>
    <t>BERG Chopper2p Frame BFR</t>
  </si>
  <si>
    <t>8715839062434</t>
  </si>
  <si>
    <t>07.50.02.20</t>
  </si>
  <si>
    <t>BERG Duo Chopper Frame BF CN</t>
  </si>
  <si>
    <t>8715839061345</t>
  </si>
  <si>
    <t>07.50.03.00</t>
  </si>
  <si>
    <t>Box 2 Chopper 2p</t>
  </si>
  <si>
    <t>8715839062441</t>
  </si>
  <si>
    <t>07.50.03.20</t>
  </si>
  <si>
    <t>BERG Duo Chopper Sidecar CN</t>
  </si>
  <si>
    <t>8715839061680</t>
  </si>
  <si>
    <t>07.50.04.00</t>
  </si>
  <si>
    <t>BERG XL Frame BF Laumann</t>
  </si>
  <si>
    <t>8715839062021</t>
  </si>
  <si>
    <t>07.50.05.00</t>
  </si>
  <si>
    <t>BERG XL Frame Extended BFR</t>
  </si>
  <si>
    <t>8715839048735</t>
  </si>
  <si>
    <t>07.51.00.00</t>
  </si>
  <si>
    <t>Box B BERG Compact Frame BFR</t>
  </si>
  <si>
    <t>8715839052398</t>
  </si>
  <si>
    <t>07.51.00.01</t>
  </si>
  <si>
    <t>BERG Compact Frame BFR</t>
  </si>
  <si>
    <t>8715839061475</t>
  </si>
  <si>
    <t>07.51.00.02</t>
  </si>
  <si>
    <t>8715839051230</t>
  </si>
  <si>
    <t>07.52.00.00</t>
  </si>
  <si>
    <t xml:space="preserve">BERG XL Frame BFR-3
</t>
  </si>
  <si>
    <t>8715839061451</t>
  </si>
  <si>
    <t>07.52.00.01</t>
  </si>
  <si>
    <t>BERG XL Frame BFR-3</t>
  </si>
  <si>
    <t>8715839061154</t>
  </si>
  <si>
    <t>07.52.00.20</t>
  </si>
  <si>
    <t>BERG XL Frame BFR-3 CCC</t>
  </si>
  <si>
    <t>8715839062038</t>
  </si>
  <si>
    <t>07.53.00.00</t>
  </si>
  <si>
    <t>BERG XL Frame Extended-E BFR</t>
  </si>
  <si>
    <t>8715839050356</t>
  </si>
  <si>
    <t>07.55.00.00</t>
  </si>
  <si>
    <t>BOX A BERG Boxer Theme</t>
  </si>
  <si>
    <t>8715839051247</t>
  </si>
  <si>
    <t>07.55.00.01</t>
  </si>
  <si>
    <t xml:space="preserve">BERG Extra Sport Theme (excl. XL Frame)
</t>
  </si>
  <si>
    <t>8715839051254</t>
  </si>
  <si>
    <t>07.55.00.02</t>
  </si>
  <si>
    <t xml:space="preserve">BERG Black edition Theme (excl. XL Frame)
</t>
  </si>
  <si>
    <t>8715839051261</t>
  </si>
  <si>
    <t>07.55.00.04</t>
  </si>
  <si>
    <t>BERG Jeep Revolution Theme (excl. XL Frame)</t>
  </si>
  <si>
    <t>8715839051278</t>
  </si>
  <si>
    <t>07.55.00.05</t>
  </si>
  <si>
    <t>BERG John Deere Theme (excl. XL Frame)</t>
  </si>
  <si>
    <t>8715839051285</t>
  </si>
  <si>
    <t>07.55.00.06</t>
  </si>
  <si>
    <t>BERG Claas Theme (excl. XL Frame)</t>
  </si>
  <si>
    <t>8715839051292</t>
  </si>
  <si>
    <t>07.55.00.07</t>
  </si>
  <si>
    <t>BERG Case-IH Theme (excl. XL Frame)</t>
  </si>
  <si>
    <t>8715839051308</t>
  </si>
  <si>
    <t>07.55.00.08</t>
  </si>
  <si>
    <t>BERG New Holland Theme (excl. XL Frame)</t>
  </si>
  <si>
    <t>8715839051315</t>
  </si>
  <si>
    <t>07.55.00.09</t>
  </si>
  <si>
    <t>BERG Fendt Theme (excl. XL Frame)</t>
  </si>
  <si>
    <t>8715839051322</t>
  </si>
  <si>
    <t>07.55.00.10</t>
  </si>
  <si>
    <t>BERG Deutz Fahr Theme (excl. XL Frame)</t>
  </si>
  <si>
    <t>8715839051339</t>
  </si>
  <si>
    <t>07.55.00.11</t>
  </si>
  <si>
    <t xml:space="preserve">BERG Race Theme (excl. XL Frame)
</t>
  </si>
  <si>
    <t>8715839051346</t>
  </si>
  <si>
    <t>07.55.00.12</t>
  </si>
  <si>
    <t>BERG X-plore Theme (excl. XL Frame)</t>
  </si>
  <si>
    <t>8715839051353</t>
  </si>
  <si>
    <t>07.55.00.13</t>
  </si>
  <si>
    <t>BERG Route 66 theme (excluding chopper frame)</t>
  </si>
  <si>
    <t>8715839051360</t>
  </si>
  <si>
    <t>07.55.00.14</t>
  </si>
  <si>
    <t xml:space="preserve">BERG Basic Theme (excl. XL Frame)
</t>
  </si>
  <si>
    <t>8715839051377</t>
  </si>
  <si>
    <t>07.55.00.15</t>
  </si>
  <si>
    <t>BERG Safari Theme (excl. XL Frame)</t>
  </si>
  <si>
    <t>8715839051384</t>
  </si>
  <si>
    <t>07.55.00.16</t>
  </si>
  <si>
    <t xml:space="preserve">BERG X-Cross Theme (excl. XL Frame)
</t>
  </si>
  <si>
    <t>8715839060751</t>
  </si>
  <si>
    <t>07.55.00.20</t>
  </si>
  <si>
    <t>BERG Extra Theme (excl. XL Frame) CCC</t>
  </si>
  <si>
    <t>8715839060935</t>
  </si>
  <si>
    <t>07.55.01.20</t>
  </si>
  <si>
    <t>BERG Extra Sport Theme (excl. XL Frame) CCC</t>
  </si>
  <si>
    <t>8715839060942</t>
  </si>
  <si>
    <t>07.55.02.20</t>
  </si>
  <si>
    <t>BERG Black edition Theme (excl. XL Frame) CCC</t>
  </si>
  <si>
    <t>8715839060959</t>
  </si>
  <si>
    <t>07.55.04.20</t>
  </si>
  <si>
    <t>JEEP Revolution Theme (excl. XL Frame) CCC</t>
  </si>
  <si>
    <t>8715839060966</t>
  </si>
  <si>
    <t>07.55.05.20</t>
  </si>
  <si>
    <t>BERG John Deere Theme (excl. XL Frame) CCC</t>
  </si>
  <si>
    <t>8715839060973</t>
  </si>
  <si>
    <t>07.55.06.20</t>
  </si>
  <si>
    <t>BERG Claas Theme (excl. XL Frame) CCC</t>
  </si>
  <si>
    <t>8715839060980</t>
  </si>
  <si>
    <t>07.55.07.20</t>
  </si>
  <si>
    <t>BERG Case IH Theme (excl. XL Frame) CCC</t>
  </si>
  <si>
    <t>8715839060997</t>
  </si>
  <si>
    <t>07.55.08.20</t>
  </si>
  <si>
    <t>BERG New Holland Theme (excl. XL Frame) CCC</t>
  </si>
  <si>
    <t>8715839061000</t>
  </si>
  <si>
    <t>07.55.09.20</t>
  </si>
  <si>
    <t>BERG Fendt Theme (excl. XL Frame) CCC</t>
  </si>
  <si>
    <t>8715839061017</t>
  </si>
  <si>
    <t>07.55.10.20</t>
  </si>
  <si>
    <t>BERG Deutz Fahr Theme (excl. XL Frame) CCC</t>
  </si>
  <si>
    <t>8715839061024</t>
  </si>
  <si>
    <t>07.55.11.20</t>
  </si>
  <si>
    <t>BERG Race Theme (excl. XL Frame) CCC</t>
  </si>
  <si>
    <t>8715839061031</t>
  </si>
  <si>
    <t>07.55.12.20</t>
  </si>
  <si>
    <t>BERG X-plore Theme (excl. XL Frame) CCC</t>
  </si>
  <si>
    <t>8715839061048</t>
  </si>
  <si>
    <t>07.55.14.20</t>
  </si>
  <si>
    <t>BERG Basic Theme (excl. XL Frame) CCC</t>
  </si>
  <si>
    <t>8715839061055</t>
  </si>
  <si>
    <t>07.55.15.20</t>
  </si>
  <si>
    <t>BERG Safari Theme (excl. XL Frame CCC</t>
  </si>
  <si>
    <t>8715839061062</t>
  </si>
  <si>
    <t>07.55.16.20</t>
  </si>
  <si>
    <t>BERG X-Cross Theme (excl. XL Frame) CCC</t>
  </si>
  <si>
    <t>8715839058581</t>
  </si>
  <si>
    <t>07.55.17.00</t>
  </si>
  <si>
    <t>BERG Chopper2p Theme (excl. XL Frame)</t>
  </si>
  <si>
    <t>8715839062458</t>
  </si>
  <si>
    <t>07.55.17.20</t>
  </si>
  <si>
    <t>BERG Duo Chopper Theme CN</t>
  </si>
  <si>
    <t>8715839060201</t>
  </si>
  <si>
    <t>07.55.18.00</t>
  </si>
  <si>
    <t>BERG Extra Sport Red Theme (excl. XL Frame)</t>
  </si>
  <si>
    <t>8715839061697</t>
  </si>
  <si>
    <t>07.55.19.00</t>
  </si>
  <si>
    <t>BERG Extra Sport Laumann Theme (excl. XL Frame)</t>
  </si>
  <si>
    <t>8715839063516</t>
  </si>
  <si>
    <t>07.55.20.00</t>
  </si>
  <si>
    <t>BERG Extra Red Theme (excl. XL Frame)</t>
  </si>
  <si>
    <t>8715839063523</t>
  </si>
  <si>
    <t>07.55.21.00</t>
  </si>
  <si>
    <t>8715839063530</t>
  </si>
  <si>
    <t>07.55.22.00</t>
  </si>
  <si>
    <t>BERG Basic Red Theme (excl. XL Frame)</t>
  </si>
  <si>
    <t>8715839064384</t>
  </si>
  <si>
    <t>07.55.23.00</t>
  </si>
  <si>
    <t>BERG Special christmas 2017 (excl. XL Frame)</t>
  </si>
  <si>
    <t>07.55.24.00</t>
  </si>
  <si>
    <t>BERG Chopper theme (excluding Chopper frame)</t>
  </si>
  <si>
    <t>8715839048742</t>
  </si>
  <si>
    <t>07.60.00.00</t>
  </si>
  <si>
    <t>Box A BERG Compact Sport</t>
  </si>
  <si>
    <t>8715839052404</t>
  </si>
  <si>
    <t>07.60.00.01</t>
  </si>
  <si>
    <t>BERG Compact Sport theme (excl. Compact frame)</t>
  </si>
  <si>
    <t>8715839050363</t>
  </si>
  <si>
    <t>07.60.01.00</t>
  </si>
  <si>
    <t>Box A BERG Compact Pink</t>
  </si>
  <si>
    <t>8715839052411</t>
  </si>
  <si>
    <t>07.60.01.01</t>
  </si>
  <si>
    <t>BERG Compact Pink theme (excl. Compact frame)</t>
  </si>
  <si>
    <t>8715839052015</t>
  </si>
  <si>
    <t>07.90.00.00</t>
  </si>
  <si>
    <t>BERG Black Ed. BFR + Passengerseat</t>
  </si>
  <si>
    <t>8715839052022</t>
  </si>
  <si>
    <t>07.90.01.00</t>
  </si>
  <si>
    <t>BERG X-Cross BFR + Passengerseat</t>
  </si>
  <si>
    <t>8715839053241</t>
  </si>
  <si>
    <t>07.90.02.00</t>
  </si>
  <si>
    <t>8715839053258</t>
  </si>
  <si>
    <t>07.90.03.00</t>
  </si>
  <si>
    <t>8715839053265</t>
  </si>
  <si>
    <t>07.90.04.00</t>
  </si>
  <si>
    <t>8715839053272</t>
  </si>
  <si>
    <t>07.90.05.00</t>
  </si>
  <si>
    <t>8715839053289</t>
  </si>
  <si>
    <t>07.90.06.00</t>
  </si>
  <si>
    <t>8715839053296</t>
  </si>
  <si>
    <t>07.90.07.00</t>
  </si>
  <si>
    <t>8715839017557</t>
  </si>
  <si>
    <t>08.10.50.00</t>
  </si>
  <si>
    <t>BERG Binky</t>
  </si>
  <si>
    <t>8715839017564</t>
  </si>
  <si>
    <t>08.10.51.00</t>
  </si>
  <si>
    <t>BERG Binky F</t>
  </si>
  <si>
    <t>08.39.92.00</t>
  </si>
  <si>
    <t>BERG Chopper AF</t>
  </si>
  <si>
    <t>08.39.92.01</t>
  </si>
  <si>
    <t>8715839022353</t>
  </si>
  <si>
    <t>08.50.31.00</t>
  </si>
  <si>
    <t>BERG Freestyler 2WD</t>
  </si>
  <si>
    <t>8715839016864</t>
  </si>
  <si>
    <t>08.83.53.00</t>
  </si>
  <si>
    <t>BERG Easy Rider BF-3 street</t>
  </si>
  <si>
    <t>8715839042429</t>
  </si>
  <si>
    <t>08.83.54.00</t>
  </si>
  <si>
    <t>BERG Route 66 AF</t>
  </si>
  <si>
    <t>8715839019032</t>
  </si>
  <si>
    <t>12.59.18.00</t>
  </si>
  <si>
    <t>BalanzBike Prof Geel</t>
  </si>
  <si>
    <t>8715839017724</t>
  </si>
  <si>
    <t>12.59.51.00</t>
  </si>
  <si>
    <t>BalanzBike Bazzic</t>
  </si>
  <si>
    <t>8715839017731</t>
  </si>
  <si>
    <t>12.59.58.00</t>
  </si>
  <si>
    <t>BalanzBike prof</t>
  </si>
  <si>
    <t>8715839019100</t>
  </si>
  <si>
    <t>12.59.58.01</t>
  </si>
  <si>
    <t>BalanzBike Prof</t>
  </si>
  <si>
    <t>8715839014907</t>
  </si>
  <si>
    <t>12.59.61.00</t>
  </si>
  <si>
    <t>BalanzBike Bazzic XL</t>
  </si>
  <si>
    <t>8715839018660</t>
  </si>
  <si>
    <t>12.59.63.00</t>
  </si>
  <si>
    <t>BalanzBike Extenz XL</t>
  </si>
  <si>
    <t>8715839013115</t>
  </si>
  <si>
    <t>15.00.10.00</t>
  </si>
  <si>
    <t>Duostoel zwart Lux</t>
  </si>
  <si>
    <t>8715839052350</t>
  </si>
  <si>
    <t>15.00.10.01</t>
  </si>
  <si>
    <t>8715839013108</t>
  </si>
  <si>
    <t>15.00.12.00</t>
  </si>
  <si>
    <t>Duostoel rood Lux</t>
  </si>
  <si>
    <t>8715839052367</t>
  </si>
  <si>
    <t>15.00.12.01</t>
  </si>
  <si>
    <t>8715839022254</t>
  </si>
  <si>
    <t>15.00.13.00</t>
  </si>
  <si>
    <t>Duostoel Lux, Construxx</t>
  </si>
  <si>
    <t>8715839012576</t>
  </si>
  <si>
    <t>15.00.14.00</t>
  </si>
  <si>
    <t>Duostoel Lux, X-plorer</t>
  </si>
  <si>
    <t>8715839053722</t>
  </si>
  <si>
    <t>15.00.14.01</t>
  </si>
  <si>
    <t>8715839013658</t>
  </si>
  <si>
    <t>15.00.15.00</t>
  </si>
  <si>
    <t>Duostoel Lux, Claas</t>
  </si>
  <si>
    <t>8715839013665</t>
  </si>
  <si>
    <t>15.00.16.00</t>
  </si>
  <si>
    <t>Duostoel Lux, John Deere</t>
  </si>
  <si>
    <t>8715839053739</t>
  </si>
  <si>
    <t>15.00.16.01</t>
  </si>
  <si>
    <t>8715839020991</t>
  </si>
  <si>
    <t>15.00.17.00</t>
  </si>
  <si>
    <t>Duostoel Lux Safari</t>
  </si>
  <si>
    <t>8715839013672</t>
  </si>
  <si>
    <t>15.00.18.00</t>
  </si>
  <si>
    <t>Duostoel Lux, X-Tech</t>
  </si>
  <si>
    <t>8715839012583</t>
  </si>
  <si>
    <t>15.00.19.00</t>
  </si>
  <si>
    <t>Duostoel Lux, Racing</t>
  </si>
  <si>
    <t>8715839027105</t>
  </si>
  <si>
    <t>15.00.21.00</t>
  </si>
  <si>
    <t>Duostoel Lux, New Holland</t>
  </si>
  <si>
    <t>8715839053746</t>
  </si>
  <si>
    <t>15.00.21.01</t>
  </si>
  <si>
    <t>8715839024067</t>
  </si>
  <si>
    <t>15.00.22.00</t>
  </si>
  <si>
    <t>Duostoel, Silver Race</t>
  </si>
  <si>
    <t>8715839018790</t>
  </si>
  <si>
    <t>15.00.30.00</t>
  </si>
  <si>
    <t>Duostoel zwart</t>
  </si>
  <si>
    <t>8715839052374</t>
  </si>
  <si>
    <t>15.00.30.01</t>
  </si>
  <si>
    <t>Duostoel zwart 14</t>
  </si>
  <si>
    <t>8716106025312</t>
  </si>
  <si>
    <t>15.00.31.00</t>
  </si>
  <si>
    <t>GK 7050 - Duostoel Kramp</t>
  </si>
  <si>
    <t>8715839018806</t>
  </si>
  <si>
    <t>15.00.32.00</t>
  </si>
  <si>
    <t>Duostoel rood</t>
  </si>
  <si>
    <t>8715839052381</t>
  </si>
  <si>
    <t>15.00.32.01</t>
  </si>
  <si>
    <t>8713235055500</t>
  </si>
  <si>
    <t>15.00.32.10</t>
  </si>
  <si>
    <t>Mustang Duostoel rood</t>
  </si>
  <si>
    <t>8715839019674</t>
  </si>
  <si>
    <t>15.00.33.00</t>
  </si>
  <si>
    <t>Duostoel blauw</t>
  </si>
  <si>
    <t>8715839020755</t>
  </si>
  <si>
    <t>15.00.34.00</t>
  </si>
  <si>
    <t>Duostoel Compact, Oranje</t>
  </si>
  <si>
    <t>8715839051391</t>
  </si>
  <si>
    <t>15.00.35.00</t>
  </si>
  <si>
    <t>Duostoel Black Edition</t>
  </si>
  <si>
    <t>8715839051407</t>
  </si>
  <si>
    <t>15.00.36.00</t>
  </si>
  <si>
    <t>Duostoel X-Cross</t>
  </si>
  <si>
    <t>8715839057034</t>
  </si>
  <si>
    <t>15.00.37.00</t>
  </si>
  <si>
    <t>Passenger Seat blue</t>
  </si>
  <si>
    <t>8715839044911</t>
  </si>
  <si>
    <t>15.00.50.00</t>
  </si>
  <si>
    <t>Remhandvat set Foam</t>
  </si>
  <si>
    <t>8715839044928</t>
  </si>
  <si>
    <t>15.00.51.00</t>
  </si>
  <si>
    <t>Remhandvat set Dempy</t>
  </si>
  <si>
    <t>8715839044935</t>
  </si>
  <si>
    <t>15.00.52.00</t>
  </si>
  <si>
    <t>Handvatset rond 27 Driewielers</t>
  </si>
  <si>
    <t>8715839044942</t>
  </si>
  <si>
    <t>15.00.53.00</t>
  </si>
  <si>
    <t>Hoekstukset voor zeilhuif</t>
  </si>
  <si>
    <t>8715839044959</t>
  </si>
  <si>
    <t>15.00.54.00</t>
  </si>
  <si>
    <t>Ventieldopjes (20x)</t>
  </si>
  <si>
    <t>8715839044966</t>
  </si>
  <si>
    <t>15.00.55.00</t>
  </si>
  <si>
    <t>Inslagdop buis 22 mm(10x)</t>
  </si>
  <si>
    <t>8715839044973</t>
  </si>
  <si>
    <t>15.00.56.00</t>
  </si>
  <si>
    <t>Inslagdop buis 27 mm(10x)</t>
  </si>
  <si>
    <t>8715839044980</t>
  </si>
  <si>
    <t>15.00.57.00</t>
  </si>
  <si>
    <t>Inslagdop buis 32 mm (10x)</t>
  </si>
  <si>
    <t>8715839044997</t>
  </si>
  <si>
    <t>15.00.58.00</t>
  </si>
  <si>
    <t>Inslagdop buis 40 mm (10x)</t>
  </si>
  <si>
    <t>8715839045000</t>
  </si>
  <si>
    <t>15.00.59.00</t>
  </si>
  <si>
    <t>Stuurbus vrijloop (10x)</t>
  </si>
  <si>
    <t>8715839045017</t>
  </si>
  <si>
    <t>15.00.60.00</t>
  </si>
  <si>
    <t>Logoplaat sportstuur (10x)</t>
  </si>
  <si>
    <t>8715839045024</t>
  </si>
  <si>
    <t>15.00.61.00</t>
  </si>
  <si>
    <t>Spie &amp; inbus Junior (10x)</t>
  </si>
  <si>
    <t>8715839045031</t>
  </si>
  <si>
    <t>15.00.62.00</t>
  </si>
  <si>
    <t>Handvat Trike/BalanzBike (2x)</t>
  </si>
  <si>
    <t>8715839045048</t>
  </si>
  <si>
    <t>15.00.63.00</t>
  </si>
  <si>
    <t>Handvat-set 943 (2x)</t>
  </si>
  <si>
    <t>8715839045055</t>
  </si>
  <si>
    <t>15.00.64.00</t>
  </si>
  <si>
    <t>Lagerbussen Compact (1 set)</t>
  </si>
  <si>
    <t>8715839045062</t>
  </si>
  <si>
    <t>15.00.65.00</t>
  </si>
  <si>
    <t>Set spatbordplanken Basic hou</t>
  </si>
  <si>
    <t>15.00.66.00</t>
  </si>
  <si>
    <t>Boutjes Remschijf (6x)</t>
  </si>
  <si>
    <t>8715839056730</t>
  </si>
  <si>
    <t>15.00.67.00</t>
  </si>
  <si>
    <t>Passenger seat spacer Deluxe 10x</t>
  </si>
  <si>
    <t>8715839056747</t>
  </si>
  <si>
    <t>15.00.68.00</t>
  </si>
  <si>
    <t>Passenger seat spacer Normal 10x</t>
  </si>
  <si>
    <t>8715839012156</t>
  </si>
  <si>
    <t>15.01.03.00</t>
  </si>
  <si>
    <t>Kuipstoel zwart met frame</t>
  </si>
  <si>
    <t>8715839020243</t>
  </si>
  <si>
    <t>15.01.13.00</t>
  </si>
  <si>
    <t>Sportstoel zwart+ frame</t>
  </si>
  <si>
    <t>8715839020250</t>
  </si>
  <si>
    <t>15.01.14.00</t>
  </si>
  <si>
    <t>Sportstoel rood+ frame</t>
  </si>
  <si>
    <t>8715839023770</t>
  </si>
  <si>
    <t>15.01.16.00</t>
  </si>
  <si>
    <t>Sportstoel rood + Prof. frame</t>
  </si>
  <si>
    <t>8715839018622</t>
  </si>
  <si>
    <t>15.01.23.00</t>
  </si>
  <si>
    <t>Brandweerspuit</t>
  </si>
  <si>
    <t>8715839015348</t>
  </si>
  <si>
    <t>15.01.25.00</t>
  </si>
  <si>
    <t>Bagagebox</t>
  </si>
  <si>
    <t>8715839016840</t>
  </si>
  <si>
    <t>15.01.25.01</t>
  </si>
  <si>
    <t>Bagagebox zonder frame</t>
  </si>
  <si>
    <t>8715839018844</t>
  </si>
  <si>
    <t>15.01.27.00</t>
  </si>
  <si>
    <t>Service Box voor BERG Politie</t>
  </si>
  <si>
    <t>8715839010282</t>
  </si>
  <si>
    <t>15.01.34.00</t>
  </si>
  <si>
    <t>Kettingspanner</t>
  </si>
  <si>
    <t>8715839030457</t>
  </si>
  <si>
    <t>15.01.36.00</t>
  </si>
  <si>
    <t>Support for seat frame</t>
  </si>
  <si>
    <t>8715839011593</t>
  </si>
  <si>
    <t>15.02.16.00</t>
  </si>
  <si>
    <t>Spatbordset kunststof</t>
  </si>
  <si>
    <t>8715839017045</t>
  </si>
  <si>
    <t>15.03.11.00</t>
  </si>
  <si>
    <t>Spatbordset luxe zwart</t>
  </si>
  <si>
    <t>8715839017052</t>
  </si>
  <si>
    <t>15.03.12.00</t>
  </si>
  <si>
    <t>Spatbordset luxe rood</t>
  </si>
  <si>
    <t>8715839014778</t>
  </si>
  <si>
    <t>15.03.13.00</t>
  </si>
  <si>
    <t>Spatbordset luxe Zilver</t>
  </si>
  <si>
    <t>8715839018691</t>
  </si>
  <si>
    <t>15.03.14.00</t>
  </si>
  <si>
    <t>Spatbordset luxe groen Claas</t>
  </si>
  <si>
    <t>8715839019827</t>
  </si>
  <si>
    <t>15.03.16.00</t>
  </si>
  <si>
    <t>Spatbordset luxe Groen</t>
  </si>
  <si>
    <t>8715839021424</t>
  </si>
  <si>
    <t>15.03.17.00</t>
  </si>
  <si>
    <t>Spatbordset luxe Bright green</t>
  </si>
  <si>
    <t>8715839017069</t>
  </si>
  <si>
    <t>15.03.18.00</t>
  </si>
  <si>
    <t>Spatbordset luxe blauw</t>
  </si>
  <si>
    <t>8715839021028</t>
  </si>
  <si>
    <t>15.03.19.00</t>
  </si>
  <si>
    <t>Spatbordset luxe groen FENDT</t>
  </si>
  <si>
    <t>8715839030464</t>
  </si>
  <si>
    <t>15.03.20.00</t>
  </si>
  <si>
    <t>Spatbordset luxe blauw NH</t>
  </si>
  <si>
    <t>8715839021417</t>
  </si>
  <si>
    <t>15.03.22.00</t>
  </si>
  <si>
    <t>Spatbordset luxe rood Ferrari</t>
  </si>
  <si>
    <t>8715839030471</t>
  </si>
  <si>
    <t>15.03.24.00</t>
  </si>
  <si>
    <t>Spatbordset luxe Oranje</t>
  </si>
  <si>
    <t>8715839020724</t>
  </si>
  <si>
    <t>15.03.31.00</t>
  </si>
  <si>
    <t>Spatbordset zwart, voor</t>
  </si>
  <si>
    <t>8715839054712</t>
  </si>
  <si>
    <t>Front mudguards Black</t>
  </si>
  <si>
    <t>8715839010893</t>
  </si>
  <si>
    <t>15.03.38.00</t>
  </si>
  <si>
    <t>Spatbordset Blauw, voor</t>
  </si>
  <si>
    <t>8715839021837</t>
  </si>
  <si>
    <t>15.03.51.00</t>
  </si>
  <si>
    <t>Spatbordset Compact, zwart</t>
  </si>
  <si>
    <t>8715839023268</t>
  </si>
  <si>
    <t>15.03.52.00</t>
  </si>
  <si>
    <t>Spatbordset Compact, rood</t>
  </si>
  <si>
    <t>8715839014730</t>
  </si>
  <si>
    <t>15.04.11.00</t>
  </si>
  <si>
    <t>Kunststof stuur</t>
  </si>
  <si>
    <t>8715839023824</t>
  </si>
  <si>
    <t>15.04.13.00</t>
  </si>
  <si>
    <t>Kunststof stuur Luxe</t>
  </si>
  <si>
    <t>8715839013122</t>
  </si>
  <si>
    <t>15.04.15.00</t>
  </si>
  <si>
    <t>Sportstuur</t>
  </si>
  <si>
    <t>8715839013849</t>
  </si>
  <si>
    <t>15.06.06.00</t>
  </si>
  <si>
    <t>GSM - houder</t>
  </si>
  <si>
    <t>8715839053814</t>
  </si>
  <si>
    <t>15.07.00.00</t>
  </si>
  <si>
    <t>Tire marker</t>
  </si>
  <si>
    <t>8715839060898</t>
  </si>
  <si>
    <t>8715839030488</t>
  </si>
  <si>
    <t>15.07.11.00</t>
  </si>
  <si>
    <t>Spuitbus Zinkspray</t>
  </si>
  <si>
    <t>8715839019179</t>
  </si>
  <si>
    <t>15.07.21.00</t>
  </si>
  <si>
    <t>Spuitbus grijs Ral 7012</t>
  </si>
  <si>
    <t>8715839019186</t>
  </si>
  <si>
    <t>15.07.22.00</t>
  </si>
  <si>
    <t>Spuitbus ijs-blauw</t>
  </si>
  <si>
    <t>8715839020847</t>
  </si>
  <si>
    <t>15.07.23.00</t>
  </si>
  <si>
    <t>Spuitbus groen RAL 6003</t>
  </si>
  <si>
    <t>8715839014341</t>
  </si>
  <si>
    <t>15.07.24.00</t>
  </si>
  <si>
    <t>Spuitbus Goud</t>
  </si>
  <si>
    <t>8715839012590</t>
  </si>
  <si>
    <t>15.07.25.00</t>
  </si>
  <si>
    <t>Spuitbus roze RAL 4010</t>
  </si>
  <si>
    <t>8715839021394</t>
  </si>
  <si>
    <t>15.07.26.00</t>
  </si>
  <si>
    <t>Spuitbus Oranje ""Chopper""</t>
  </si>
  <si>
    <t>8715839022766</t>
  </si>
  <si>
    <t>15.07.27.00</t>
  </si>
  <si>
    <t>Spuitbus geel RAL 1007</t>
  </si>
  <si>
    <t>8715839030495</t>
  </si>
  <si>
    <t>15.07.28.00</t>
  </si>
  <si>
    <t>Spuitbus Oranje RAL 2000</t>
  </si>
  <si>
    <t>8715839019193</t>
  </si>
  <si>
    <t>15.07.51.00</t>
  </si>
  <si>
    <t>lakstift grijs RAL 7012</t>
  </si>
  <si>
    <t>8715839019209</t>
  </si>
  <si>
    <t>15.07.52.00</t>
  </si>
  <si>
    <t>Lakstift ijs-blauw</t>
  </si>
  <si>
    <t>8715839020830</t>
  </si>
  <si>
    <t>15.07.53.00</t>
  </si>
  <si>
    <t>lakstift groen RAL 6003</t>
  </si>
  <si>
    <t>8715839014358</t>
  </si>
  <si>
    <t>15.07.54.00</t>
  </si>
  <si>
    <t>Lakstift Goud</t>
  </si>
  <si>
    <t>8715839013450</t>
  </si>
  <si>
    <t>15.07.55.00</t>
  </si>
  <si>
    <t>Lakstift roze RAL 4010</t>
  </si>
  <si>
    <t>8715839021400</t>
  </si>
  <si>
    <t>15.07.56.00</t>
  </si>
  <si>
    <t>Lakstift Oranje ""Chopper""</t>
  </si>
  <si>
    <t>8715839022773</t>
  </si>
  <si>
    <t>15.07.57.00</t>
  </si>
  <si>
    <t>Lakstift geel RAL 1007</t>
  </si>
  <si>
    <t>8715839030501</t>
  </si>
  <si>
    <t>15.07.58.00</t>
  </si>
  <si>
    <t>Lakstift groen RAL 6001</t>
  </si>
  <si>
    <t>8715839030518</t>
  </si>
  <si>
    <t>15.07.59.00</t>
  </si>
  <si>
    <t>Lakstift Oranje RAL 2000</t>
  </si>
  <si>
    <t>8715839045420</t>
  </si>
  <si>
    <t>15.07.60.00</t>
  </si>
  <si>
    <t>Lakstift RAL 1018</t>
  </si>
  <si>
    <t>8715839057560</t>
  </si>
  <si>
    <t>15.07.61.00</t>
  </si>
  <si>
    <t>Paint pin Orange Choppy</t>
  </si>
  <si>
    <t>8715839016352</t>
  </si>
  <si>
    <t>15.07.82.00</t>
  </si>
  <si>
    <t>lakstift blauw RAL 5005</t>
  </si>
  <si>
    <t>8715839016390</t>
  </si>
  <si>
    <t>15.07.83.00</t>
  </si>
  <si>
    <t>Lakstift rood RAL 3020</t>
  </si>
  <si>
    <t>8715839011616</t>
  </si>
  <si>
    <t>15.07.84.00</t>
  </si>
  <si>
    <t>Lakstift rood (Buddy/Triggy)</t>
  </si>
  <si>
    <t>8715839021578</t>
  </si>
  <si>
    <t>15.07.85.00</t>
  </si>
  <si>
    <t>Lakstift rood (MOOV)</t>
  </si>
  <si>
    <t>8715839016413</t>
  </si>
  <si>
    <t>15.07.87.00</t>
  </si>
  <si>
    <t>Lakstift zwart RAL 9005</t>
  </si>
  <si>
    <t>8715839016420</t>
  </si>
  <si>
    <t>15.07.88.00</t>
  </si>
  <si>
    <t>Lakstift geel RAL 1023</t>
  </si>
  <si>
    <t>8715839022872</t>
  </si>
  <si>
    <t>15.07.90.00</t>
  </si>
  <si>
    <t>Lakstift groen Bright Green</t>
  </si>
  <si>
    <t>8715839030525</t>
  </si>
  <si>
    <t>15.07.93.00</t>
  </si>
  <si>
    <t>Lakstift Zilver IE702077510</t>
  </si>
  <si>
    <t>8715839030532</t>
  </si>
  <si>
    <t>15.07.95.00</t>
  </si>
  <si>
    <t>Lakstift wit RAL 9016</t>
  </si>
  <si>
    <t>8715839030549</t>
  </si>
  <si>
    <t>15.07.96.00</t>
  </si>
  <si>
    <t>Lakstift Violet</t>
  </si>
  <si>
    <t>8715839030556</t>
  </si>
  <si>
    <t>15.07.97.00</t>
  </si>
  <si>
    <t>Lakstift zilver SXP23023G</t>
  </si>
  <si>
    <t>8715839030563</t>
  </si>
  <si>
    <t>15.07.98.00</t>
  </si>
  <si>
    <t>Lakstift Bison</t>
  </si>
  <si>
    <t>8715839010329</t>
  </si>
  <si>
    <t>15.08.01.00</t>
  </si>
  <si>
    <t>Potje verf blauw RAL 5005</t>
  </si>
  <si>
    <t>8715839020854</t>
  </si>
  <si>
    <t>15.08.01.23</t>
  </si>
  <si>
    <t>Potje verf groen RAL 6003</t>
  </si>
  <si>
    <t>8715839010350</t>
  </si>
  <si>
    <t>15.08.01.50</t>
  </si>
  <si>
    <t>Potje verf rood RAL 3020</t>
  </si>
  <si>
    <t>8715839010374</t>
  </si>
  <si>
    <t>15.08.01.70</t>
  </si>
  <si>
    <t>Potje verf zwart RAL 9005</t>
  </si>
  <si>
    <t>8715839011999</t>
  </si>
  <si>
    <t>15.08.01.80</t>
  </si>
  <si>
    <t>Potje verf geel RAL 1023</t>
  </si>
  <si>
    <t>8715839012002</t>
  </si>
  <si>
    <t>15.08.01.90</t>
  </si>
  <si>
    <t>Potje verf groen (Tornado)</t>
  </si>
  <si>
    <t>8715839030570</t>
  </si>
  <si>
    <t>15.08.01.93</t>
  </si>
  <si>
    <t>Potje verf Zilver IE702077510</t>
  </si>
  <si>
    <t>8715839010381</t>
  </si>
  <si>
    <t>15.08.02.00</t>
  </si>
  <si>
    <t>Spuitbus blauw RAL 5005</t>
  </si>
  <si>
    <t>8715839010411</t>
  </si>
  <si>
    <t>15.08.05.00</t>
  </si>
  <si>
    <t>Spuitbus rood RAL 3020</t>
  </si>
  <si>
    <t>8715839010435</t>
  </si>
  <si>
    <t>15.08.07.00</t>
  </si>
  <si>
    <t>Spuitbus zwart RAL 9005</t>
  </si>
  <si>
    <t>8715839011838</t>
  </si>
  <si>
    <t>15.08.08.00</t>
  </si>
  <si>
    <t>Spuitbus geel RAL 1023</t>
  </si>
  <si>
    <t>8715839011845</t>
  </si>
  <si>
    <t>15.08.09.00</t>
  </si>
  <si>
    <t>Spuitbus groen Bright Green</t>
  </si>
  <si>
    <t>8715839030594</t>
  </si>
  <si>
    <t>15.08.13.00</t>
  </si>
  <si>
    <t>Spuitbus Zilver IE702077510</t>
  </si>
  <si>
    <t>8715839030600</t>
  </si>
  <si>
    <t>15.08.15.00</t>
  </si>
  <si>
    <t>Spuitbus wit RAL 9016</t>
  </si>
  <si>
    <t>8715839030617</t>
  </si>
  <si>
    <t>15.08.18.00</t>
  </si>
  <si>
    <t>Spuitbus Bison</t>
  </si>
  <si>
    <t>8715839011869</t>
  </si>
  <si>
    <t>15.08.23.00</t>
  </si>
  <si>
    <t>Slot met sleutel</t>
  </si>
  <si>
    <t>8715839013504</t>
  </si>
  <si>
    <t>15.08.24.00</t>
  </si>
  <si>
    <t>Ketting voor stoel</t>
  </si>
  <si>
    <t>8715839019223</t>
  </si>
  <si>
    <t>15.08.28.00</t>
  </si>
  <si>
    <t>Stootbuffer</t>
  </si>
  <si>
    <t>8715839053869</t>
  </si>
  <si>
    <t>8715839020908</t>
  </si>
  <si>
    <t>15.08.29.00</t>
  </si>
  <si>
    <t>Reclamebord voor skelter</t>
  </si>
  <si>
    <t>8715839013542</t>
  </si>
  <si>
    <t>15.08.30.00</t>
  </si>
  <si>
    <t>Skelterslot</t>
  </si>
  <si>
    <t>8715839023701</t>
  </si>
  <si>
    <t>15.08.31.00</t>
  </si>
  <si>
    <t>Rear Bumper XL</t>
  </si>
  <si>
    <t>8715839010473</t>
  </si>
  <si>
    <t>15.09.03.00</t>
  </si>
  <si>
    <t>Vrijloopautomaat</t>
  </si>
  <si>
    <t>8715839011623</t>
  </si>
  <si>
    <t>15.09.04.00</t>
  </si>
  <si>
    <t>Vrijloop F</t>
  </si>
  <si>
    <t>8715839011630</t>
  </si>
  <si>
    <t>Steunpoot</t>
  </si>
  <si>
    <t>8715839014044</t>
  </si>
  <si>
    <t>15.09.21.00</t>
  </si>
  <si>
    <t>Vrijloop (Links)</t>
  </si>
  <si>
    <t>8715839014051</t>
  </si>
  <si>
    <t>15.09.22.00</t>
  </si>
  <si>
    <t>Vrijloop (Rechts)</t>
  </si>
  <si>
    <t>8715839011647</t>
  </si>
  <si>
    <t>15.10.00.00</t>
  </si>
  <si>
    <t>Steigerbegrenzer</t>
  </si>
  <si>
    <t>8715839017243</t>
  </si>
  <si>
    <t>15.11.00.00</t>
  </si>
  <si>
    <t>Sunroof BERG Go-Kart</t>
  </si>
  <si>
    <t>8715839014402</t>
  </si>
  <si>
    <t>15.12.00.00</t>
  </si>
  <si>
    <t>Pushbar Sky-Light/Sun-Light</t>
  </si>
  <si>
    <t>8715839019476</t>
  </si>
  <si>
    <t>LED Koplamp</t>
  </si>
  <si>
    <t>8715839011883</t>
  </si>
  <si>
    <t>LED wit</t>
  </si>
  <si>
    <t>8715839011890</t>
  </si>
  <si>
    <t>LED rood</t>
  </si>
  <si>
    <t>8715839019483</t>
  </si>
  <si>
    <t>Verlichtingsset</t>
  </si>
  <si>
    <t>8715839023367</t>
  </si>
  <si>
    <t>15.20.46.00</t>
  </si>
  <si>
    <t>Koplamp Racing/X-plorer</t>
  </si>
  <si>
    <t>8715839014211</t>
  </si>
  <si>
    <t>15.20.50.00</t>
  </si>
  <si>
    <t>Gordelkit</t>
  </si>
  <si>
    <t>8715839016642</t>
  </si>
  <si>
    <t>15.20.53.00</t>
  </si>
  <si>
    <t>Sportstoel Comfort met pen</t>
  </si>
  <si>
    <t>8715839058451</t>
  </si>
  <si>
    <t>15.20.54.00</t>
  </si>
  <si>
    <t>Comfort seat heavy duty</t>
  </si>
  <si>
    <t>8715839016659</t>
  </si>
  <si>
    <t>15.20.60.00</t>
  </si>
  <si>
    <t>Sportst. Comfort + verstelling</t>
  </si>
  <si>
    <t>8715839015454</t>
  </si>
  <si>
    <t>Spiegelset</t>
  </si>
  <si>
    <t>8715839011913</t>
  </si>
  <si>
    <t>15.22.00.00</t>
  </si>
  <si>
    <t>Bidon</t>
  </si>
  <si>
    <t>8715839011920</t>
  </si>
  <si>
    <t>15.22.10.00</t>
  </si>
  <si>
    <t>Bidonhouder</t>
  </si>
  <si>
    <t>8715839011944</t>
  </si>
  <si>
    <t>15.23.01.00</t>
  </si>
  <si>
    <t>Computer (3 functies)</t>
  </si>
  <si>
    <t>8715839017717</t>
  </si>
  <si>
    <t>15.23.12.00</t>
  </si>
  <si>
    <t>Boordcomputer</t>
  </si>
  <si>
    <t>8715839011951</t>
  </si>
  <si>
    <t>Hoorn 2-tonig</t>
  </si>
  <si>
    <t>8715839015461</t>
  </si>
  <si>
    <t>15.24.10.00</t>
  </si>
  <si>
    <t>Sirene</t>
  </si>
  <si>
    <t>8715839046632</t>
  </si>
  <si>
    <t>8715839019490</t>
  </si>
  <si>
    <t>15.24.70.00</t>
  </si>
  <si>
    <t>Zwaailicht op stang, oranje</t>
  </si>
  <si>
    <t>8715839050370</t>
  </si>
  <si>
    <t>Flashing Light On Pole</t>
  </si>
  <si>
    <t>8715839019506</t>
  </si>
  <si>
    <t>15.24.71.00</t>
  </si>
  <si>
    <t>Zwaailicht op stang, blauw</t>
  </si>
  <si>
    <t>8715839019605</t>
  </si>
  <si>
    <t>15.24.80.00</t>
  </si>
  <si>
    <t>Zwaailamp voor Rolbeugel</t>
  </si>
  <si>
    <t>Flashing light for Roll-bar</t>
  </si>
  <si>
    <t>8715839020274</t>
  </si>
  <si>
    <t>15.25.40.00</t>
  </si>
  <si>
    <t>Stickerset Pirato</t>
  </si>
  <si>
    <t>8715839020281</t>
  </si>
  <si>
    <t>15.25.50.00</t>
  </si>
  <si>
    <t>Stickerset Safari</t>
  </si>
  <si>
    <t>8715839019544</t>
  </si>
  <si>
    <t>15.30.00.00</t>
  </si>
  <si>
    <t>BERG Skelter-rugzak</t>
  </si>
  <si>
    <t>8715839011968</t>
  </si>
  <si>
    <t>15.31.30.00</t>
  </si>
  <si>
    <t>Front spoiler rood</t>
  </si>
  <si>
    <t>8715839011975</t>
  </si>
  <si>
    <t>15.31.31.00</t>
  </si>
  <si>
    <t>Front spoiler Zwart/geel</t>
  </si>
  <si>
    <t>8715839022896</t>
  </si>
  <si>
    <t>15.31.32.00</t>
  </si>
  <si>
    <t>Front spoiler Zwart/rood</t>
  </si>
  <si>
    <t>8715839028676</t>
  </si>
  <si>
    <t>15.31.33.00</t>
  </si>
  <si>
    <t>Spoiler Sprinter</t>
  </si>
  <si>
    <t>8713235020904</t>
  </si>
  <si>
    <t>15.31.38.00</t>
  </si>
  <si>
    <t>028436 Frontspoiler Bison</t>
  </si>
  <si>
    <t>8715839017236</t>
  </si>
  <si>
    <t>15.31.50.00</t>
  </si>
  <si>
    <t>Kenteken-kit</t>
  </si>
  <si>
    <t>8715839028799</t>
  </si>
  <si>
    <t>15.31.98.00</t>
  </si>
  <si>
    <t>Nummerbord los NIET INPAKKEN</t>
  </si>
  <si>
    <t>8715839050714</t>
  </si>
  <si>
    <t>Passenger seat Basic/Extra</t>
  </si>
  <si>
    <t>8715839050721</t>
  </si>
  <si>
    <t>Passenger seat JEEP</t>
  </si>
  <si>
    <t>8715839050738</t>
  </si>
  <si>
    <t>Passenger seat John Deere</t>
  </si>
  <si>
    <t>8715839050745</t>
  </si>
  <si>
    <t>Passenger seat Claas</t>
  </si>
  <si>
    <t>8715839050752</t>
  </si>
  <si>
    <t>Passenger seat Case-IH</t>
  </si>
  <si>
    <t>8715839050769</t>
  </si>
  <si>
    <t>Passenger seat New Holland</t>
  </si>
  <si>
    <t>8715839050776</t>
  </si>
  <si>
    <t>Passenger seat Fendt</t>
  </si>
  <si>
    <t>8715839050783</t>
  </si>
  <si>
    <t>Passenger seat Deutz Fahr</t>
  </si>
  <si>
    <t>8715839050790</t>
  </si>
  <si>
    <t>Passenger seat X-Cross</t>
  </si>
  <si>
    <t>8715839050806</t>
  </si>
  <si>
    <t>Passenger seat Race</t>
  </si>
  <si>
    <t>8715839050813</t>
  </si>
  <si>
    <t>Passenger seat X-Plore</t>
  </si>
  <si>
    <t>8715839050820</t>
  </si>
  <si>
    <t>Passenger seat Black Edition</t>
  </si>
  <si>
    <t>8715839050837</t>
  </si>
  <si>
    <t>Passenger seat Safari</t>
  </si>
  <si>
    <t>8715839050844</t>
  </si>
  <si>
    <t>Passenger seat Route 66</t>
  </si>
  <si>
    <t>8715839060218</t>
  </si>
  <si>
    <t>15.37.14.00</t>
  </si>
  <si>
    <t>BERG Passenger seat Extra Sport Red</t>
  </si>
  <si>
    <t>8715839041507</t>
  </si>
  <si>
    <t>15.53.00.00</t>
  </si>
  <si>
    <t>Gran Tour Remplaat-set</t>
  </si>
  <si>
    <t>8715839045482</t>
  </si>
  <si>
    <t>15.53.01.00</t>
  </si>
  <si>
    <t>Crank-set 22 teeth + pedal</t>
  </si>
  <si>
    <t>8715839045758</t>
  </si>
  <si>
    <t>15.53.02.00</t>
  </si>
  <si>
    <t>Vrijloop GranTour Links</t>
  </si>
  <si>
    <t>8715839054156</t>
  </si>
  <si>
    <t>15.53.03.00</t>
  </si>
  <si>
    <t>Crank-set 36 teeth + pedal</t>
  </si>
  <si>
    <t>8715839041460</t>
  </si>
  <si>
    <t>15.53.90.00</t>
  </si>
  <si>
    <t>Trapas GranTour</t>
  </si>
  <si>
    <t>8715839018042</t>
  </si>
  <si>
    <t>15.59.12.00</t>
  </si>
  <si>
    <t>Vlaggesteun BalanzBike</t>
  </si>
  <si>
    <t>8715839018059</t>
  </si>
  <si>
    <t>15.59.21.00</t>
  </si>
  <si>
    <t>Beugel kettingkast Balanzbike</t>
  </si>
  <si>
    <t>8715839017670</t>
  </si>
  <si>
    <t>15.60.30.00</t>
  </si>
  <si>
    <t>Hefinrichting</t>
  </si>
  <si>
    <t>8715839020649</t>
  </si>
  <si>
    <t>15.60.30.01</t>
  </si>
  <si>
    <t>8715839045635</t>
  </si>
  <si>
    <t>15.60.30.02</t>
  </si>
  <si>
    <t>Achter hefinrichting</t>
  </si>
  <si>
    <t>8715839012538</t>
  </si>
  <si>
    <t>15.60.40.00</t>
  </si>
  <si>
    <t>Fronthefinrichting</t>
  </si>
  <si>
    <t>8715839046564</t>
  </si>
  <si>
    <t>Voorhef inrichting</t>
  </si>
  <si>
    <t>8715839017687</t>
  </si>
  <si>
    <t>15.60.50.00</t>
  </si>
  <si>
    <t>Liftbakje</t>
  </si>
  <si>
    <t>8715839046830</t>
  </si>
  <si>
    <t>8715839022483</t>
  </si>
  <si>
    <t>15.60.51.00</t>
  </si>
  <si>
    <t>Liftbakje Geel</t>
  </si>
  <si>
    <t>8715839017694</t>
  </si>
  <si>
    <t>15.60.55.00</t>
  </si>
  <si>
    <t>Palletvork</t>
  </si>
  <si>
    <t>8715839047745</t>
  </si>
  <si>
    <t>8715839017700</t>
  </si>
  <si>
    <t>15.60.60.00</t>
  </si>
  <si>
    <t>Schuif</t>
  </si>
  <si>
    <t>8715839046861</t>
  </si>
  <si>
    <t>8715839019704</t>
  </si>
  <si>
    <t>15.61.20.00</t>
  </si>
  <si>
    <t>Trekhaak + vastzetrem Compact</t>
  </si>
  <si>
    <t>8715839014761</t>
  </si>
  <si>
    <t>15.61.31.00</t>
  </si>
  <si>
    <t>Spoiler Compact Gold</t>
  </si>
  <si>
    <t>8715839019711</t>
  </si>
  <si>
    <t>15.61.33.00</t>
  </si>
  <si>
    <t>Spoiler Compact blauw</t>
  </si>
  <si>
    <t>8715839019728</t>
  </si>
  <si>
    <t>15.61.34.00</t>
  </si>
  <si>
    <t>Spoiler Compact oranje</t>
  </si>
  <si>
    <t>8715839013467</t>
  </si>
  <si>
    <t>15.61.43.00</t>
  </si>
  <si>
    <t>Spoiler Roxy blauw</t>
  </si>
  <si>
    <t>8715839013474</t>
  </si>
  <si>
    <t>15.61.44.00</t>
  </si>
  <si>
    <t>Spoiler Roxy oranje</t>
  </si>
  <si>
    <t>8715839019612</t>
  </si>
  <si>
    <t>15.62.00.00</t>
  </si>
  <si>
    <t>Loader voor Triggy</t>
  </si>
  <si>
    <t>8715839019803</t>
  </si>
  <si>
    <t>15.63.00.00</t>
  </si>
  <si>
    <t>Rolbeugel Zilver</t>
  </si>
  <si>
    <t>8715839051636</t>
  </si>
  <si>
    <t>Roll-bar Traxx</t>
  </si>
  <si>
    <t>8715839010916</t>
  </si>
  <si>
    <t>15.63.10.00</t>
  </si>
  <si>
    <t>Rolbeugel zwart X-plorer</t>
  </si>
  <si>
    <t>8715839051643</t>
  </si>
  <si>
    <t>Roll-bar Off-road</t>
  </si>
  <si>
    <t>8715839010954</t>
  </si>
  <si>
    <t>15.63.20.00</t>
  </si>
  <si>
    <t>Reservewiel 400 Off-Road</t>
  </si>
  <si>
    <t>8715839021172</t>
  </si>
  <si>
    <t>15.63.21.00</t>
  </si>
  <si>
    <t>Reservewiel 460 Off-Road</t>
  </si>
  <si>
    <t>8715839053210</t>
  </si>
  <si>
    <t>Spare Wheel X-Cross</t>
  </si>
  <si>
    <t>8715839053227</t>
  </si>
  <si>
    <t>Spare Wheel X-plore</t>
  </si>
  <si>
    <t>8715839053234</t>
  </si>
  <si>
    <t>Spare Wheel JEEP</t>
  </si>
  <si>
    <t>Spare Wheel Safari</t>
  </si>
  <si>
    <t>8715839010923</t>
  </si>
  <si>
    <t>15.63.30.00</t>
  </si>
  <si>
    <t>Rolbeugel Racing</t>
  </si>
  <si>
    <t>8715839050912</t>
  </si>
  <si>
    <t>Traxx exhaust in box</t>
  </si>
  <si>
    <t>8715839051414</t>
  </si>
  <si>
    <t>BERG heavy duty Brake pads</t>
  </si>
  <si>
    <t>8715839051421</t>
  </si>
  <si>
    <t>BERG License plate kit</t>
  </si>
  <si>
    <t>8715839052343</t>
  </si>
  <si>
    <t>8715839016673</t>
  </si>
  <si>
    <t>Skelterhoes</t>
  </si>
  <si>
    <t>8715839042818</t>
  </si>
  <si>
    <t>Buddy sirene</t>
  </si>
  <si>
    <t>8715839042146</t>
  </si>
  <si>
    <t>Blauwe kap voor zwaailamp</t>
  </si>
  <si>
    <t>8715839042092</t>
  </si>
  <si>
    <t>Trekhaak Junior Trailer</t>
  </si>
  <si>
    <t>8715839057829</t>
  </si>
  <si>
    <t>16.24.40.00</t>
  </si>
  <si>
    <t>BERG Junior Rollbar</t>
  </si>
  <si>
    <t>8715839042122</t>
  </si>
  <si>
    <t>Buddy Zwaailamp</t>
  </si>
  <si>
    <t>8715839059946</t>
  </si>
  <si>
    <t>BERG Buzzy Bucket Yellow</t>
  </si>
  <si>
    <t>8715839042139</t>
  </si>
  <si>
    <t>Buddy vlag</t>
  </si>
  <si>
    <t>8715839012187</t>
  </si>
  <si>
    <t>18.06.13.00</t>
  </si>
  <si>
    <t>Spatbordset Vario</t>
  </si>
  <si>
    <t>8715839013146</t>
  </si>
  <si>
    <t>18.06.32.00</t>
  </si>
  <si>
    <t>Kipkar Super</t>
  </si>
  <si>
    <t>8715839042023</t>
  </si>
  <si>
    <t>18.06.32.01</t>
  </si>
  <si>
    <t>8715839048117</t>
  </si>
  <si>
    <t>18.06.32.02</t>
  </si>
  <si>
    <t>8715839050639</t>
  </si>
  <si>
    <t>18.06.32.03</t>
  </si>
  <si>
    <t>8715839015478</t>
  </si>
  <si>
    <t>18.06.35.00</t>
  </si>
  <si>
    <t>Kipkar Basic</t>
  </si>
  <si>
    <t>8715839048124</t>
  </si>
  <si>
    <t>18.06.35.01</t>
  </si>
  <si>
    <t>8715839050622</t>
  </si>
  <si>
    <t>18.06.35.02</t>
  </si>
  <si>
    <t>8713235012053</t>
  </si>
  <si>
    <t>18.06.35.10</t>
  </si>
  <si>
    <t>Kipkar Mustang</t>
  </si>
  <si>
    <t>8716106025299</t>
  </si>
  <si>
    <t>18.06.60.00</t>
  </si>
  <si>
    <t>GK 6050 - Kipper Kramp</t>
  </si>
  <si>
    <t>8715839050394</t>
  </si>
  <si>
    <t>18.06.60.01</t>
  </si>
  <si>
    <t>8715839018684</t>
  </si>
  <si>
    <t>18.06.90.00</t>
  </si>
  <si>
    <t>Huif L</t>
  </si>
  <si>
    <t>8715839022087</t>
  </si>
  <si>
    <t>18.06.91.00</t>
  </si>
  <si>
    <t>Western Huif</t>
  </si>
  <si>
    <t>8713235055517</t>
  </si>
  <si>
    <t>18.06.91.10</t>
  </si>
  <si>
    <t>Mustang Western Huif</t>
  </si>
  <si>
    <t>8715839059489</t>
  </si>
  <si>
    <t>18.06.92.00</t>
  </si>
  <si>
    <t>Western Cover (for new Large Trailer)</t>
  </si>
  <si>
    <t>8715839010596</t>
  </si>
  <si>
    <t>18.07.10.00</t>
  </si>
  <si>
    <t>Bolderwagen</t>
  </si>
  <si>
    <t>8715839045222</t>
  </si>
  <si>
    <t>Mod. Beach Wagon L</t>
  </si>
  <si>
    <t>8715839020113</t>
  </si>
  <si>
    <t>18.07.11.00</t>
  </si>
  <si>
    <t>Bolderwagen Stapelbaar</t>
  </si>
  <si>
    <t>8715839016680</t>
  </si>
  <si>
    <t>18.07.16.00</t>
  </si>
  <si>
    <t>Bolderwagen XL</t>
  </si>
  <si>
    <t>8715839021820</t>
  </si>
  <si>
    <t>18.07.17.00</t>
  </si>
  <si>
    <t>8715839045208</t>
  </si>
  <si>
    <t>Mod. Beach Wagon XL</t>
  </si>
  <si>
    <t>8715839059748</t>
  </si>
  <si>
    <t>18.07.50.00</t>
  </si>
  <si>
    <t>Beach Wagon Frame</t>
  </si>
  <si>
    <t>8715839022094</t>
  </si>
  <si>
    <t>Western Huif  Bolderwagen</t>
  </si>
  <si>
    <t>8715839051940</t>
  </si>
  <si>
    <t>BERG Aanhanger Groot</t>
  </si>
  <si>
    <t>8715839059472</t>
  </si>
  <si>
    <t>18.08.01.00</t>
  </si>
  <si>
    <t>BERG Large Trailer Limited Ed.</t>
  </si>
  <si>
    <t>8715839062908</t>
  </si>
  <si>
    <t>18.08.02.00</t>
  </si>
  <si>
    <t>BERG Steel Trailer</t>
  </si>
  <si>
    <t>8715839062915</t>
  </si>
  <si>
    <t>18.08.03.00</t>
  </si>
  <si>
    <t>BERG Standard Trailer</t>
  </si>
  <si>
    <t>8715839058567</t>
  </si>
  <si>
    <t>18.08.10.00</t>
  </si>
  <si>
    <t>BERG Two Seater</t>
  </si>
  <si>
    <t>8715839019582</t>
  </si>
  <si>
    <t>18.14.11.00</t>
  </si>
  <si>
    <t>Grote graver</t>
  </si>
  <si>
    <t>8715839011708</t>
  </si>
  <si>
    <t>18.15.11.00</t>
  </si>
  <si>
    <t>BERG Lody</t>
  </si>
  <si>
    <t>8715839064285</t>
  </si>
  <si>
    <t>18.24.30.00</t>
  </si>
  <si>
    <t>BERG Buzzy Trailer</t>
  </si>
  <si>
    <t>8715839046816</t>
  </si>
  <si>
    <t>18.25.10.02</t>
  </si>
  <si>
    <t>Opbouwkar</t>
  </si>
  <si>
    <t>8715839011715</t>
  </si>
  <si>
    <t>18.25.14.00</t>
  </si>
  <si>
    <t>8715839047929</t>
  </si>
  <si>
    <t>18.25.14.01</t>
  </si>
  <si>
    <t>8715839013818</t>
  </si>
  <si>
    <t>18.25.24.00</t>
  </si>
  <si>
    <t>BERG Carry</t>
  </si>
  <si>
    <t>8715839011173</t>
  </si>
  <si>
    <t>18.26.14.00</t>
  </si>
  <si>
    <t>Kipbak</t>
  </si>
  <si>
    <t>8715839010657</t>
  </si>
  <si>
    <t>18.27.10.00</t>
  </si>
  <si>
    <t>Takel</t>
  </si>
  <si>
    <t>8715839013757</t>
  </si>
  <si>
    <t>18.27.54.00</t>
  </si>
  <si>
    <t>Slanghaspel</t>
  </si>
  <si>
    <t>8715839013832</t>
  </si>
  <si>
    <t>18.27.74.00</t>
  </si>
  <si>
    <t>Stawagen</t>
  </si>
  <si>
    <t>8715839011722</t>
  </si>
  <si>
    <t>18.28.14.00</t>
  </si>
  <si>
    <t>Tweezitter zwart (hout)</t>
  </si>
  <si>
    <t>8715839017229</t>
  </si>
  <si>
    <t>18.28.24.00</t>
  </si>
  <si>
    <t>Tweezitter</t>
  </si>
  <si>
    <t>8715839019551</t>
  </si>
  <si>
    <t>18.28.34.00</t>
  </si>
  <si>
    <t>Tweezitter (hout)</t>
  </si>
  <si>
    <t>8715839011739</t>
  </si>
  <si>
    <t>18.52.04.00</t>
  </si>
  <si>
    <t>Kipkar Vario</t>
  </si>
  <si>
    <t>8715839011746</t>
  </si>
  <si>
    <t>18.52.10.00</t>
  </si>
  <si>
    <t>Zeilhuif Vario</t>
  </si>
  <si>
    <t>8715839018714</t>
  </si>
  <si>
    <t>18.52.11.00</t>
  </si>
  <si>
    <t>Huif XL</t>
  </si>
  <si>
    <t>8715839014334</t>
  </si>
  <si>
    <t>21.01.00.00</t>
  </si>
  <si>
    <t>BERG Moov Streetkit</t>
  </si>
  <si>
    <t>21.01.00.01</t>
  </si>
  <si>
    <t>BERG MOOV Streetkit (10 in 1)</t>
  </si>
  <si>
    <t>8715839047103</t>
  </si>
  <si>
    <t>21.01.00.02</t>
  </si>
  <si>
    <t>BERG MOOV street kit USA</t>
  </si>
  <si>
    <t>8715839022063</t>
  </si>
  <si>
    <t>21.02.00.00</t>
  </si>
  <si>
    <t>BERG MOOV Starter kit</t>
  </si>
  <si>
    <t>8715839041439</t>
  </si>
  <si>
    <t>21.02.00.01</t>
  </si>
  <si>
    <t>BERG Moov Starter kit QVC</t>
  </si>
  <si>
    <t>8715839047110</t>
  </si>
  <si>
    <t>21.02.00.02</t>
  </si>
  <si>
    <t>BERG MOOV starter kit USA</t>
  </si>
  <si>
    <t>8715839022070</t>
  </si>
  <si>
    <t>21.03.00.00</t>
  </si>
  <si>
    <t>BERG MOOV Advanced kit</t>
  </si>
  <si>
    <t>8715839047127</t>
  </si>
  <si>
    <t>21.03.00.01</t>
  </si>
  <si>
    <t>BERG MOOV advanced kit USA</t>
  </si>
  <si>
    <t>8715839023152</t>
  </si>
  <si>
    <t>21.03.01.00</t>
  </si>
  <si>
    <t>BERG Moov Advanced kit Tchibo</t>
  </si>
  <si>
    <t>8715839021448</t>
  </si>
  <si>
    <t>21.10.01.00</t>
  </si>
  <si>
    <t>Boomerang Board Set (4x kort)</t>
  </si>
  <si>
    <t>8715839021455</t>
  </si>
  <si>
    <t>21.10.02.00</t>
  </si>
  <si>
    <t>Boomerang Board Set (4x lang)</t>
  </si>
  <si>
    <t>8715839021462</t>
  </si>
  <si>
    <t>21.10.03.00</t>
  </si>
  <si>
    <t>Board Set (4x kort)</t>
  </si>
  <si>
    <t>8715839021479</t>
  </si>
  <si>
    <t>21.10.04.00</t>
  </si>
  <si>
    <t>Board Set (4x lang)</t>
  </si>
  <si>
    <t>8715839021486</t>
  </si>
  <si>
    <t>21.10.05.00</t>
  </si>
  <si>
    <t>Korte assen (8x)</t>
  </si>
  <si>
    <t>8715839021493</t>
  </si>
  <si>
    <t>21.10.06.00</t>
  </si>
  <si>
    <t>Lange assen (6x)</t>
  </si>
  <si>
    <t>8715839021509</t>
  </si>
  <si>
    <t>21.10.07.00</t>
  </si>
  <si>
    <t>Connector set (24x)</t>
  </si>
  <si>
    <t>8715839021516</t>
  </si>
  <si>
    <t>21.10.08.00</t>
  </si>
  <si>
    <t>Binnenband MOOV (2x)</t>
  </si>
  <si>
    <t>8715839021523</t>
  </si>
  <si>
    <t>21.10.09.00</t>
  </si>
  <si>
    <t>Buitenband MOOV (2x)</t>
  </si>
  <si>
    <t>8715839021530</t>
  </si>
  <si>
    <t>21.10.10.00</t>
  </si>
  <si>
    <t>Wiel 12"" Moov (2x)</t>
  </si>
  <si>
    <t>8715839021547</t>
  </si>
  <si>
    <t>21.10.11.00</t>
  </si>
  <si>
    <t>Bungy rings (40x)</t>
  </si>
  <si>
    <t>8715839021554</t>
  </si>
  <si>
    <t>21.10.12.00</t>
  </si>
  <si>
    <t>Handleiding MOOV</t>
  </si>
  <si>
    <t>8715839023251</t>
  </si>
  <si>
    <t>21.30.00.00</t>
  </si>
  <si>
    <t>BERG Moov Education kit</t>
  </si>
  <si>
    <t>8715839047134</t>
  </si>
  <si>
    <t>21.30.00.01</t>
  </si>
  <si>
    <t>BERG MOOV education kit USA</t>
  </si>
  <si>
    <t>8715839023596</t>
  </si>
  <si>
    <t>21.30.50.00</t>
  </si>
  <si>
    <t>MOOV Certificates (50 pieces)</t>
  </si>
  <si>
    <t>8715839023602</t>
  </si>
  <si>
    <t>21.30.51.00</t>
  </si>
  <si>
    <t>MOOV Rollerbox</t>
  </si>
  <si>
    <t>8715839023619</t>
  </si>
  <si>
    <t>21.30.52.00</t>
  </si>
  <si>
    <t>MOOV Cotton bags (2 pieces)</t>
  </si>
  <si>
    <t>8715839023374</t>
  </si>
  <si>
    <t>21.40.00.00</t>
  </si>
  <si>
    <t>MOOV Edu Activity-Set Basic</t>
  </si>
  <si>
    <t>8715839019599</t>
  </si>
  <si>
    <t>24.01.00.00</t>
  </si>
  <si>
    <t>BERG Triggy</t>
  </si>
  <si>
    <t>24.01.00.01</t>
  </si>
  <si>
    <t>8715839023527</t>
  </si>
  <si>
    <t>24.01.24.00</t>
  </si>
  <si>
    <t>BERG Triggy John Deere</t>
  </si>
  <si>
    <t>8715839020892</t>
  </si>
  <si>
    <t>24.02.10.00</t>
  </si>
  <si>
    <t>Triggy &amp; Loader</t>
  </si>
  <si>
    <t>8715839047561</t>
  </si>
  <si>
    <t>24.10.00.00</t>
  </si>
  <si>
    <t>BERG Street-X</t>
  </si>
  <si>
    <t>8715839061079</t>
  </si>
  <si>
    <t>8715839052428</t>
  </si>
  <si>
    <t>8715839029727</t>
  </si>
  <si>
    <t>24.20.00.00</t>
  </si>
  <si>
    <t>BERG Aanhanger Junior</t>
  </si>
  <si>
    <t>8715839042085</t>
  </si>
  <si>
    <t>BERG Junior Trailer</t>
  </si>
  <si>
    <t>8715839047158</t>
  </si>
  <si>
    <t>24.20.00.02</t>
  </si>
  <si>
    <t>BERG Junior Trailer no bucket</t>
  </si>
  <si>
    <t>8715839022780</t>
  </si>
  <si>
    <t>24.20.44.00</t>
  </si>
  <si>
    <t>BERG Buddy black</t>
  </si>
  <si>
    <t>8715839023763</t>
  </si>
  <si>
    <t>24.20.44.01</t>
  </si>
  <si>
    <t>8715839029994</t>
  </si>
  <si>
    <t>24.20.44.02</t>
  </si>
  <si>
    <t>8715839061710</t>
  </si>
  <si>
    <t>24.20.45.00</t>
  </si>
  <si>
    <t>BERG Buddy Black Edition</t>
  </si>
  <si>
    <t>8715839020779</t>
  </si>
  <si>
    <t>24.20.54.00</t>
  </si>
  <si>
    <t>24.20.54.01</t>
  </si>
  <si>
    <t>BERG Buddy Rood</t>
  </si>
  <si>
    <t>8715839026931</t>
  </si>
  <si>
    <t>24.20.54.02</t>
  </si>
  <si>
    <t>8715839026320</t>
  </si>
  <si>
    <t>24.20.60.00</t>
  </si>
  <si>
    <t>8715839027983</t>
  </si>
  <si>
    <t>8715839029383</t>
  </si>
  <si>
    <t>24.20.60.11</t>
  </si>
  <si>
    <t>BERG Buddy Orange CN</t>
  </si>
  <si>
    <t>8715839045383</t>
  </si>
  <si>
    <t>24.20.60.12</t>
  </si>
  <si>
    <t>BERG Buddy Orange CDN</t>
  </si>
  <si>
    <t>8715839026337</t>
  </si>
  <si>
    <t>24.20.61.00</t>
  </si>
  <si>
    <t>BERG Buddy White</t>
  </si>
  <si>
    <t>8715839027990</t>
  </si>
  <si>
    <t>8715839029376</t>
  </si>
  <si>
    <t>24.20.61.11</t>
  </si>
  <si>
    <t>BERG Buddy White CN</t>
  </si>
  <si>
    <t>8715839028379</t>
  </si>
  <si>
    <t>24.20.62.00</t>
  </si>
  <si>
    <t>Buddy Black + White</t>
  </si>
  <si>
    <t>8715839042115</t>
  </si>
  <si>
    <t>24.20.63.00</t>
  </si>
  <si>
    <t>BERG Buddy Hot Rod</t>
  </si>
  <si>
    <t>8715839062472</t>
  </si>
  <si>
    <t>24.20.65.00</t>
  </si>
  <si>
    <t>BERG Buddy Cross</t>
  </si>
  <si>
    <t>8715839023534</t>
  </si>
  <si>
    <t>24.21.24.00</t>
  </si>
  <si>
    <t>8715839026948</t>
  </si>
  <si>
    <t>8715839060416</t>
  </si>
  <si>
    <t>24.21.24.11</t>
  </si>
  <si>
    <t>BERG Buddy John Deere CCC</t>
  </si>
  <si>
    <t>8715839023541</t>
  </si>
  <si>
    <t>24.21.34.00</t>
  </si>
  <si>
    <t>Jeep Junior Pedal Go-kart</t>
  </si>
  <si>
    <t>8715839026955</t>
  </si>
  <si>
    <t>8715839029369</t>
  </si>
  <si>
    <t>24.21.34.11</t>
  </si>
  <si>
    <t>Junior Pedal Go Kart CN</t>
  </si>
  <si>
    <t>8715839023350</t>
  </si>
  <si>
    <t>24.21.44.00</t>
  </si>
  <si>
    <t>BERG Buddy ADAC</t>
  </si>
  <si>
    <t>8715839047578</t>
  </si>
  <si>
    <t>Buddy Fendt</t>
  </si>
  <si>
    <t>8715839058253</t>
  </si>
  <si>
    <t>24.21.55.00</t>
  </si>
  <si>
    <t>BERG Buddy Case</t>
  </si>
  <si>
    <t>Buddy BMW</t>
  </si>
  <si>
    <t>8715839060119</t>
  </si>
  <si>
    <t>24.21.64.20</t>
  </si>
  <si>
    <t>BMW Street Racer CCC</t>
  </si>
  <si>
    <t>8715839029710</t>
  </si>
  <si>
    <t>24.23.00.01</t>
  </si>
  <si>
    <t>Ferrari 150 Italia</t>
  </si>
  <si>
    <t>8715839022049</t>
  </si>
  <si>
    <t>24.23.44.00</t>
  </si>
  <si>
    <t>Ferrari F1 pedal go-kart</t>
  </si>
  <si>
    <t>8715839047585</t>
  </si>
  <si>
    <t>8715839054125</t>
  </si>
  <si>
    <t>24.30.00.01</t>
  </si>
  <si>
    <t>Buzzy CCC</t>
  </si>
  <si>
    <t>8715839059427</t>
  </si>
  <si>
    <t>Buzzy Boy</t>
  </si>
  <si>
    <t>8715839060089</t>
  </si>
  <si>
    <t>24.30.01.20</t>
  </si>
  <si>
    <t>BERG Buzzy Nitro CCC</t>
  </si>
  <si>
    <t>8715839059434</t>
  </si>
  <si>
    <t>Buzzy Girl</t>
  </si>
  <si>
    <t>8715839060096</t>
  </si>
  <si>
    <t>24.30.02.20</t>
  </si>
  <si>
    <t>Buzzy Bloom CCC</t>
  </si>
  <si>
    <t>8715839050851</t>
  </si>
  <si>
    <t>Buzzy Fiat 500</t>
  </si>
  <si>
    <t>8715839060409</t>
  </si>
  <si>
    <t>24.30.10.20</t>
  </si>
  <si>
    <t>BERG Buzzy Fiat 500 CCC</t>
  </si>
  <si>
    <t>8715839057744</t>
  </si>
  <si>
    <t>Buzzy John Deere</t>
  </si>
  <si>
    <t>8715839061086</t>
  </si>
  <si>
    <t>24.30.11.40</t>
  </si>
  <si>
    <t>BERG Buzzy John Deere (excl. for John Deere)</t>
  </si>
  <si>
    <t>8715839056723</t>
  </si>
  <si>
    <t>BERG Buzzy Race</t>
  </si>
  <si>
    <t>8715839060102</t>
  </si>
  <si>
    <t>24.30.20.20</t>
  </si>
  <si>
    <t>BERG Buzzy Racing CCC</t>
  </si>
  <si>
    <t>8715839030310</t>
  </si>
  <si>
    <t>8715839042108</t>
  </si>
  <si>
    <t>Jeep Adventure Pedal-Gokart</t>
  </si>
  <si>
    <t>8715839047592</t>
  </si>
  <si>
    <t>8715839022438</t>
  </si>
  <si>
    <t>24.40.54.00</t>
  </si>
  <si>
    <t>8715839064322</t>
  </si>
  <si>
    <t>24.50.01.00</t>
  </si>
  <si>
    <t>BERG GO² Girl</t>
  </si>
  <si>
    <t>8715839064339</t>
  </si>
  <si>
    <t>24.50.02.00</t>
  </si>
  <si>
    <t>BERG GO² Unisex</t>
  </si>
  <si>
    <t>8715839062007</t>
  </si>
  <si>
    <t>24.60.00.00</t>
  </si>
  <si>
    <t>#BERG Rebl</t>
  </si>
  <si>
    <t>8715839025101</t>
  </si>
  <si>
    <t>8715839025118</t>
  </si>
  <si>
    <t>8715839029406</t>
  </si>
  <si>
    <t>8715839025125</t>
  </si>
  <si>
    <t>24.76.01.00</t>
  </si>
  <si>
    <t>BERG Kick360</t>
  </si>
  <si>
    <t>8715839028447</t>
  </si>
  <si>
    <t>24.76.01.01</t>
  </si>
  <si>
    <t>8715839048278</t>
  </si>
  <si>
    <t>24.99.00.00</t>
  </si>
  <si>
    <t>BERG Buddy John Deere+Trailer</t>
  </si>
  <si>
    <t>8715839048285</t>
  </si>
  <si>
    <t>24.99.01.00</t>
  </si>
  <si>
    <t>JEEP Junior Go-Kart+trailer</t>
  </si>
  <si>
    <t>8715839048292</t>
  </si>
  <si>
    <t>24.99.02.00</t>
  </si>
  <si>
    <t>BERG Buddy Orange+Trailer</t>
  </si>
  <si>
    <t>8715839010688</t>
  </si>
  <si>
    <t>25.17.00.00</t>
  </si>
  <si>
    <t>8715839045413</t>
  </si>
  <si>
    <t>8715839012743</t>
  </si>
  <si>
    <t>25.17.40.00</t>
  </si>
  <si>
    <t>Riksja 1 blauw</t>
  </si>
  <si>
    <t>8715839017656</t>
  </si>
  <si>
    <t>25.17.43.00</t>
  </si>
  <si>
    <t>Riksja 1 rood</t>
  </si>
  <si>
    <t>8715839015799</t>
  </si>
  <si>
    <t>25.20.40.00</t>
  </si>
  <si>
    <t>Grote Step</t>
  </si>
  <si>
    <t>8715839018820</t>
  </si>
  <si>
    <t>25.22.41.00</t>
  </si>
  <si>
    <t>Crazy Bike Blauw</t>
  </si>
  <si>
    <t>8715839019162</t>
  </si>
  <si>
    <t>25.22.43.00</t>
  </si>
  <si>
    <t>Crazy Bike red</t>
  </si>
  <si>
    <t>8715839012415</t>
  </si>
  <si>
    <t>25.23.61.00</t>
  </si>
  <si>
    <t>Kleine step 70 blauw, met rem</t>
  </si>
  <si>
    <t>8715839013481</t>
  </si>
  <si>
    <t>25.23.63.00</t>
  </si>
  <si>
    <t>Kleine step 70 rood, met rem</t>
  </si>
  <si>
    <t>8715839012262</t>
  </si>
  <si>
    <t>25.23.71.00</t>
  </si>
  <si>
    <t>Kleine step 85 blauw, met rem</t>
  </si>
  <si>
    <t>8715839013498</t>
  </si>
  <si>
    <t>25.23.73.00</t>
  </si>
  <si>
    <t>Kleine step 85 rood, met rem</t>
  </si>
  <si>
    <t>8715839012804</t>
  </si>
  <si>
    <t>25.48.01.00</t>
  </si>
  <si>
    <t>Driewieler Pablo prof</t>
  </si>
  <si>
    <t>8715839012767</t>
  </si>
  <si>
    <t>25.48.11.00</t>
  </si>
  <si>
    <t>Driewieler Moby M blauw</t>
  </si>
  <si>
    <t>8715839013016</t>
  </si>
  <si>
    <t>25.48.13.00</t>
  </si>
  <si>
    <t>Moby M rood</t>
  </si>
  <si>
    <t>8715839012750</t>
  </si>
  <si>
    <t>25.48.21.00</t>
  </si>
  <si>
    <t>Driewieler Moby S</t>
  </si>
  <si>
    <t>8715839016963</t>
  </si>
  <si>
    <t>25.48.23.00</t>
  </si>
  <si>
    <t>Moby S rood</t>
  </si>
  <si>
    <t>8715839012774</t>
  </si>
  <si>
    <t>25.48.31.00</t>
  </si>
  <si>
    <t>Driewieler Moby L</t>
  </si>
  <si>
    <t>8715839018967</t>
  </si>
  <si>
    <t>25.48.40.00</t>
  </si>
  <si>
    <t>Driewieler Moby XS</t>
  </si>
  <si>
    <t>8715839019247</t>
  </si>
  <si>
    <t>25.48.43.00</t>
  </si>
  <si>
    <t>Driewieler Moby XS rood</t>
  </si>
  <si>
    <t>8715839012835</t>
  </si>
  <si>
    <t>25.48.60.00</t>
  </si>
  <si>
    <t>Bike blauw</t>
  </si>
  <si>
    <t>8715839012828</t>
  </si>
  <si>
    <t>25.48.61.00</t>
  </si>
  <si>
    <t>Walk-Bike blauw</t>
  </si>
  <si>
    <t>8715839012842</t>
  </si>
  <si>
    <t>25.48.63.00</t>
  </si>
  <si>
    <t>Pushbar</t>
  </si>
  <si>
    <t>8715839013030</t>
  </si>
  <si>
    <t>25.48.65.00</t>
  </si>
  <si>
    <t>Bike rood</t>
  </si>
  <si>
    <t>8715839013023</t>
  </si>
  <si>
    <t>25.48.66.00</t>
  </si>
  <si>
    <t>Walk-Bike rood</t>
  </si>
  <si>
    <t>8715839013290</t>
  </si>
  <si>
    <t>25.48.70.00</t>
  </si>
  <si>
    <t>Skippy blauw</t>
  </si>
  <si>
    <t>8715839013306</t>
  </si>
  <si>
    <t>25.48.73.00</t>
  </si>
  <si>
    <t>Skippy rood</t>
  </si>
  <si>
    <t>8715839015485</t>
  </si>
  <si>
    <t>25.48.90.00</t>
  </si>
  <si>
    <t>Trike blauw</t>
  </si>
  <si>
    <t>8715839012781</t>
  </si>
  <si>
    <t>25.49.40.00</t>
  </si>
  <si>
    <t>Lorry blauw</t>
  </si>
  <si>
    <t>8715839020465</t>
  </si>
  <si>
    <t>25.49.43.00</t>
  </si>
  <si>
    <t>Lorry Rood</t>
  </si>
  <si>
    <t>8715839017816</t>
  </si>
  <si>
    <t>25.49.60.00</t>
  </si>
  <si>
    <t>Taxi blauw</t>
  </si>
  <si>
    <t>8715839020717</t>
  </si>
  <si>
    <t>25.49.63.00</t>
  </si>
  <si>
    <t>Taxi rood</t>
  </si>
  <si>
    <t>8715839015317</t>
  </si>
  <si>
    <t>25.50.03.00</t>
  </si>
  <si>
    <t>Trailer Tricycle rood</t>
  </si>
  <si>
    <t>8715839020694</t>
  </si>
  <si>
    <t>25.50.30.00</t>
  </si>
  <si>
    <t>Porto rood</t>
  </si>
  <si>
    <t>8715839012811</t>
  </si>
  <si>
    <t>25.50.33.00</t>
  </si>
  <si>
    <t>Porto</t>
  </si>
  <si>
    <t>8715839012927</t>
  </si>
  <si>
    <t>25.51.03.00</t>
  </si>
  <si>
    <t>Pablo rood luchtbanden</t>
  </si>
  <si>
    <t>8715839016956</t>
  </si>
  <si>
    <t>25.51.31.00</t>
  </si>
  <si>
    <t>Moby L rood luchtbanden</t>
  </si>
  <si>
    <t>8715839020267</t>
  </si>
  <si>
    <t>25.51.43.00</t>
  </si>
  <si>
    <t>Moby XS rood luchtbanden</t>
  </si>
  <si>
    <t>8715839014235</t>
  </si>
  <si>
    <t>25.51.73.00</t>
  </si>
  <si>
    <t>Trike Rood, luchtbanden</t>
  </si>
  <si>
    <t>8715839012941</t>
  </si>
  <si>
    <t>25.52.43.00</t>
  </si>
  <si>
    <t>Lorry rood luchtbanden</t>
  </si>
  <si>
    <t>8715839014938</t>
  </si>
  <si>
    <t>28.10.01.00</t>
  </si>
  <si>
    <t>BERG Sky-Light F</t>
  </si>
  <si>
    <t>8715839050028</t>
  </si>
  <si>
    <t>28.10.31.00</t>
  </si>
  <si>
    <t>BERG Green-Light F</t>
  </si>
  <si>
    <t>8715839014945</t>
  </si>
  <si>
    <t>28.10.51.00</t>
  </si>
  <si>
    <t>BERG Sun-Light F</t>
  </si>
  <si>
    <t>8715839021851</t>
  </si>
  <si>
    <t>28.20.01.00</t>
  </si>
  <si>
    <t>BERG Sky-Rise F</t>
  </si>
  <si>
    <t>8715839017380</t>
  </si>
  <si>
    <t>28.20.52.00</t>
  </si>
  <si>
    <t>BERG Sun-Rise</t>
  </si>
  <si>
    <t>8715839053692</t>
  </si>
  <si>
    <t>BERG Buddy Prof</t>
  </si>
  <si>
    <t>8715839014952</t>
  </si>
  <si>
    <t>28.30.02.00</t>
  </si>
  <si>
    <t>BERG Sky-Breeze</t>
  </si>
  <si>
    <t>8715839017366</t>
  </si>
  <si>
    <t>28.30.52.00</t>
  </si>
  <si>
    <t>BERG Sun-Breeze</t>
  </si>
  <si>
    <t>8715839023589</t>
  </si>
  <si>
    <t>28.31.52.00</t>
  </si>
  <si>
    <t>BERG Super AF prof rood</t>
  </si>
  <si>
    <t>8715839021844</t>
  </si>
  <si>
    <t>28.32.52.00</t>
  </si>
  <si>
    <t>BERG Monaco AF prof</t>
  </si>
  <si>
    <t>8715839042061</t>
  </si>
  <si>
    <t>28.32.52.01</t>
  </si>
  <si>
    <t>8715839027969</t>
  </si>
  <si>
    <t>28.32.53.00</t>
  </si>
  <si>
    <t>BERG Monaco AF prof Roompot</t>
  </si>
  <si>
    <t>8715839023817</t>
  </si>
  <si>
    <t>28.33.82.00</t>
  </si>
  <si>
    <t>BERG Silverstar AF prof</t>
  </si>
  <si>
    <t>8715839017267</t>
  </si>
  <si>
    <t>28.34.32.00</t>
  </si>
  <si>
    <t>BERG Safari Prof</t>
  </si>
  <si>
    <t>8715839023053</t>
  </si>
  <si>
    <t>28.34.34.00</t>
  </si>
  <si>
    <t>BERG Safari BF-1 prof USA</t>
  </si>
  <si>
    <t>8715839026832</t>
  </si>
  <si>
    <t>28.35.32.00</t>
  </si>
  <si>
    <t>Wrangler Pedal Go-kart prof</t>
  </si>
  <si>
    <t>8715839048032</t>
  </si>
  <si>
    <t>28.35.34.00</t>
  </si>
  <si>
    <t>BERG Jeep Exp. Prof</t>
  </si>
  <si>
    <t>8715839014976</t>
  </si>
  <si>
    <t>28.36.52.00</t>
  </si>
  <si>
    <t>BERG Sun-Beam</t>
  </si>
  <si>
    <t>8715839017250</t>
  </si>
  <si>
    <t>28.39.52.00</t>
  </si>
  <si>
    <t>BERG Sun-Set</t>
  </si>
  <si>
    <t>8715839027976</t>
  </si>
  <si>
    <t>28.39.53.00</t>
  </si>
  <si>
    <t>BERG Sun-Set AF Roompot</t>
  </si>
  <si>
    <t>8715839014983</t>
  </si>
  <si>
    <t>28.40.52.00</t>
  </si>
  <si>
    <t>8715839026863</t>
  </si>
  <si>
    <t>28.43.24.00</t>
  </si>
  <si>
    <t>BERG John Deere BF-1 prof</t>
  </si>
  <si>
    <t>8715839050400</t>
  </si>
  <si>
    <t>28.43.24.01</t>
  </si>
  <si>
    <t>BERG John Deere BF-1 SA prof</t>
  </si>
  <si>
    <t>8715839023060</t>
  </si>
  <si>
    <t>28.43.54.00</t>
  </si>
  <si>
    <t>BERG Traxx red BF-1 Prof</t>
  </si>
  <si>
    <t>8715839023459</t>
  </si>
  <si>
    <t>28.43.74.00</t>
  </si>
  <si>
    <t>BERG Case-IH BF-1 Prof</t>
  </si>
  <si>
    <t>8715839041118</t>
  </si>
  <si>
    <t>28.43.81.00</t>
  </si>
  <si>
    <t>BERG New Holland BF-1 Prof</t>
  </si>
  <si>
    <t>8715839022360</t>
  </si>
  <si>
    <t>28.50.31.00</t>
  </si>
  <si>
    <t>BERG Freestyler 2WD prof</t>
  </si>
  <si>
    <t>8715839021370</t>
  </si>
  <si>
    <t>28.59.18.00</t>
  </si>
  <si>
    <t>BalanzBike Prof XL Geel</t>
  </si>
  <si>
    <t>8715839014990</t>
  </si>
  <si>
    <t>28.59.68.00</t>
  </si>
  <si>
    <t>BalanzBike prof XL</t>
  </si>
  <si>
    <t>8715839041293</t>
  </si>
  <si>
    <t>29.02.00.01</t>
  </si>
  <si>
    <t>BERG Locomotive oranje Custom</t>
  </si>
  <si>
    <t>8715839016765</t>
  </si>
  <si>
    <t>29.02.02.00</t>
  </si>
  <si>
    <t>Locomotief DF blauw</t>
  </si>
  <si>
    <t>8715839016772</t>
  </si>
  <si>
    <t>29.02.52.00</t>
  </si>
  <si>
    <t>Locomotief DF rood</t>
  </si>
  <si>
    <t>8715839019315</t>
  </si>
  <si>
    <t>29.06.52.00</t>
  </si>
  <si>
    <t>BERG Clipper</t>
  </si>
  <si>
    <t>8715839046571</t>
  </si>
  <si>
    <t>29.07.10.01</t>
  </si>
  <si>
    <t>E-GT Racer Strain Sensor</t>
  </si>
  <si>
    <t>8715839046588</t>
  </si>
  <si>
    <t>29.07.10.02</t>
  </si>
  <si>
    <t>E-GT Racer Movement Sensor</t>
  </si>
  <si>
    <t>8715839046595</t>
  </si>
  <si>
    <t>29.07.10.03</t>
  </si>
  <si>
    <t>E-GT Racer Torque Sensor</t>
  </si>
  <si>
    <t>8715839046601</t>
  </si>
  <si>
    <t>29.07.20.01</t>
  </si>
  <si>
    <t>E-GT Off-Road Strain Sensor</t>
  </si>
  <si>
    <t>8715839046618</t>
  </si>
  <si>
    <t>29.07.20.02</t>
  </si>
  <si>
    <t>E-GT Off-Road Movement Sensor</t>
  </si>
  <si>
    <t>8715839046625</t>
  </si>
  <si>
    <t>29.07.20.03</t>
  </si>
  <si>
    <t>BERG E-GT Off Road TS torque</t>
  </si>
  <si>
    <t>8715839053661</t>
  </si>
  <si>
    <t>8715839056570</t>
  </si>
  <si>
    <t>29.07.31.00</t>
  </si>
  <si>
    <t>BERG Gran Tour Theme Offroad 4 seater</t>
  </si>
  <si>
    <t>8715839051971</t>
  </si>
  <si>
    <t>29.07.32.00</t>
  </si>
  <si>
    <t>BERG Gran Tour Theme Offroad 2 seater F</t>
  </si>
  <si>
    <t>8715839051988</t>
  </si>
  <si>
    <t>BERG Grantour OffRoad 2 seater F</t>
  </si>
  <si>
    <t>8715839053678</t>
  </si>
  <si>
    <t>8715839053708</t>
  </si>
  <si>
    <t>29.07.41.00</t>
  </si>
  <si>
    <t xml:space="preserve">BERG Gran Tour Theme Racer 4 seater
</t>
  </si>
  <si>
    <t>8715839051995</t>
  </si>
  <si>
    <t>29.07.42.00</t>
  </si>
  <si>
    <t>BERG Gran Tour Theme Racer 2 seater</t>
  </si>
  <si>
    <t>8715839052008</t>
  </si>
  <si>
    <t>BERG Grantour Racer 2 seater F</t>
  </si>
  <si>
    <t>8715839050592</t>
  </si>
  <si>
    <t>29.07.50.00</t>
  </si>
  <si>
    <t>Gran Tour Modular</t>
  </si>
  <si>
    <t>8715839055528</t>
  </si>
  <si>
    <t>29.07.51.00</t>
  </si>
  <si>
    <t>BERG E-GT Modular</t>
  </si>
  <si>
    <t>29.07.60.00</t>
  </si>
  <si>
    <t>BERG E-GT Off Road 4 seater F</t>
  </si>
  <si>
    <t>8715839023688</t>
  </si>
  <si>
    <t>29.07.81.00</t>
  </si>
  <si>
    <t>BERG GranTour</t>
  </si>
  <si>
    <t>8715839045086</t>
  </si>
  <si>
    <t>29.07.81.01</t>
  </si>
  <si>
    <t>BERG GranTour AF</t>
  </si>
  <si>
    <t>8715839047431</t>
  </si>
  <si>
    <t>29.07.81.02</t>
  </si>
  <si>
    <t>BERG Gran Tour Racer AF</t>
  </si>
  <si>
    <t>8715839047455</t>
  </si>
  <si>
    <t>29.07.91.00</t>
  </si>
  <si>
    <t>BERG Gran Tour Offroad AF</t>
  </si>
  <si>
    <t>8715839012705</t>
  </si>
  <si>
    <t>29.11.02.00</t>
  </si>
  <si>
    <t>Wagon blauw</t>
  </si>
  <si>
    <t>8715839016802</t>
  </si>
  <si>
    <t>29.11.03.00</t>
  </si>
  <si>
    <t>Wagon rood</t>
  </si>
  <si>
    <t>8715839020816</t>
  </si>
  <si>
    <t>29.16.03.00</t>
  </si>
  <si>
    <t>BERG Wagon for Clipper</t>
  </si>
  <si>
    <t>8715839025002</t>
  </si>
  <si>
    <t>29.17.81.00</t>
  </si>
  <si>
    <t>BERG Wagon GranTour</t>
  </si>
  <si>
    <t>8715839045505</t>
  </si>
  <si>
    <t>29.17.81.01</t>
  </si>
  <si>
    <t>8715839012712</t>
  </si>
  <si>
    <t>29.21.00.00</t>
  </si>
  <si>
    <t>Bagagebak</t>
  </si>
  <si>
    <t>8715839046809</t>
  </si>
  <si>
    <t>29.22.00.00</t>
  </si>
  <si>
    <t>Golfbag holder Gran Tour</t>
  </si>
  <si>
    <t>8715839012859</t>
  </si>
  <si>
    <t>29.31.00.00</t>
  </si>
  <si>
    <t>Baby seat</t>
  </si>
  <si>
    <t>8715839016789</t>
  </si>
  <si>
    <t>29.41.20.00</t>
  </si>
  <si>
    <t>Sunroof Locomotive / Clipper</t>
  </si>
  <si>
    <t>8715839025071</t>
  </si>
  <si>
    <t>29.41.21.00</t>
  </si>
  <si>
    <t>Sunroof GranTour</t>
  </si>
  <si>
    <t>8715839027112</t>
  </si>
  <si>
    <t>29.41.22.00</t>
  </si>
  <si>
    <t>Sunroof Wagon GranTour</t>
  </si>
  <si>
    <t>8715839046793</t>
  </si>
  <si>
    <t>29.41.23.00</t>
  </si>
  <si>
    <t>Sunroof Gran Tour PILOT</t>
  </si>
  <si>
    <t>8715839049145</t>
  </si>
  <si>
    <t>29.41.24.00</t>
  </si>
  <si>
    <t>Sunroof Clipper Orange</t>
  </si>
  <si>
    <t>8715839053685</t>
  </si>
  <si>
    <t>Sunroof GT 2014</t>
  </si>
  <si>
    <t>8715839027952</t>
  </si>
  <si>
    <t>29.41.31.00</t>
  </si>
  <si>
    <t>Sunroof GranTour Roompot</t>
  </si>
  <si>
    <t>8715839016796</t>
  </si>
  <si>
    <t>29.51.20.00</t>
  </si>
  <si>
    <t>Zonnedak Wagon Clipper</t>
  </si>
  <si>
    <t>8715839025330</t>
  </si>
  <si>
    <t>31.11.01.00</t>
  </si>
  <si>
    <t>BERG Fairy M1</t>
  </si>
  <si>
    <t>8715839028607</t>
  </si>
  <si>
    <t>31.11.01.01</t>
  </si>
  <si>
    <t>8715839025347</t>
  </si>
  <si>
    <t>31.11.03.00</t>
  </si>
  <si>
    <t>BERG Fairy M3</t>
  </si>
  <si>
    <t>8715839028614</t>
  </si>
  <si>
    <t>31.11.03.01</t>
  </si>
  <si>
    <t>8715839025354</t>
  </si>
  <si>
    <t>31.12.02.00</t>
  </si>
  <si>
    <t>BERG Fairy L2</t>
  </si>
  <si>
    <t>8715839028621</t>
  </si>
  <si>
    <t>31.12.02.01</t>
  </si>
  <si>
    <t>8715839025361</t>
  </si>
  <si>
    <t>31.12.03.00</t>
  </si>
  <si>
    <t>BERG Fairy L3</t>
  </si>
  <si>
    <t>8715839028638</t>
  </si>
  <si>
    <t>31.12.03.01</t>
  </si>
  <si>
    <t>8715839028645</t>
  </si>
  <si>
    <t>31.13.02.01</t>
  </si>
  <si>
    <t>BERG Fairy XL2</t>
  </si>
  <si>
    <t>8715839028652</t>
  </si>
  <si>
    <t>31.13.03.01</t>
  </si>
  <si>
    <t>BERG Fairy XL3</t>
  </si>
  <si>
    <t>8715839025392</t>
  </si>
  <si>
    <t>31.21.02.00</t>
  </si>
  <si>
    <t>BERG Castle M2</t>
  </si>
  <si>
    <t>8715839025439</t>
  </si>
  <si>
    <t>31.50.01.00</t>
  </si>
  <si>
    <t>BERG Zidzed</t>
  </si>
  <si>
    <t>8715839025705</t>
  </si>
  <si>
    <t>31.51.01.00</t>
  </si>
  <si>
    <t>Anchors set</t>
  </si>
  <si>
    <t>8715839021042</t>
  </si>
  <si>
    <t>35.06.07.01</t>
  </si>
  <si>
    <t>BERG Favorit 6 ft (180)</t>
  </si>
  <si>
    <t>8715839045765</t>
  </si>
  <si>
    <t>35.09.00.00</t>
  </si>
  <si>
    <t>ACTIE Pakket Favorit 270</t>
  </si>
  <si>
    <t>8715839047646</t>
  </si>
  <si>
    <t>35.09.01.00</t>
  </si>
  <si>
    <t>BERG Fav 270 + SN Comfort 270</t>
  </si>
  <si>
    <t>8715839052435</t>
  </si>
  <si>
    <t>8715839062342</t>
  </si>
  <si>
    <t>8715839047783</t>
  </si>
  <si>
    <t>35.09.02.00</t>
  </si>
  <si>
    <t>BERG Favorit Forte+Comfort Net</t>
  </si>
  <si>
    <t>8715839052480</t>
  </si>
  <si>
    <t>8715839052534</t>
  </si>
  <si>
    <t>BERG InGround Favorit 270 + Safety Net Deluxe 270</t>
  </si>
  <si>
    <t>8715839052572</t>
  </si>
  <si>
    <t>BERG InGround Favorit 270 + Safety Net Comfort 270</t>
  </si>
  <si>
    <t>8715839062397</t>
  </si>
  <si>
    <t>BERG InGround Favorit 270 (9 ft) + Safety Net Comfort (InGr)</t>
  </si>
  <si>
    <t>8715839020182</t>
  </si>
  <si>
    <t>35.09.07.01</t>
  </si>
  <si>
    <t>BERG Favorit 9 ft (270)</t>
  </si>
  <si>
    <t>8715839022100</t>
  </si>
  <si>
    <t>35.09.07.03</t>
  </si>
  <si>
    <t>8715839043242</t>
  </si>
  <si>
    <t>35.09.07.04</t>
  </si>
  <si>
    <t>8715839047226</t>
  </si>
  <si>
    <t>35.09.07.05</t>
  </si>
  <si>
    <t>8715839047790</t>
  </si>
  <si>
    <t>35.09.07.60</t>
  </si>
  <si>
    <t>BERG Favorit 9ft (270)14 Forte</t>
  </si>
  <si>
    <t>8715839042832</t>
  </si>
  <si>
    <t>35.09.47.00</t>
  </si>
  <si>
    <t>8715839047189</t>
  </si>
  <si>
    <t>35.09.47.01</t>
  </si>
  <si>
    <t>8715839052091</t>
  </si>
  <si>
    <t>8715839045772</t>
  </si>
  <si>
    <t>35.11.00.00</t>
  </si>
  <si>
    <t>ACTIE Pakket Favorit 330</t>
  </si>
  <si>
    <t>8715839047653</t>
  </si>
  <si>
    <t>35.11.01.00</t>
  </si>
  <si>
    <t>BERG Fav 330 + SN Comfort 330</t>
  </si>
  <si>
    <t>8715839052442</t>
  </si>
  <si>
    <t>8715839062359</t>
  </si>
  <si>
    <t>8715839052497</t>
  </si>
  <si>
    <t>8715839052541</t>
  </si>
  <si>
    <t>BERG InGround Favorit 330 + Safety Net Deluxe 330</t>
  </si>
  <si>
    <t>8715839052589</t>
  </si>
  <si>
    <t>BERG InGround Favorit 330 + Safety Net Comfort 330</t>
  </si>
  <si>
    <t>8715839062403</t>
  </si>
  <si>
    <t>8715839020199</t>
  </si>
  <si>
    <t>35.11.07.01</t>
  </si>
  <si>
    <t>BERG Favorit 11 ft (330)</t>
  </si>
  <si>
    <t>8715839022117</t>
  </si>
  <si>
    <t>35.11.07.03</t>
  </si>
  <si>
    <t>8715839043259</t>
  </si>
  <si>
    <t>35.11.07.04</t>
  </si>
  <si>
    <t>8715839047233</t>
  </si>
  <si>
    <t>35.11.07.05</t>
  </si>
  <si>
    <t>8715839062083</t>
  </si>
  <si>
    <t>35.11.13.00</t>
  </si>
  <si>
    <t>BERG Favorit Grey 330 (11 ft)</t>
  </si>
  <si>
    <t>8715839062052</t>
  </si>
  <si>
    <t>8715839042849</t>
  </si>
  <si>
    <t>35.11.47.00</t>
  </si>
  <si>
    <t>8715839047196</t>
  </si>
  <si>
    <t>35.11.47.01</t>
  </si>
  <si>
    <t>8715839052107</t>
  </si>
  <si>
    <t>8715839062113</t>
  </si>
  <si>
    <t>8715839062144</t>
  </si>
  <si>
    <t>8715839047660</t>
  </si>
  <si>
    <t>35.12.01.00</t>
  </si>
  <si>
    <t>BERG Fav 380 + SN Comfort 380</t>
  </si>
  <si>
    <t>8715839052459</t>
  </si>
  <si>
    <t>8715839062366</t>
  </si>
  <si>
    <t>8715839052503</t>
  </si>
  <si>
    <t>8715839052558</t>
  </si>
  <si>
    <t>BERG InGround Favorit 380 + Safety Net Deluxe 380</t>
  </si>
  <si>
    <t>8715839052596</t>
  </si>
  <si>
    <t>BERG InGround Favorit 380 + Safety Net Comfort 380</t>
  </si>
  <si>
    <t>8715839062496</t>
  </si>
  <si>
    <t>8715839020205</t>
  </si>
  <si>
    <t>35.12.07.01</t>
  </si>
  <si>
    <t>BERG Favorit 12.5 ft (380)</t>
  </si>
  <si>
    <t>8715839020762</t>
  </si>
  <si>
    <t>35.12.07.02</t>
  </si>
  <si>
    <t>8715839022124</t>
  </si>
  <si>
    <t>35.12.07.03</t>
  </si>
  <si>
    <t>8715839043266</t>
  </si>
  <si>
    <t>35.12.07.04</t>
  </si>
  <si>
    <t>8715839047240</t>
  </si>
  <si>
    <t>35.12.07.05</t>
  </si>
  <si>
    <t>8715839062090</t>
  </si>
  <si>
    <t>35.12.13.00</t>
  </si>
  <si>
    <t>BERG Favorit Grey 380 (12,5 ft)</t>
  </si>
  <si>
    <t>8715839062069</t>
  </si>
  <si>
    <t>8715839042856</t>
  </si>
  <si>
    <t>35.12.47.00</t>
  </si>
  <si>
    <t>8715839047202</t>
  </si>
  <si>
    <t>35.12.47.01</t>
  </si>
  <si>
    <t>8715839052114</t>
  </si>
  <si>
    <t>8715839062120</t>
  </si>
  <si>
    <t>8715839062151</t>
  </si>
  <si>
    <t>8715839045802</t>
  </si>
  <si>
    <t>35.14.01.00</t>
  </si>
  <si>
    <t>ACTIE Pakket Favorit 430 Tatt.</t>
  </si>
  <si>
    <t>8715839047677</t>
  </si>
  <si>
    <t>35.14.02.00</t>
  </si>
  <si>
    <t>BERG Fav 430 + SN Comfort 430</t>
  </si>
  <si>
    <t>8715839052466</t>
  </si>
  <si>
    <t>8715839062373</t>
  </si>
  <si>
    <t>8715839047684</t>
  </si>
  <si>
    <t>35.14.03.00</t>
  </si>
  <si>
    <t>BERG Fav Tatt + SN Comfort 430</t>
  </si>
  <si>
    <t>8715839052473</t>
  </si>
  <si>
    <t>8715839062380</t>
  </si>
  <si>
    <t>8715839052510</t>
  </si>
  <si>
    <t>8715839052527</t>
  </si>
  <si>
    <t>8715839052565</t>
  </si>
  <si>
    <t>BERG InGround Favorit 430 + Safety Net Deluxe 430</t>
  </si>
  <si>
    <t>8715839020212</t>
  </si>
  <si>
    <t>35.14.07.01</t>
  </si>
  <si>
    <t>BERG Favorit 14 ft (430)</t>
  </si>
  <si>
    <t>8715839043273</t>
  </si>
  <si>
    <t>35.14.07.03</t>
  </si>
  <si>
    <t>8715839043280</t>
  </si>
  <si>
    <t>35.14.07.04</t>
  </si>
  <si>
    <t>BERG Favorit 14 ft (430)excl.trap</t>
  </si>
  <si>
    <t>8715839047257</t>
  </si>
  <si>
    <t>35.14.07.05</t>
  </si>
  <si>
    <t>8715839020229</t>
  </si>
  <si>
    <t>35.14.08.01</t>
  </si>
  <si>
    <t>BERG Favorit 14ft (430) Tattoo</t>
  </si>
  <si>
    <t>8715839022148</t>
  </si>
  <si>
    <t>35.14.08.03</t>
  </si>
  <si>
    <t>8715839043297</t>
  </si>
  <si>
    <t>35.14.08.04</t>
  </si>
  <si>
    <t>BERG Favorit 430 Tattoo excl. Trapje</t>
  </si>
  <si>
    <t>8715839047264</t>
  </si>
  <si>
    <t>35.14.08.05</t>
  </si>
  <si>
    <t>8715839052602</t>
  </si>
  <si>
    <t>BERG InGround Favorit 430 + Safety Net Comfort 430</t>
  </si>
  <si>
    <t>8715839062410</t>
  </si>
  <si>
    <t>8715839062106</t>
  </si>
  <si>
    <t>35.14.13.00</t>
  </si>
  <si>
    <t>BERG Favorit Grey 430 (14 ft)</t>
  </si>
  <si>
    <t>8715839062076</t>
  </si>
  <si>
    <t>8715839042863</t>
  </si>
  <si>
    <t>35.14.47.00</t>
  </si>
  <si>
    <t>8715839047219</t>
  </si>
  <si>
    <t>35.14.47.01</t>
  </si>
  <si>
    <t>8715839052121</t>
  </si>
  <si>
    <t>8715839062137</t>
  </si>
  <si>
    <t>8715839062168</t>
  </si>
  <si>
    <t>8715839014921</t>
  </si>
  <si>
    <t>35.21.00.00</t>
  </si>
  <si>
    <t>BERG Favorit MIXX 330</t>
  </si>
  <si>
    <t>8715839014969</t>
  </si>
  <si>
    <t>35.22.00.00</t>
  </si>
  <si>
    <t>BERG Favorit MIXX 380</t>
  </si>
  <si>
    <t>8715839015102</t>
  </si>
  <si>
    <t>35.24.00.00</t>
  </si>
  <si>
    <t>BERG Favorit MIXX 430</t>
  </si>
  <si>
    <t>8715839047691</t>
  </si>
  <si>
    <t>35.39.01.00</t>
  </si>
  <si>
    <t>BERG Champ 270 + SN Deluxe 270</t>
  </si>
  <si>
    <t>8715839052619</t>
  </si>
  <si>
    <t>8715839062700</t>
  </si>
  <si>
    <t>8715839048049</t>
  </si>
  <si>
    <t>35.39.03.00</t>
  </si>
  <si>
    <t>BERG Champ 270 +Safety Net 270</t>
  </si>
  <si>
    <t>8715839052664</t>
  </si>
  <si>
    <t>8715839062984</t>
  </si>
  <si>
    <t>8715839052718</t>
  </si>
  <si>
    <t>8715839062809</t>
  </si>
  <si>
    <t>8715839053388</t>
  </si>
  <si>
    <t>8715839063059</t>
  </si>
  <si>
    <t>8715839015225</t>
  </si>
  <si>
    <t>35.39.17.04</t>
  </si>
  <si>
    <t>BERG Champion 9ft (270)</t>
  </si>
  <si>
    <t>8715839022155</t>
  </si>
  <si>
    <t>35.39.17.05</t>
  </si>
  <si>
    <t>8715839026726</t>
  </si>
  <si>
    <t>35.39.17.06</t>
  </si>
  <si>
    <t>8715839043303</t>
  </si>
  <si>
    <t>35.39.17.07</t>
  </si>
  <si>
    <t>8715839046960</t>
  </si>
  <si>
    <t>35.39.17.08</t>
  </si>
  <si>
    <t>BERG Champion 270</t>
  </si>
  <si>
    <t>8715839062519</t>
  </si>
  <si>
    <t>35.39.27.01</t>
  </si>
  <si>
    <t>BERG Champion 270 (9 ft)</t>
  </si>
  <si>
    <t>8715839026870</t>
  </si>
  <si>
    <t>35.39.47.00</t>
  </si>
  <si>
    <t>8715839043310</t>
  </si>
  <si>
    <t>35.39.47.01</t>
  </si>
  <si>
    <t>8715839047011</t>
  </si>
  <si>
    <t>35.39.47.02</t>
  </si>
  <si>
    <t>8715839062595</t>
  </si>
  <si>
    <t>8715839047707</t>
  </si>
  <si>
    <t>35.41.01.00</t>
  </si>
  <si>
    <t>BERG Champ 330 + SN Deluxe 330</t>
  </si>
  <si>
    <t>8715839052626</t>
  </si>
  <si>
    <t>8715839062717</t>
  </si>
  <si>
    <t>8715839048056</t>
  </si>
  <si>
    <t>35.41.03.00</t>
  </si>
  <si>
    <t>BERG Champ 330 +Safety Net 330</t>
  </si>
  <si>
    <t>8715839052671</t>
  </si>
  <si>
    <t>8715839062991</t>
  </si>
  <si>
    <t>8715839052725</t>
  </si>
  <si>
    <t>8715839062816</t>
  </si>
  <si>
    <t>8715839053395</t>
  </si>
  <si>
    <t>8715839063066</t>
  </si>
  <si>
    <t>8715839018394</t>
  </si>
  <si>
    <t>35.41.17.03</t>
  </si>
  <si>
    <t>BERG Champion 11ft (330)</t>
  </si>
  <si>
    <t>8715839015232</t>
  </si>
  <si>
    <t>35.41.17.04</t>
  </si>
  <si>
    <t>8715839022162</t>
  </si>
  <si>
    <t>35.41.17.05</t>
  </si>
  <si>
    <t>8715839043327</t>
  </si>
  <si>
    <t>35.41.17.06</t>
  </si>
  <si>
    <t>8715839043334</t>
  </si>
  <si>
    <t>35.41.17.07</t>
  </si>
  <si>
    <t>8715839046977</t>
  </si>
  <si>
    <t>35.41.17.08</t>
  </si>
  <si>
    <t>BERG Champion 330</t>
  </si>
  <si>
    <t>8715839060249</t>
  </si>
  <si>
    <t>8715839062564</t>
  </si>
  <si>
    <t>35.41.23.01</t>
  </si>
  <si>
    <t>8715839062526</t>
  </si>
  <si>
    <t>35.41.27.01</t>
  </si>
  <si>
    <t>BERG Champion 330 (11 ft)</t>
  </si>
  <si>
    <t>8715839064346</t>
  </si>
  <si>
    <t>35.41.37.00</t>
  </si>
  <si>
    <t>BERG Champion 11ft</t>
  </si>
  <si>
    <t>8715839023558</t>
  </si>
  <si>
    <t>35.41.47.00</t>
  </si>
  <si>
    <t>8715839043341</t>
  </si>
  <si>
    <t>35.41.47.01</t>
  </si>
  <si>
    <t>8715839047028</t>
  </si>
  <si>
    <t>35.41.47.02</t>
  </si>
  <si>
    <t>BERG InGround Champion Graphite 330</t>
  </si>
  <si>
    <t>8715839062632</t>
  </si>
  <si>
    <t>8715839062601</t>
  </si>
  <si>
    <t>8715839043358</t>
  </si>
  <si>
    <t>35.41.60.00</t>
  </si>
  <si>
    <t>BERG JS 330 (zonder afdekrand)</t>
  </si>
  <si>
    <t>8715839022797</t>
  </si>
  <si>
    <t>35.41.61.00</t>
  </si>
  <si>
    <t>BERG Jumping Styles 330 Zwart</t>
  </si>
  <si>
    <t>8715839022803</t>
  </si>
  <si>
    <t>35.41.62.00</t>
  </si>
  <si>
    <t>BERG Jumping Styles 330 Zilver</t>
  </si>
  <si>
    <t>8715839022810</t>
  </si>
  <si>
    <t>35.41.63.00</t>
  </si>
  <si>
    <t>BERG Jumping Styles 330 Groen</t>
  </si>
  <si>
    <t>8715839042474</t>
  </si>
  <si>
    <t>35.41.65.00</t>
  </si>
  <si>
    <t>BERG InGround JS zwart 330</t>
  </si>
  <si>
    <t>8715839042481</t>
  </si>
  <si>
    <t>35.41.66.00</t>
  </si>
  <si>
    <t>BERG InGround JS groen 330</t>
  </si>
  <si>
    <t>35.41.67.00</t>
  </si>
  <si>
    <t>BERG InGround Champion 11ft</t>
  </si>
  <si>
    <t>8715839064261</t>
  </si>
  <si>
    <t>8715839022858</t>
  </si>
  <si>
    <t>35.41.90.00</t>
  </si>
  <si>
    <t>3 stuks Beschermrand JS, 330</t>
  </si>
  <si>
    <t>BERG InGround Champion Graphite 330 + Safety Net Deluxe</t>
  </si>
  <si>
    <t>8715839062854</t>
  </si>
  <si>
    <t>BERG InGround Champion Graphite 330 + Safety Net Comfort</t>
  </si>
  <si>
    <t>8715839063097</t>
  </si>
  <si>
    <t>8715839060300</t>
  </si>
  <si>
    <t>BERG Champion Grey 330 (11ft)</t>
  </si>
  <si>
    <t>8715839062779</t>
  </si>
  <si>
    <t>8715839063028</t>
  </si>
  <si>
    <t>8715839047172</t>
  </si>
  <si>
    <t>35.42.00.00</t>
  </si>
  <si>
    <t>BERG Champion 380 Package</t>
  </si>
  <si>
    <t>8715839047714</t>
  </si>
  <si>
    <t>35.42.01.00</t>
  </si>
  <si>
    <t>BERG Champ 380 + SN Deluxe 380</t>
  </si>
  <si>
    <t>8715839052633</t>
  </si>
  <si>
    <t>8715839062724</t>
  </si>
  <si>
    <t>8715839048063</t>
  </si>
  <si>
    <t>35.42.03.00</t>
  </si>
  <si>
    <t>BERG Champ 380 +Safety Net 380</t>
  </si>
  <si>
    <t>8715839052688</t>
  </si>
  <si>
    <t>8715839063004</t>
  </si>
  <si>
    <t>8715839052732</t>
  </si>
  <si>
    <t>8715839062823</t>
  </si>
  <si>
    <t>8715839053401</t>
  </si>
  <si>
    <t>8715839063073</t>
  </si>
  <si>
    <t>8715839015249</t>
  </si>
  <si>
    <t>35.42.17.04</t>
  </si>
  <si>
    <t>BERG Champion 12.5ft (380)</t>
  </si>
  <si>
    <t>8715839022179</t>
  </si>
  <si>
    <t>35.42.17.05</t>
  </si>
  <si>
    <t>8715839043365</t>
  </si>
  <si>
    <t>35.42.17.06</t>
  </si>
  <si>
    <t>8715839043372</t>
  </si>
  <si>
    <t>35.42.17.07</t>
  </si>
  <si>
    <t>8715839046984</t>
  </si>
  <si>
    <t>35.42.17.08</t>
  </si>
  <si>
    <t>BERG Champion 380</t>
  </si>
  <si>
    <t>8715839060256</t>
  </si>
  <si>
    <t>8715839062571</t>
  </si>
  <si>
    <t>35.42.23.01</t>
  </si>
  <si>
    <t>8715839062533</t>
  </si>
  <si>
    <t>35.42.27.01</t>
  </si>
  <si>
    <t>BERG Champion 380 (12,5 ft)</t>
  </si>
  <si>
    <t>8715839023671</t>
  </si>
  <si>
    <t>35.42.47.00</t>
  </si>
  <si>
    <t>8715839043389</t>
  </si>
  <si>
    <t>35.42.47.01</t>
  </si>
  <si>
    <t>8715839047035</t>
  </si>
  <si>
    <t>35.42.47.02</t>
  </si>
  <si>
    <t>BERG InGround Champion Graphite 380</t>
  </si>
  <si>
    <t>8715839062649</t>
  </si>
  <si>
    <t>8715839062618</t>
  </si>
  <si>
    <t>BERG InGround Champion Graphite 380 + Safety Net Deluxe</t>
  </si>
  <si>
    <t>8715839062861</t>
  </si>
  <si>
    <t>BERG InGround Champion Graphite 380 + Safety Net Comfort</t>
  </si>
  <si>
    <t>8715839063103</t>
  </si>
  <si>
    <t>8715839060317</t>
  </si>
  <si>
    <t>8715839062786</t>
  </si>
  <si>
    <t>8715839063035</t>
  </si>
  <si>
    <t>8715839047721</t>
  </si>
  <si>
    <t>35.44.01.00</t>
  </si>
  <si>
    <t>BERG Champ 430 + SN Deluxe 430</t>
  </si>
  <si>
    <t>8715839052640</t>
  </si>
  <si>
    <t>8715839062755</t>
  </si>
  <si>
    <t>8715839047738</t>
  </si>
  <si>
    <t>35.44.02.00</t>
  </si>
  <si>
    <t>BERG Champ Tat + SN Deluxe 430</t>
  </si>
  <si>
    <t>8715839052657</t>
  </si>
  <si>
    <t>8715839062762</t>
  </si>
  <si>
    <t>8715839048070</t>
  </si>
  <si>
    <t>35.44.03.00</t>
  </si>
  <si>
    <t>BERG Champ 430 +Safety Net 430</t>
  </si>
  <si>
    <t>8715839048087</t>
  </si>
  <si>
    <t>35.44.04.00</t>
  </si>
  <si>
    <t>BERG Champ Tat +Safety Net 430</t>
  </si>
  <si>
    <t>8715839052695</t>
  </si>
  <si>
    <t>8715839062830</t>
  </si>
  <si>
    <t>8715839052701</t>
  </si>
  <si>
    <t>8715839063011</t>
  </si>
  <si>
    <t>8715839052749</t>
  </si>
  <si>
    <t>8715839062847</t>
  </si>
  <si>
    <t>8715839053418</t>
  </si>
  <si>
    <t>8715839063080</t>
  </si>
  <si>
    <t>8715839018417</t>
  </si>
  <si>
    <t>35.44.17.03</t>
  </si>
  <si>
    <t>BERG Champion 14ft (430)</t>
  </si>
  <si>
    <t>8715839015409</t>
  </si>
  <si>
    <t>35.44.17.04</t>
  </si>
  <si>
    <t>8715839022186</t>
  </si>
  <si>
    <t>35.44.17.05</t>
  </si>
  <si>
    <t>8715839043396</t>
  </si>
  <si>
    <t>35.44.17.06</t>
  </si>
  <si>
    <t>Champion 14ft (430) (excl. ladder)</t>
  </si>
  <si>
    <t>8715839043402</t>
  </si>
  <si>
    <t>35.44.17.07</t>
  </si>
  <si>
    <t>BERG Champion 14ft (430) excl.trap</t>
  </si>
  <si>
    <t>8715839046991</t>
  </si>
  <si>
    <t>35.44.17.08</t>
  </si>
  <si>
    <t>BERG Champion 430</t>
  </si>
  <si>
    <t>8715839015416</t>
  </si>
  <si>
    <t>35.44.18.04</t>
  </si>
  <si>
    <t>BERG Tattoo Champion 430</t>
  </si>
  <si>
    <t>8715839022193</t>
  </si>
  <si>
    <t>35.44.18.05</t>
  </si>
  <si>
    <t>BERG Champion 430 Tattoo</t>
  </si>
  <si>
    <t>8715839026764</t>
  </si>
  <si>
    <t>35.44.18.06</t>
  </si>
  <si>
    <t>8715839043419</t>
  </si>
  <si>
    <t>35.44.18.07</t>
  </si>
  <si>
    <t>Champion 430 Tattoo (excl. ladder)</t>
  </si>
  <si>
    <t>8715839047004</t>
  </si>
  <si>
    <t>35.44.18.08</t>
  </si>
  <si>
    <t>8715839060263</t>
  </si>
  <si>
    <t>8715839062588</t>
  </si>
  <si>
    <t>35.44.23.01</t>
  </si>
  <si>
    <t>8715839062540</t>
  </si>
  <si>
    <t>35.44.27.01</t>
  </si>
  <si>
    <t>8715839062557</t>
  </si>
  <si>
    <t>35.44.28.01</t>
  </si>
  <si>
    <t>BERG Champion 430 (14 ft) Tattoo</t>
  </si>
  <si>
    <t>35.44.37.00</t>
  </si>
  <si>
    <t>BERG Champion 14ft</t>
  </si>
  <si>
    <t>8715839022209</t>
  </si>
  <si>
    <t>35.44.47.00</t>
  </si>
  <si>
    <t>8715839043426</t>
  </si>
  <si>
    <t>35.44.47.01</t>
  </si>
  <si>
    <t>8715839047042</t>
  </si>
  <si>
    <t>35.44.47.02</t>
  </si>
  <si>
    <t>BERG InGround Champion Graphite 430</t>
  </si>
  <si>
    <t>8715839062656</t>
  </si>
  <si>
    <t>8715839062625</t>
  </si>
  <si>
    <t>8715839043433</t>
  </si>
  <si>
    <t>35.44.60.00</t>
  </si>
  <si>
    <t>BERG JS 430 (zonder afdekrand)</t>
  </si>
  <si>
    <t>8715839022827</t>
  </si>
  <si>
    <t>35.44.61.00</t>
  </si>
  <si>
    <t>BERG Jumping Styles 430 Zwart</t>
  </si>
  <si>
    <t>8715839022834</t>
  </si>
  <si>
    <t>35.44.62.00</t>
  </si>
  <si>
    <t>BERG Jumping Styles 430 Zilver</t>
  </si>
  <si>
    <t>8715839022841</t>
  </si>
  <si>
    <t>35.44.63.00</t>
  </si>
  <si>
    <t>BERG Jumping Styles 430 groen</t>
  </si>
  <si>
    <t>35.44.67.00</t>
  </si>
  <si>
    <t>BERG InGround Champion 14ft</t>
  </si>
  <si>
    <t>8715839022865</t>
  </si>
  <si>
    <t>35.44.90.00</t>
  </si>
  <si>
    <t>3 stuks Beschermrand JS, 430</t>
  </si>
  <si>
    <t>BERG InGround Champion Graphite 430 + Safety Net Deluxe</t>
  </si>
  <si>
    <t>8715839062878</t>
  </si>
  <si>
    <t>BERG InGround Champion Graphite 430 + Safety Net Comfort</t>
  </si>
  <si>
    <t>8715839063110</t>
  </si>
  <si>
    <t>8715839060324</t>
  </si>
  <si>
    <t>8715839062793</t>
  </si>
  <si>
    <t>8715839063042</t>
  </si>
  <si>
    <t>8715839015423</t>
  </si>
  <si>
    <t>35.45.18.04</t>
  </si>
  <si>
    <t>BERG Tattoo 460 (15ft) C</t>
  </si>
  <si>
    <t>8715839022216</t>
  </si>
  <si>
    <t>35.51.00.01</t>
  </si>
  <si>
    <t>BERG Elite 11ft (330) rood</t>
  </si>
  <si>
    <t>8715839026412</t>
  </si>
  <si>
    <t>35.51.00.02</t>
  </si>
  <si>
    <t>8715839017144</t>
  </si>
  <si>
    <t>35.51.07.00</t>
  </si>
  <si>
    <t>BERG Elite 11ft (330) groen</t>
  </si>
  <si>
    <t>8715839022520</t>
  </si>
  <si>
    <t>35.51.07.01</t>
  </si>
  <si>
    <t>8715839026429</t>
  </si>
  <si>
    <t>35.51.07.02</t>
  </si>
  <si>
    <t>8715839017151</t>
  </si>
  <si>
    <t>35.54.00.00</t>
  </si>
  <si>
    <t>BERG Elite 14ft (430) rood</t>
  </si>
  <si>
    <t>8715839022223</t>
  </si>
  <si>
    <t>35.54.00.01</t>
  </si>
  <si>
    <t>8715839026436</t>
  </si>
  <si>
    <t>35.54.00.02</t>
  </si>
  <si>
    <t>8715839017168</t>
  </si>
  <si>
    <t>35.54.07.00</t>
  </si>
  <si>
    <t>BERG Elite 14ft (430) groen</t>
  </si>
  <si>
    <t>8715839022537</t>
  </si>
  <si>
    <t>35.54.07.01</t>
  </si>
  <si>
    <t>8715839026443</t>
  </si>
  <si>
    <t>35.54.07.02</t>
  </si>
  <si>
    <t>8715839023978</t>
  </si>
  <si>
    <t>35.54.20.00</t>
  </si>
  <si>
    <t>BERG Champion 430 Special</t>
  </si>
  <si>
    <t>8715839052930</t>
  </si>
  <si>
    <t>8715839062885</t>
  </si>
  <si>
    <t>8715839058352</t>
  </si>
  <si>
    <t>8715839062939</t>
  </si>
  <si>
    <t>8715839062892</t>
  </si>
  <si>
    <t>35.62.13.01</t>
  </si>
  <si>
    <t>BERG EazyFit Regular Grey</t>
  </si>
  <si>
    <t>EazyFit Regular</t>
  </si>
  <si>
    <t>8715839062663</t>
  </si>
  <si>
    <t>35.62.16.01</t>
  </si>
  <si>
    <t>8715839015683</t>
  </si>
  <si>
    <t>35.62.17.02</t>
  </si>
  <si>
    <t>BERG EazyStore</t>
  </si>
  <si>
    <t>8715839022230</t>
  </si>
  <si>
    <t>35.62.17.05</t>
  </si>
  <si>
    <t>8715839047271</t>
  </si>
  <si>
    <t>35.62.17.06</t>
  </si>
  <si>
    <t>8715839042153</t>
  </si>
  <si>
    <t>35.62.18.00</t>
  </si>
  <si>
    <t>8715839058178</t>
  </si>
  <si>
    <t>BERG InGround EazyFit Graphite</t>
  </si>
  <si>
    <t>8715839062687</t>
  </si>
  <si>
    <t>8715839058345</t>
  </si>
  <si>
    <t>8715839062670</t>
  </si>
  <si>
    <t>8715839063158</t>
  </si>
  <si>
    <t>8715839058246</t>
  </si>
  <si>
    <t>BERG InGround EazyFit Graphite + Safety Net EazyFit</t>
  </si>
  <si>
    <t>8715839062946</t>
  </si>
  <si>
    <t>BERG InGround EazyFit Grey + Safety Net  Deluxe EazyFit</t>
  </si>
  <si>
    <t>8715839053029</t>
  </si>
  <si>
    <t>8715839062953</t>
  </si>
  <si>
    <t>8715839052923</t>
  </si>
  <si>
    <t>8715839062960</t>
  </si>
  <si>
    <t>8715839052916</t>
  </si>
  <si>
    <t>8715839062977</t>
  </si>
  <si>
    <t>8715839063127</t>
  </si>
  <si>
    <t>8715839063134</t>
  </si>
  <si>
    <t>8715839063141</t>
  </si>
  <si>
    <t>8715839053371</t>
  </si>
  <si>
    <t>Grand Champion Regular</t>
  </si>
  <si>
    <t>8715839063165</t>
  </si>
  <si>
    <t>35.63.73.00</t>
  </si>
  <si>
    <t>BERG Grand Champion Grey (Regular) (Box 2/2)</t>
  </si>
  <si>
    <t>8715839053364</t>
  </si>
  <si>
    <t>Grand Champion InGround</t>
  </si>
  <si>
    <t>8715839063172</t>
  </si>
  <si>
    <t>8715839053357</t>
  </si>
  <si>
    <t>Grand Champion Universal</t>
  </si>
  <si>
    <t>8715839062694</t>
  </si>
  <si>
    <t>35.63.90.01</t>
  </si>
  <si>
    <t>8715839020984</t>
  </si>
  <si>
    <t>35.70.02.00</t>
  </si>
  <si>
    <t>Safety net houders Champion 8x</t>
  </si>
  <si>
    <t>8715839022940</t>
  </si>
  <si>
    <t>35.71.01.00</t>
  </si>
  <si>
    <t>Safety net houders Ch/EL 8x</t>
  </si>
  <si>
    <t>8715839015119</t>
  </si>
  <si>
    <t>35.71.09.00</t>
  </si>
  <si>
    <t>Safety net 9ft (270)</t>
  </si>
  <si>
    <t>8715839043440</t>
  </si>
  <si>
    <t>35.71.09.01</t>
  </si>
  <si>
    <t>8715839043457</t>
  </si>
  <si>
    <t>35.71.09.02</t>
  </si>
  <si>
    <t>8715839046267</t>
  </si>
  <si>
    <t>35.71.09.03</t>
  </si>
  <si>
    <t>Safety net 9ft (270) ACTIE</t>
  </si>
  <si>
    <t>8715839043464</t>
  </si>
  <si>
    <t>35.71.11.01</t>
  </si>
  <si>
    <t>Safety net 11ft (330)</t>
  </si>
  <si>
    <t>8715839043471</t>
  </si>
  <si>
    <t>35.71.11.02</t>
  </si>
  <si>
    <t>8715839046274</t>
  </si>
  <si>
    <t>35.71.11.03</t>
  </si>
  <si>
    <t>Safety net 11ft (330) ACTIE</t>
  </si>
  <si>
    <t>8715839015133</t>
  </si>
  <si>
    <t>35.71.12.00</t>
  </si>
  <si>
    <t>Safety net 12,5ft (380)</t>
  </si>
  <si>
    <t>8715839043488</t>
  </si>
  <si>
    <t>35.71.12.01</t>
  </si>
  <si>
    <t>8715839043495</t>
  </si>
  <si>
    <t>35.71.12.02</t>
  </si>
  <si>
    <t>8715839046281</t>
  </si>
  <si>
    <t>35.71.12.03</t>
  </si>
  <si>
    <t>Safety net 12,5ft (380) ACTIE</t>
  </si>
  <si>
    <t>8715839014433</t>
  </si>
  <si>
    <t>35.71.13.00</t>
  </si>
  <si>
    <t>Safety net 12ft (360)</t>
  </si>
  <si>
    <t>8715839022292</t>
  </si>
  <si>
    <t>35.71.13.01</t>
  </si>
  <si>
    <t>8715839015140</t>
  </si>
  <si>
    <t>35.71.14.00</t>
  </si>
  <si>
    <t>Safety net 14ft (430)</t>
  </si>
  <si>
    <t>8715839043501</t>
  </si>
  <si>
    <t>35.71.14.01</t>
  </si>
  <si>
    <t>8715839043518</t>
  </si>
  <si>
    <t>35.71.14.02</t>
  </si>
  <si>
    <t>8715839046298</t>
  </si>
  <si>
    <t>35.71.14.03</t>
  </si>
  <si>
    <t>Safety net 14ft (430) ACTIE</t>
  </si>
  <si>
    <t>8715839046304</t>
  </si>
  <si>
    <t>35.71.14.04</t>
  </si>
  <si>
    <t>8715839015157</t>
  </si>
  <si>
    <t>35.71.15.00</t>
  </si>
  <si>
    <t>Safety net 15 ft (460)</t>
  </si>
  <si>
    <t>8715839043525</t>
  </si>
  <si>
    <t>35.72.09.00</t>
  </si>
  <si>
    <t>Safety net JS 270</t>
  </si>
  <si>
    <t>8715839022339</t>
  </si>
  <si>
    <t>35.72.11.00</t>
  </si>
  <si>
    <t>Safety net JS 330</t>
  </si>
  <si>
    <t>8715839043532</t>
  </si>
  <si>
    <t>35.72.11.01</t>
  </si>
  <si>
    <t>8715839043549</t>
  </si>
  <si>
    <t>35.72.12.00</t>
  </si>
  <si>
    <t>Safety net JS 380</t>
  </si>
  <si>
    <t>8715839022346</t>
  </si>
  <si>
    <t>35.72.14.00</t>
  </si>
  <si>
    <t>Safety net JS 430</t>
  </si>
  <si>
    <t>8715839043556</t>
  </si>
  <si>
    <t>35.72.14.01</t>
  </si>
  <si>
    <t>8715839042382</t>
  </si>
  <si>
    <t>35.72.19.00</t>
  </si>
  <si>
    <t>Safety net Deluxe 270</t>
  </si>
  <si>
    <t>8715839047608</t>
  </si>
  <si>
    <t>35.72.19.01</t>
  </si>
  <si>
    <t>Safety Net Deluxe 270</t>
  </si>
  <si>
    <t>8715839042399</t>
  </si>
  <si>
    <t>35.72.21.00</t>
  </si>
  <si>
    <t>Safety net Deluxe 330</t>
  </si>
  <si>
    <t>8715839047615</t>
  </si>
  <si>
    <t>35.72.21.01</t>
  </si>
  <si>
    <t>Safety Net Deluxe 330</t>
  </si>
  <si>
    <t>8715839042405</t>
  </si>
  <si>
    <t>35.72.22.00</t>
  </si>
  <si>
    <t>Safety net Deluxe 380</t>
  </si>
  <si>
    <t>8715839047622</t>
  </si>
  <si>
    <t>35.72.22.01</t>
  </si>
  <si>
    <t>Safety Net Deluxe 380</t>
  </si>
  <si>
    <t>8715839042412</t>
  </si>
  <si>
    <t>35.72.24.00</t>
  </si>
  <si>
    <t>Safety net Deluxe 430</t>
  </si>
  <si>
    <t>8715839047639</t>
  </si>
  <si>
    <t>35.72.24.01</t>
  </si>
  <si>
    <t>Safety Net Deluxe 430</t>
  </si>
  <si>
    <t>35.72.31.00</t>
  </si>
  <si>
    <t>BERG Safety Net Deluxe 11ft</t>
  </si>
  <si>
    <t>35.72.34.00</t>
  </si>
  <si>
    <t>BERG Safety Net Deluxe 14ft</t>
  </si>
  <si>
    <t>Safety Net Deluxe - EazyFit</t>
  </si>
  <si>
    <t>Safety Net Deluxe - Grand Champion</t>
  </si>
  <si>
    <t>8715839042498</t>
  </si>
  <si>
    <t>35.73.11.00</t>
  </si>
  <si>
    <t>Safety net T-Series 330</t>
  </si>
  <si>
    <t>8715839047516</t>
  </si>
  <si>
    <t>35.73.11.01</t>
  </si>
  <si>
    <t>Safety net T-series 11ft 14</t>
  </si>
  <si>
    <t>Safety Net T-series 330</t>
  </si>
  <si>
    <t>8715839042504</t>
  </si>
  <si>
    <t>35.73.12.00</t>
  </si>
  <si>
    <t>Safety net T-Series 380</t>
  </si>
  <si>
    <t>8715839047523</t>
  </si>
  <si>
    <t>35.73.12.01</t>
  </si>
  <si>
    <t>Safety net T-series 12.5ft 14</t>
  </si>
  <si>
    <t>Safety Net T-series 380</t>
  </si>
  <si>
    <t>8715839042870</t>
  </si>
  <si>
    <t>35.73.13.01</t>
  </si>
  <si>
    <t>P1 Safety Net T-series (tubes)</t>
  </si>
  <si>
    <t>8715839048230</t>
  </si>
  <si>
    <t>35.73.13.02</t>
  </si>
  <si>
    <t>P1 Safety Net T-series 14</t>
  </si>
  <si>
    <t>8715839042887</t>
  </si>
  <si>
    <t>35.73.13.11</t>
  </si>
  <si>
    <t>P2 Safety Net T-series 330</t>
  </si>
  <si>
    <t>8715839042894</t>
  </si>
  <si>
    <t>35.73.13.12</t>
  </si>
  <si>
    <t>P2 Safety Net T-series 380</t>
  </si>
  <si>
    <t>8715839042900</t>
  </si>
  <si>
    <t>35.73.13.14</t>
  </si>
  <si>
    <t>P2 Safety Net T-series 430</t>
  </si>
  <si>
    <t>8715839048247</t>
  </si>
  <si>
    <t>35.73.13.21</t>
  </si>
  <si>
    <t>P2 Safety Net TS 11ft 14</t>
  </si>
  <si>
    <t>8715839048254</t>
  </si>
  <si>
    <t>35.73.13.22</t>
  </si>
  <si>
    <t>P2 Safety Net TS 12.5ft 14</t>
  </si>
  <si>
    <t>8715839048261</t>
  </si>
  <si>
    <t>35.73.13.24</t>
  </si>
  <si>
    <t>P2 Safety Net TS 14ft 14</t>
  </si>
  <si>
    <t>8715839042511</t>
  </si>
  <si>
    <t>35.73.14.00</t>
  </si>
  <si>
    <t>Safety net T-Series 430</t>
  </si>
  <si>
    <t>8715839047530</t>
  </si>
  <si>
    <t>35.73.14.01</t>
  </si>
  <si>
    <t>Safety net T-series 14ft 14</t>
  </si>
  <si>
    <t>Safety Net T-series 430</t>
  </si>
  <si>
    <t>8715839047394</t>
  </si>
  <si>
    <t>35.74.09.00</t>
  </si>
  <si>
    <t>Safety Net Comfort 270</t>
  </si>
  <si>
    <t>Safety Net Comfort 270 (9ft)</t>
  </si>
  <si>
    <t>8715839062304</t>
  </si>
  <si>
    <t>35.74.09.02</t>
  </si>
  <si>
    <t>8715839047400</t>
  </si>
  <si>
    <t>35.74.11.00</t>
  </si>
  <si>
    <t>Safety Net Comfort 330</t>
  </si>
  <si>
    <t>Safety Net Comfort 330 (11ft)</t>
  </si>
  <si>
    <t>8715839062311</t>
  </si>
  <si>
    <t>35.74.11.02</t>
  </si>
  <si>
    <t>8715839047417</t>
  </si>
  <si>
    <t>35.74.12.00</t>
  </si>
  <si>
    <t>Safety Net Comfort 380/12.5ft</t>
  </si>
  <si>
    <t>Safety Net Comfort 380 (12,5ft)</t>
  </si>
  <si>
    <t>8715839062328</t>
  </si>
  <si>
    <t>35.74.12.02</t>
  </si>
  <si>
    <t>8715839047424</t>
  </si>
  <si>
    <t>35.74.14.00</t>
  </si>
  <si>
    <t>Safety Net Comfort 430/14ft</t>
  </si>
  <si>
    <t>Safety Net Comfort 430 (14ft)</t>
  </si>
  <si>
    <t>8715839062335</t>
  </si>
  <si>
    <t>35.74.14.02</t>
  </si>
  <si>
    <t>Safety Net Comfort (InGround) 270</t>
  </si>
  <si>
    <t>Safety Net Comfort (InGround) 330</t>
  </si>
  <si>
    <t>Safety Net Comfort (InGround) 380</t>
  </si>
  <si>
    <t>Safety Net Comfort (InGround) 430</t>
  </si>
  <si>
    <t>8715839058048</t>
  </si>
  <si>
    <t>8715839058055</t>
  </si>
  <si>
    <t>8715839058062</t>
  </si>
  <si>
    <t>8715839060379</t>
  </si>
  <si>
    <t>Frame Net 180 (6ft)</t>
  </si>
  <si>
    <t>8715839060386</t>
  </si>
  <si>
    <t>Frame Net 240 (8ft)</t>
  </si>
  <si>
    <t>8715839043563</t>
  </si>
  <si>
    <t>35.80.09.00</t>
  </si>
  <si>
    <t>Frame net 9 ft (270)</t>
  </si>
  <si>
    <t>8715839060331</t>
  </si>
  <si>
    <t>Frame Net 270 (9ft)</t>
  </si>
  <si>
    <t>8715839060393</t>
  </si>
  <si>
    <t>Frame Net 300 (10ft)</t>
  </si>
  <si>
    <t>8715839043570</t>
  </si>
  <si>
    <t>35.80.11.00</t>
  </si>
  <si>
    <t>Frame net 11 ft (330)</t>
  </si>
  <si>
    <t>8715839060348</t>
  </si>
  <si>
    <t>Frame Net 330 (11ft)</t>
  </si>
  <si>
    <t>8715839043587</t>
  </si>
  <si>
    <t>35.80.12.00</t>
  </si>
  <si>
    <t>Frame net 12.5 ft (380)</t>
  </si>
  <si>
    <t>8715839060355</t>
  </si>
  <si>
    <t>Frame Net 380 (12.5ft)</t>
  </si>
  <si>
    <t>8715839043594</t>
  </si>
  <si>
    <t>35.80.14.00</t>
  </si>
  <si>
    <t>Frame net 14 ft (430)</t>
  </si>
  <si>
    <t>8715839060362</t>
  </si>
  <si>
    <t>Frame Net 430 (14ft)</t>
  </si>
  <si>
    <t>8715839043600</t>
  </si>
  <si>
    <t>8715839053135</t>
  </si>
  <si>
    <t>35.90.02.00</t>
  </si>
  <si>
    <t>Nieuw trapje voor 95 cm trampoline</t>
  </si>
  <si>
    <t>8715839057362</t>
  </si>
  <si>
    <t>Universal Ladder</t>
  </si>
  <si>
    <t>35.90.14.00</t>
  </si>
  <si>
    <t>BERG Ladder USA L</t>
  </si>
  <si>
    <t>8715839060171</t>
  </si>
  <si>
    <t>8715839060188</t>
  </si>
  <si>
    <t>8715839060195</t>
  </si>
  <si>
    <t>8715839043617</t>
  </si>
  <si>
    <t>35.93.11.00</t>
  </si>
  <si>
    <t>Afdekhoes Jumping Styles 330</t>
  </si>
  <si>
    <t>8715839043624</t>
  </si>
  <si>
    <t>35.93.14.00</t>
  </si>
  <si>
    <t>Afdekhoes Jumping Styles 430</t>
  </si>
  <si>
    <t>8715839018646</t>
  </si>
  <si>
    <t>35.98.32.00</t>
  </si>
  <si>
    <t>Afdekhoes EasyStore</t>
  </si>
  <si>
    <t>8715839043631</t>
  </si>
  <si>
    <t>8715839062748</t>
  </si>
  <si>
    <t>8715839043648</t>
  </si>
  <si>
    <t>35.98.62.00</t>
  </si>
  <si>
    <t>Afdekhoes Hawaï Extra 250x330</t>
  </si>
  <si>
    <t>8715839020915</t>
  </si>
  <si>
    <t>35.99.01.00</t>
  </si>
  <si>
    <t>Safety net houders Elite (8x)</t>
  </si>
  <si>
    <t>8715839043655</t>
  </si>
  <si>
    <t>Ankerset</t>
  </si>
  <si>
    <t>8715839043662</t>
  </si>
  <si>
    <t>35.99.14.00</t>
  </si>
  <si>
    <t>Verlagingset Fav 11 12.5 14 ft</t>
  </si>
  <si>
    <t>8715839015089</t>
  </si>
  <si>
    <t>35.99.15.00</t>
  </si>
  <si>
    <t>8715839015096</t>
  </si>
  <si>
    <t>35.99.16.00</t>
  </si>
  <si>
    <t>Verlagingsset Champ. 14, 15 ft</t>
  </si>
  <si>
    <t>8715839058079</t>
  </si>
  <si>
    <t>Weather cover 180</t>
  </si>
  <si>
    <t>8715839043679</t>
  </si>
  <si>
    <t>Afdekhoes Basic 270</t>
  </si>
  <si>
    <t>8715839058086</t>
  </si>
  <si>
    <t>Weather cover 240</t>
  </si>
  <si>
    <t>8715839058093</t>
  </si>
  <si>
    <t>Weather cover 300</t>
  </si>
  <si>
    <t>8715839017922</t>
  </si>
  <si>
    <t>35.99.33.01</t>
  </si>
  <si>
    <t>Afdekhoes 330</t>
  </si>
  <si>
    <t>8715839043686</t>
  </si>
  <si>
    <t>Afdekhoes Basic 330</t>
  </si>
  <si>
    <t>8715839043693</t>
  </si>
  <si>
    <t>Afdekhoes Basic 380</t>
  </si>
  <si>
    <t>8715839043709</t>
  </si>
  <si>
    <t>Afdekhoes Basic 430</t>
  </si>
  <si>
    <t>8715839043716</t>
  </si>
  <si>
    <t>35.99.52.01</t>
  </si>
  <si>
    <t>Afdekhoes Extra 270</t>
  </si>
  <si>
    <t>8715839058383</t>
  </si>
  <si>
    <t>BERG Weather Cover Extra 270 (9 ft)</t>
  </si>
  <si>
    <t>8715839043723</t>
  </si>
  <si>
    <t>35.99.53.01</t>
  </si>
  <si>
    <t>Afdekhoes Extra 330</t>
  </si>
  <si>
    <t>8715839058390</t>
  </si>
  <si>
    <t>BERG Weather Cover Extra 330 (11 ft)</t>
  </si>
  <si>
    <t>8715839043730</t>
  </si>
  <si>
    <t>35.99.54.01</t>
  </si>
  <si>
    <t>Afdekhoes Extra 380</t>
  </si>
  <si>
    <t>8715839058406</t>
  </si>
  <si>
    <t>BERG Weather Cover Extra 380 (12,5 ft)</t>
  </si>
  <si>
    <t>8715839043747</t>
  </si>
  <si>
    <t>35.99.55.01</t>
  </si>
  <si>
    <t>Afdekhoes Extra 430</t>
  </si>
  <si>
    <t>8715839058413</t>
  </si>
  <si>
    <t>BERG Weather Cover Extra 430 (14 ft)</t>
  </si>
  <si>
    <t>8715839019872</t>
  </si>
  <si>
    <t>35.99.56.00</t>
  </si>
  <si>
    <t>Afdekhoes Extra 460</t>
  </si>
  <si>
    <t>8715839043754</t>
  </si>
  <si>
    <t>35.99.57.00</t>
  </si>
  <si>
    <t>Afdekhoes Extra 360</t>
  </si>
  <si>
    <t>8715839053128</t>
  </si>
  <si>
    <t>Afdekhoes Grand Champion</t>
  </si>
  <si>
    <t>8715839060270</t>
  </si>
  <si>
    <t>BERG Weather Cover Extra Grey 330 (14ft)</t>
  </si>
  <si>
    <t>8715839060287</t>
  </si>
  <si>
    <t>BERG Weather Cover Extra Grey 380 (11ft)</t>
  </si>
  <si>
    <t>8715839060294</t>
  </si>
  <si>
    <t>BERG Weather Cover Extra Grey 430 (14ft)</t>
  </si>
  <si>
    <t>8715839062731</t>
  </si>
  <si>
    <t>8715839018349</t>
  </si>
  <si>
    <t>35.99.82.00</t>
  </si>
  <si>
    <t>8715839018356</t>
  </si>
  <si>
    <t>35.99.83.00</t>
  </si>
  <si>
    <t>8715839018363</t>
  </si>
  <si>
    <t>35.99.84.00</t>
  </si>
  <si>
    <t>8715839018370</t>
  </si>
  <si>
    <t>35.99.85.00</t>
  </si>
  <si>
    <t>8715839020304</t>
  </si>
  <si>
    <t>35.99.86.00</t>
  </si>
  <si>
    <t>Frame net 15 ft (460)</t>
  </si>
  <si>
    <t>8715839017182</t>
  </si>
  <si>
    <t>35.99.90.00</t>
  </si>
  <si>
    <t>Reparatieset Beschermr. rood</t>
  </si>
  <si>
    <t>8715839017199</t>
  </si>
  <si>
    <t>35.99.97.00</t>
  </si>
  <si>
    <t>Reparatieset Beschermr. groen</t>
  </si>
  <si>
    <t>8715839013559</t>
  </si>
  <si>
    <t>36.30.07.01</t>
  </si>
  <si>
    <t>Elfje Super Bouncer 3.0 Medium</t>
  </si>
  <si>
    <t>8715839013566</t>
  </si>
  <si>
    <t>36.30.27.01</t>
  </si>
  <si>
    <t>Elfje Super Bouncer 3.0 Extra</t>
  </si>
  <si>
    <t>8715839013573</t>
  </si>
  <si>
    <t>36.36.07.01</t>
  </si>
  <si>
    <t>Elfje Super Bouncer 3.6 Medium</t>
  </si>
  <si>
    <t>8715839013580</t>
  </si>
  <si>
    <t>36.36.27.01</t>
  </si>
  <si>
    <t>Elfje Super Bouncer 3.6 Extra</t>
  </si>
  <si>
    <t>8715839013597</t>
  </si>
  <si>
    <t>36.43.07.01</t>
  </si>
  <si>
    <t>Elfje Super Bouncer 4.3 Medium</t>
  </si>
  <si>
    <t>8715839013603</t>
  </si>
  <si>
    <t>36.43.27.01</t>
  </si>
  <si>
    <t>Elfje Super Bouncer 4.3 Extra</t>
  </si>
  <si>
    <t>8715839013610</t>
  </si>
  <si>
    <t>36.62.27.02</t>
  </si>
  <si>
    <t>Elfje Hawai 3.3 Extra</t>
  </si>
  <si>
    <t>8715839029482</t>
  </si>
  <si>
    <t>37.09.00.00</t>
  </si>
  <si>
    <t>- Elite Beschermrand rood 270</t>
  </si>
  <si>
    <t>8715839029789</t>
  </si>
  <si>
    <t>37.09.00.01</t>
  </si>
  <si>
    <t>BERG Elite+ 2012 Reg. rood 270</t>
  </si>
  <si>
    <t>8715839029802</t>
  </si>
  <si>
    <t>37.09.00.02</t>
  </si>
  <si>
    <t>BERG Elite+2012 Reg. groen 270</t>
  </si>
  <si>
    <t>8715839029864</t>
  </si>
  <si>
    <t>37.09.00.03</t>
  </si>
  <si>
    <t>BERG Elite+ 2012 Ing. rood 270</t>
  </si>
  <si>
    <t>8715839029901</t>
  </si>
  <si>
    <t>37.09.00.04</t>
  </si>
  <si>
    <t>BERG Elite+2012 Ing. groen 270</t>
  </si>
  <si>
    <t>8715839029529</t>
  </si>
  <si>
    <t>37.09.07.00</t>
  </si>
  <si>
    <t>- Elite Beschermrand groen 270</t>
  </si>
  <si>
    <t>8715839029567</t>
  </si>
  <si>
    <t>37.09.20.00</t>
  </si>
  <si>
    <t>- Elite Toprail 270</t>
  </si>
  <si>
    <t>8715839029680</t>
  </si>
  <si>
    <t>37.09.30.00</t>
  </si>
  <si>
    <t>- Elite Springdoek &amp; veren 270</t>
  </si>
  <si>
    <t>8715839029642</t>
  </si>
  <si>
    <t>37.09.50.00</t>
  </si>
  <si>
    <t>- Elite Reg. Onderframe 270</t>
  </si>
  <si>
    <t>8715839029604</t>
  </si>
  <si>
    <t>37.09.60.00</t>
  </si>
  <si>
    <t>- Elite Ing. Onderframe 270</t>
  </si>
  <si>
    <t>8715839029475</t>
  </si>
  <si>
    <t>37.11.00.00</t>
  </si>
  <si>
    <t>- Elite Beschermrand rood 330</t>
  </si>
  <si>
    <t>8715839029741</t>
  </si>
  <si>
    <t>37.11.00.01</t>
  </si>
  <si>
    <t>BERG Elite+2012 Reg. rood 330</t>
  </si>
  <si>
    <t>8715839029765</t>
  </si>
  <si>
    <t>37.11.00.02</t>
  </si>
  <si>
    <t>BERG Elite+2012 Reg. groen 330</t>
  </si>
  <si>
    <t>8715839029871</t>
  </si>
  <si>
    <t>37.11.00.03</t>
  </si>
  <si>
    <t>BERG Elite+ 2012 Ing. rood 330</t>
  </si>
  <si>
    <t>8715839029918</t>
  </si>
  <si>
    <t>37.11.00.04</t>
  </si>
  <si>
    <t>BERG Elite+ 2012 Ing. groen 330</t>
  </si>
  <si>
    <t>8715839042528</t>
  </si>
  <si>
    <t>37.11.00.11</t>
  </si>
  <si>
    <t>Elite+ TS Reg. rood 330</t>
  </si>
  <si>
    <t>8715839042535</t>
  </si>
  <si>
    <t>37.11.00.12</t>
  </si>
  <si>
    <t>Elite+ TS Reg. groen 330</t>
  </si>
  <si>
    <t>8715839042603</t>
  </si>
  <si>
    <t>37.11.00.13</t>
  </si>
  <si>
    <t>Elite+ TS InGround. rood 330</t>
  </si>
  <si>
    <t>8715839042610</t>
  </si>
  <si>
    <t>37.11.00.14</t>
  </si>
  <si>
    <t>Elite+ TS InGround groen 330</t>
  </si>
  <si>
    <t>8715839052947</t>
  </si>
  <si>
    <t>8715839052985</t>
  </si>
  <si>
    <t>8715839053531</t>
  </si>
  <si>
    <t>8715839029512</t>
  </si>
  <si>
    <t>37.11.07.00</t>
  </si>
  <si>
    <t>- Elite Beschermrand groen 330</t>
  </si>
  <si>
    <t>8715839048179</t>
  </si>
  <si>
    <t>37.11.07.01</t>
  </si>
  <si>
    <t>BERG Elite+ Padding Gr. 330 14</t>
  </si>
  <si>
    <t>8715839053500</t>
  </si>
  <si>
    <t>8715839048186</t>
  </si>
  <si>
    <t>37.11.10.01</t>
  </si>
  <si>
    <t>BERG Elite+ Padding Red 330 14</t>
  </si>
  <si>
    <t>8715839053470</t>
  </si>
  <si>
    <t>8715839053579</t>
  </si>
  <si>
    <t>8715839029550</t>
  </si>
  <si>
    <t>37.11.20.00</t>
  </si>
  <si>
    <t>- Elite Toprail 330</t>
  </si>
  <si>
    <t>8715839042733</t>
  </si>
  <si>
    <t>37.11.21.00</t>
  </si>
  <si>
    <t>- Elite TS Toprail 330</t>
  </si>
  <si>
    <t>8715839048131</t>
  </si>
  <si>
    <t>37.11.22.00</t>
  </si>
  <si>
    <t>Elite TS Toprail 330</t>
  </si>
  <si>
    <t>8715839029673</t>
  </si>
  <si>
    <t>37.11.30.00</t>
  </si>
  <si>
    <t>- Elite Springdoek &amp; veren 330</t>
  </si>
  <si>
    <t>8715839042764</t>
  </si>
  <si>
    <t>37.11.31.00</t>
  </si>
  <si>
    <t>8715839029635</t>
  </si>
  <si>
    <t>37.11.50.00</t>
  </si>
  <si>
    <t>- Elite Reg. Onderframe 330</t>
  </si>
  <si>
    <t>8715839042740</t>
  </si>
  <si>
    <t>37.11.51.00</t>
  </si>
  <si>
    <t>8715839029598</t>
  </si>
  <si>
    <t>37.11.60.00</t>
  </si>
  <si>
    <t>- Elite Ing. Onderframe 330</t>
  </si>
  <si>
    <t>8715839042757</t>
  </si>
  <si>
    <t>37.11.61.00</t>
  </si>
  <si>
    <t>8715839052756</t>
  </si>
  <si>
    <t>8715839052831</t>
  </si>
  <si>
    <t>8715839052794</t>
  </si>
  <si>
    <t>8715839052879</t>
  </si>
  <si>
    <t>8715839029468</t>
  </si>
  <si>
    <t>37.12.00.00</t>
  </si>
  <si>
    <t>- Elite Beschermrand rood 380</t>
  </si>
  <si>
    <t>8715839029796</t>
  </si>
  <si>
    <t>37.12.00.01</t>
  </si>
  <si>
    <t>BERG Elite+ 2012 Reg. rood 380</t>
  </si>
  <si>
    <t>8715839029819</t>
  </si>
  <si>
    <t>37.12.00.02</t>
  </si>
  <si>
    <t>BERG Elite+ 2012 Reg. groen 380</t>
  </si>
  <si>
    <t>8715839029888</t>
  </si>
  <si>
    <t>37.12.00.05</t>
  </si>
  <si>
    <t>BERG Elite+ 2012 Ing. rood 380</t>
  </si>
  <si>
    <t>8715839029925</t>
  </si>
  <si>
    <t>37.12.00.06</t>
  </si>
  <si>
    <t>BERG Elite+ 2012 Ing. groen 380</t>
  </si>
  <si>
    <t>8715839042542</t>
  </si>
  <si>
    <t>37.12.00.11</t>
  </si>
  <si>
    <t>Elite+ TS Regular. rood 380</t>
  </si>
  <si>
    <t>8715839042559</t>
  </si>
  <si>
    <t>37.12.00.12</t>
  </si>
  <si>
    <t>Elite+ TS Regular groen 380</t>
  </si>
  <si>
    <t>8715839042627</t>
  </si>
  <si>
    <t>37.12.00.13</t>
  </si>
  <si>
    <t>Elite+ TS InGround rood 380</t>
  </si>
  <si>
    <t>8715839042634</t>
  </si>
  <si>
    <t>37.12.00.14</t>
  </si>
  <si>
    <t>Elite+ TS InGround groen 380</t>
  </si>
  <si>
    <t>8715839052954</t>
  </si>
  <si>
    <t>8715839052992</t>
  </si>
  <si>
    <t>8715839053548</t>
  </si>
  <si>
    <t>8715839029505</t>
  </si>
  <si>
    <t>37.12.07.00</t>
  </si>
  <si>
    <t>- Elite Beschermrand groen 380</t>
  </si>
  <si>
    <t>8715839048193</t>
  </si>
  <si>
    <t>37.12.07.01</t>
  </si>
  <si>
    <t>BERG Elite+ Padding Gr. 380 14</t>
  </si>
  <si>
    <t>8715839053517</t>
  </si>
  <si>
    <t>8715839048209</t>
  </si>
  <si>
    <t>37.12.10.01</t>
  </si>
  <si>
    <t>BERG Elite+ Padding Red 380 14</t>
  </si>
  <si>
    <t>8715839053487</t>
  </si>
  <si>
    <t>8715839053586</t>
  </si>
  <si>
    <t>8715839029543</t>
  </si>
  <si>
    <t>37.12.20.00</t>
  </si>
  <si>
    <t>- Elite Toprail 380</t>
  </si>
  <si>
    <t>8715839042771</t>
  </si>
  <si>
    <t>37.12.21.00</t>
  </si>
  <si>
    <t>- Elite TS Toprail 380</t>
  </si>
  <si>
    <t>8715839048148</t>
  </si>
  <si>
    <t>37.12.22.00</t>
  </si>
  <si>
    <t>BERG T-series toprail 380 14</t>
  </si>
  <si>
    <t>8715839029666</t>
  </si>
  <si>
    <t>37.12.30.00</t>
  </si>
  <si>
    <t>- Elite Springdoek &amp; veren 380</t>
  </si>
  <si>
    <t>8715839042801</t>
  </si>
  <si>
    <t>37.12.31.00</t>
  </si>
  <si>
    <t>8715839029628</t>
  </si>
  <si>
    <t>37.12.50.00</t>
  </si>
  <si>
    <t>- Elite Reg. Onderframe 380</t>
  </si>
  <si>
    <t>8715839042788</t>
  </si>
  <si>
    <t>37.12.51.00</t>
  </si>
  <si>
    <t>8715839029581</t>
  </si>
  <si>
    <t>37.12.60.00</t>
  </si>
  <si>
    <t>- Elite Ing. Onderframe 380</t>
  </si>
  <si>
    <t>8715839042795</t>
  </si>
  <si>
    <t>37.12.61.00</t>
  </si>
  <si>
    <t>8715839052763</t>
  </si>
  <si>
    <t>8715839052848</t>
  </si>
  <si>
    <t>8715839052800</t>
  </si>
  <si>
    <t>8715839052886</t>
  </si>
  <si>
    <t>8715839030297</t>
  </si>
  <si>
    <t>37.14.00.00</t>
  </si>
  <si>
    <t>- Elite Beschermrand rood 430</t>
  </si>
  <si>
    <t>8715839029758</t>
  </si>
  <si>
    <t>37.14.00.01</t>
  </si>
  <si>
    <t>BERG Elite+ 2012 Reg.rood 430</t>
  </si>
  <si>
    <t>8715839029772</t>
  </si>
  <si>
    <t>37.14.00.02</t>
  </si>
  <si>
    <t>BERG Elite+2012 Reg.groen 430</t>
  </si>
  <si>
    <t>8715839029833</t>
  </si>
  <si>
    <t>37.14.00.03</t>
  </si>
  <si>
    <t>Elite+2012 Reg.Tat.rood 430</t>
  </si>
  <si>
    <t>8715839029857</t>
  </si>
  <si>
    <t>37.14.00.04</t>
  </si>
  <si>
    <t>Elite+2012 Reg.Tat.groen 430</t>
  </si>
  <si>
    <t>8715839029895</t>
  </si>
  <si>
    <t>37.14.00.05</t>
  </si>
  <si>
    <t>BERG Elite+ 2012 Ing. rood 430</t>
  </si>
  <si>
    <t>8715839029932</t>
  </si>
  <si>
    <t>37.14.00.06</t>
  </si>
  <si>
    <t>BERG Elite+2012 Ing.groen 430</t>
  </si>
  <si>
    <t>8715839029956</t>
  </si>
  <si>
    <t>37.14.00.07</t>
  </si>
  <si>
    <t>Elite+2012 Ing. Tat. rood 430</t>
  </si>
  <si>
    <t>8715839029970</t>
  </si>
  <si>
    <t>37.14.00.08</t>
  </si>
  <si>
    <t>Elite+2012 Ing. Tat groen 430</t>
  </si>
  <si>
    <t>8715839042566</t>
  </si>
  <si>
    <t>37.14.00.11</t>
  </si>
  <si>
    <t>Elite+ TS Regular rood 430</t>
  </si>
  <si>
    <t>8715839042573</t>
  </si>
  <si>
    <t>37.14.00.12</t>
  </si>
  <si>
    <t>Elite+ TS Regular groen 430</t>
  </si>
  <si>
    <t>8715839042641</t>
  </si>
  <si>
    <t>37.14.00.13</t>
  </si>
  <si>
    <t>Elite+ TS InGround rood 430</t>
  </si>
  <si>
    <t>8715839042658</t>
  </si>
  <si>
    <t>37.14.00.14</t>
  </si>
  <si>
    <t>Elite+ TS InGround groen 430</t>
  </si>
  <si>
    <t>8715839042580</t>
  </si>
  <si>
    <t>37.14.00.15</t>
  </si>
  <si>
    <t>Elite+ TS Regular Tat rood 430</t>
  </si>
  <si>
    <t>8715839042597</t>
  </si>
  <si>
    <t>37.14.00.16</t>
  </si>
  <si>
    <t>Elite+TS Regular Tat groen 430</t>
  </si>
  <si>
    <t>8715839042665</t>
  </si>
  <si>
    <t>37.14.00.17</t>
  </si>
  <si>
    <t>Elite+TS InGround Tat rood 430</t>
  </si>
  <si>
    <t>8715839042672</t>
  </si>
  <si>
    <t>37.14.00.18</t>
  </si>
  <si>
    <t>Elite+TS InGround Tat groen430</t>
  </si>
  <si>
    <t>8715839052961</t>
  </si>
  <si>
    <t>8715839052978</t>
  </si>
  <si>
    <t>8715839053005</t>
  </si>
  <si>
    <t>8715839053012</t>
  </si>
  <si>
    <t>8715839053555</t>
  </si>
  <si>
    <t>8715839053562</t>
  </si>
  <si>
    <t>8715839029499</t>
  </si>
  <si>
    <t>37.14.07.00</t>
  </si>
  <si>
    <t>- Elite Beschermrand groen 430</t>
  </si>
  <si>
    <t>8715839048216</t>
  </si>
  <si>
    <t>37.14.07.01</t>
  </si>
  <si>
    <t>BERG Elite+ Padding Gr. 430 14</t>
  </si>
  <si>
    <t>8715839053524</t>
  </si>
  <si>
    <t>8715839048223</t>
  </si>
  <si>
    <t>37.14.10.01</t>
  </si>
  <si>
    <t>BERG Elite+ Padding Red 430 14</t>
  </si>
  <si>
    <t>8715839053494</t>
  </si>
  <si>
    <t>8715839053593</t>
  </si>
  <si>
    <t>8715839053609</t>
  </si>
  <si>
    <t>8715839029536</t>
  </si>
  <si>
    <t>37.14.20.00</t>
  </si>
  <si>
    <t>- Elite Toprail 430</t>
  </si>
  <si>
    <t>8715839042689</t>
  </si>
  <si>
    <t>37.14.21.00</t>
  </si>
  <si>
    <t>- Elite TS Toprail 430</t>
  </si>
  <si>
    <t>8715839048155</t>
  </si>
  <si>
    <t>37.14.22.00</t>
  </si>
  <si>
    <t>BERG T-series toprail 430 14</t>
  </si>
  <si>
    <t>8715839029659</t>
  </si>
  <si>
    <t>37.14.30.00</t>
  </si>
  <si>
    <t>- Elite Springdoek &amp; veren 430</t>
  </si>
  <si>
    <t>8715839042726</t>
  </si>
  <si>
    <t>37.14.31.00</t>
  </si>
  <si>
    <t>8715839029697</t>
  </si>
  <si>
    <t>37.14.40.00</t>
  </si>
  <si>
    <t>- Elite Tat.doek &amp; Veren 430</t>
  </si>
  <si>
    <t>8715839042719</t>
  </si>
  <si>
    <t>37.14.41.00</t>
  </si>
  <si>
    <t>8715839048162</t>
  </si>
  <si>
    <t>37.14.42.00</t>
  </si>
  <si>
    <t>BERG T-series Tat mat 430 14</t>
  </si>
  <si>
    <t>8715839029611</t>
  </si>
  <si>
    <t>37.14.50.00</t>
  </si>
  <si>
    <t>- Elite Reg. Onderframe 430</t>
  </si>
  <si>
    <t>8715839041040</t>
  </si>
  <si>
    <t>37.14.50.01</t>
  </si>
  <si>
    <t>Regular Frame 430</t>
  </si>
  <si>
    <t>8715839042696</t>
  </si>
  <si>
    <t>37.14.51.00</t>
  </si>
  <si>
    <t>8715839029574</t>
  </si>
  <si>
    <t>37.14.60.00</t>
  </si>
  <si>
    <t>- Elite Ing. Onderframe 430</t>
  </si>
  <si>
    <t>8715839041033</t>
  </si>
  <si>
    <t>37.14.60.01</t>
  </si>
  <si>
    <t>Inground Net + Feet 430</t>
  </si>
  <si>
    <t>8715839042702</t>
  </si>
  <si>
    <t>37.14.61.00</t>
  </si>
  <si>
    <t>8715839052770</t>
  </si>
  <si>
    <t>8715839052855</t>
  </si>
  <si>
    <t>8715839052817</t>
  </si>
  <si>
    <t>8715839052893</t>
  </si>
  <si>
    <t>8715839052787</t>
  </si>
  <si>
    <t>8715839052862</t>
  </si>
  <si>
    <t>8715839052824</t>
  </si>
  <si>
    <t>8715839052909</t>
  </si>
  <si>
    <t>8715839063837</t>
  </si>
  <si>
    <t>37.31.00.00</t>
  </si>
  <si>
    <t>BERG Elite Red 330 (11 ft)</t>
  </si>
  <si>
    <t>8715839063868</t>
  </si>
  <si>
    <t>37.31.03.00</t>
  </si>
  <si>
    <t>BERG Elite Grey 330 (11 ft)</t>
  </si>
  <si>
    <t>8715839063806</t>
  </si>
  <si>
    <t>37.31.07.00</t>
  </si>
  <si>
    <t>BERG Elite Green 330 (11 ft)</t>
  </si>
  <si>
    <t>8715839063844</t>
  </si>
  <si>
    <t>37.32.00.00</t>
  </si>
  <si>
    <t>BERG Elite Red 380 (12,5 ft)</t>
  </si>
  <si>
    <t>8715839063875</t>
  </si>
  <si>
    <t>37.32.03.00</t>
  </si>
  <si>
    <t>BERG Elite Grey 380 (12,5 ft)</t>
  </si>
  <si>
    <t>8715839063813</t>
  </si>
  <si>
    <t>37.32.07.00</t>
  </si>
  <si>
    <t>BERG Elite Green 380 (12,5 ft)</t>
  </si>
  <si>
    <t>8715839063851</t>
  </si>
  <si>
    <t>37.34.00.00</t>
  </si>
  <si>
    <t>BERG Elite Red 340 (14 ft)</t>
  </si>
  <si>
    <t>8715839063882</t>
  </si>
  <si>
    <t>37.34.03.00</t>
  </si>
  <si>
    <t>BERG Elite Grey 430 (14 ft)</t>
  </si>
  <si>
    <t>8715839063820</t>
  </si>
  <si>
    <t>37.34.07.00</t>
  </si>
  <si>
    <t>BERG Elite Green 430 (14 ft)</t>
  </si>
  <si>
    <t>8715839063899</t>
  </si>
  <si>
    <t>37.34.13.00</t>
  </si>
  <si>
    <t>BERG Elite Grey 430 (14 ft) Tattoo</t>
  </si>
  <si>
    <t>8715839063790</t>
  </si>
  <si>
    <t>8715839063950</t>
  </si>
  <si>
    <t>8715839063905</t>
  </si>
  <si>
    <t>8715839063936</t>
  </si>
  <si>
    <t>8715839063967</t>
  </si>
  <si>
    <t>8715839063912</t>
  </si>
  <si>
    <t>8715839063943</t>
  </si>
  <si>
    <t>8715839063974</t>
  </si>
  <si>
    <t>8715839063929</t>
  </si>
  <si>
    <t>8715839063981</t>
  </si>
  <si>
    <t>8715839064025</t>
  </si>
  <si>
    <t>8715839064056</t>
  </si>
  <si>
    <t>8715839063998</t>
  </si>
  <si>
    <t>8715839064032</t>
  </si>
  <si>
    <t>8715839064063</t>
  </si>
  <si>
    <t>8715839064001</t>
  </si>
  <si>
    <t>8715839064049</t>
  </si>
  <si>
    <t>8715839064070</t>
  </si>
  <si>
    <t>8715839064018</t>
  </si>
  <si>
    <t>8715839064087</t>
  </si>
  <si>
    <t>8715839064124</t>
  </si>
  <si>
    <t>8715839064155</t>
  </si>
  <si>
    <t>8715839064094</t>
  </si>
  <si>
    <t>8715839064131</t>
  </si>
  <si>
    <t>8715839064162</t>
  </si>
  <si>
    <t>8715839064100</t>
  </si>
  <si>
    <t>8715839064148</t>
  </si>
  <si>
    <t>8715839064179</t>
  </si>
  <si>
    <t>8715839064117</t>
  </si>
  <si>
    <t>8715839064186</t>
  </si>
  <si>
    <t>8715839062199</t>
  </si>
  <si>
    <t>38.11.03.00</t>
  </si>
  <si>
    <t>BERG FlatGround Champion Grey 330 (11 ft)</t>
  </si>
  <si>
    <t>8715839062205</t>
  </si>
  <si>
    <t>38.11.07.00</t>
  </si>
  <si>
    <t>BERG FlatGround Champion Green 330 (11 ft)</t>
  </si>
  <si>
    <t>8715839062236</t>
  </si>
  <si>
    <t>38.11.50.00</t>
  </si>
  <si>
    <t>BERG FlatGround Champion 330 (11 ft) (without padding)</t>
  </si>
  <si>
    <t>8715839062250</t>
  </si>
  <si>
    <t>38.11.63.00</t>
  </si>
  <si>
    <t>BERG FlatGround Champion Padding Grey 330 (11 ft)</t>
  </si>
  <si>
    <t>8715839062267</t>
  </si>
  <si>
    <t>38.11.67.00</t>
  </si>
  <si>
    <t>BERG FlatGround Champion Padding Green 330 (11 ft)</t>
  </si>
  <si>
    <t>8715839062212</t>
  </si>
  <si>
    <t>38.12.03.00</t>
  </si>
  <si>
    <t>BERG FlatGround Champion Grey 380 (12,5 ft)</t>
  </si>
  <si>
    <t>8715839062229</t>
  </si>
  <si>
    <t>38.12.07.00</t>
  </si>
  <si>
    <t>BERG FlatGround Champion Green 380 (12,5 ft)</t>
  </si>
  <si>
    <t>8715839062243</t>
  </si>
  <si>
    <t>38.12.50.00</t>
  </si>
  <si>
    <t>BERG FlatGround Champion 380 (12,5 ft) (without padding)</t>
  </si>
  <si>
    <t>8715839062274</t>
  </si>
  <si>
    <t>38.12.63.00</t>
  </si>
  <si>
    <t>BERG FlatGround Champion Padding Grey 380 (12,5 ft)</t>
  </si>
  <si>
    <t>8715839062281</t>
  </si>
  <si>
    <t>38.12.67.00</t>
  </si>
  <si>
    <t>BERG FlatGround Champion Padding Green 380 (12,5 ft)</t>
  </si>
  <si>
    <t>8715839060539</t>
  </si>
  <si>
    <t>8715839060522</t>
  </si>
  <si>
    <t>8715839060492</t>
  </si>
  <si>
    <t>8715839060515</t>
  </si>
  <si>
    <t>8715839060508</t>
  </si>
  <si>
    <t>8715839064360</t>
  </si>
  <si>
    <t>38.31.03.00</t>
  </si>
  <si>
    <t>BERG FlatGround Elite Grey 330 (11 ft)</t>
  </si>
  <si>
    <t>38.31.63.00</t>
  </si>
  <si>
    <t>BERG FlatGround Elite Padding Grey 330 (11 ft)</t>
  </si>
  <si>
    <t>38.32.03.00</t>
  </si>
  <si>
    <t>BERG FlatGround Elite Grey 380 (12,5 ft)</t>
  </si>
  <si>
    <t>38.32.63.00</t>
  </si>
  <si>
    <t>BERG FlatGround Elite Padding Grey 380 (12,5 ft)</t>
  </si>
  <si>
    <t>38.34.03.00</t>
  </si>
  <si>
    <t>BERG FlatGround Elite Grey 430 (14 ft)</t>
  </si>
  <si>
    <t>38.34.63.00</t>
  </si>
  <si>
    <t>BERG FlatGround Elite Padding Grey 430 (14 ft)</t>
  </si>
  <si>
    <t>8715839019322</t>
  </si>
  <si>
    <t>40.01.00.58</t>
  </si>
  <si>
    <t>Crank + Pedaalset BB</t>
  </si>
  <si>
    <t>8715839024524</t>
  </si>
  <si>
    <t>40.01.10.06</t>
  </si>
  <si>
    <t>Trapas BalanzBike</t>
  </si>
  <si>
    <t>8715839024333</t>
  </si>
  <si>
    <t>40.01.10.16</t>
  </si>
  <si>
    <t>Crankstel Triggy / Buddy</t>
  </si>
  <si>
    <t>8715839026979</t>
  </si>
  <si>
    <t>40.01.10.17</t>
  </si>
  <si>
    <t>8715839028805</t>
  </si>
  <si>
    <t>40.01.10.50</t>
  </si>
  <si>
    <t>Crank R, 140x36-T, + Pedaal</t>
  </si>
  <si>
    <t>8715839028812</t>
  </si>
  <si>
    <t>40.01.10.51</t>
  </si>
  <si>
    <t>Crank L, 140 + Pedaal</t>
  </si>
  <si>
    <t>8715839030624</t>
  </si>
  <si>
    <t>40.01.10.52</t>
  </si>
  <si>
    <t>Crank R, 110x32-T, + Pedaal</t>
  </si>
  <si>
    <t>8715839030631</t>
  </si>
  <si>
    <t>40.01.10.53</t>
  </si>
  <si>
    <t>Crank L, 110 + Pedaal</t>
  </si>
  <si>
    <t>8715839030648</t>
  </si>
  <si>
    <t>40.01.10.54</t>
  </si>
  <si>
    <t>Crank Prof Rechts, 140x36-T</t>
  </si>
  <si>
    <t>8715839030655</t>
  </si>
  <si>
    <t>40.01.10.55</t>
  </si>
  <si>
    <t>Crank Prof Links, 140</t>
  </si>
  <si>
    <t>8715839025156</t>
  </si>
  <si>
    <t>40.01.10.59</t>
  </si>
  <si>
    <t>Crank Prof Rechts, 140x28-T</t>
  </si>
  <si>
    <t>8715839028829</t>
  </si>
  <si>
    <t>40.01.10.60</t>
  </si>
  <si>
    <t>Crank + Pedaal Rechts (28t)</t>
  </si>
  <si>
    <t>8715839028836</t>
  </si>
  <si>
    <t>40.01.12.05</t>
  </si>
  <si>
    <t>Set pedalen groot</t>
  </si>
  <si>
    <t>8715839044775</t>
  </si>
  <si>
    <t>40.01.12.10</t>
  </si>
  <si>
    <t>Set pedalen klein</t>
  </si>
  <si>
    <t>8715839012873</t>
  </si>
  <si>
    <t>40.01.12.20</t>
  </si>
  <si>
    <t>Set pedalen Prof.</t>
  </si>
  <si>
    <t>8715839046328</t>
  </si>
  <si>
    <t>40.01.25.08</t>
  </si>
  <si>
    <t>Kogellager 6004 2RS (ku. velg)</t>
  </si>
  <si>
    <t>8715839047073</t>
  </si>
  <si>
    <t>40.01.25.11</t>
  </si>
  <si>
    <t>Kogellager 6004 2RS Ulti-230gr</t>
  </si>
  <si>
    <t>8715839030662</t>
  </si>
  <si>
    <t>40.01.25.22</t>
  </si>
  <si>
    <t>Kogellager</t>
  </si>
  <si>
    <t>8715839030679</t>
  </si>
  <si>
    <t>40.01.31.08</t>
  </si>
  <si>
    <t>Ketting 108 + sluiting</t>
  </si>
  <si>
    <t>8715839030686</t>
  </si>
  <si>
    <t>40.01.31.22</t>
  </si>
  <si>
    <t>Ketting 122 + Sluiting</t>
  </si>
  <si>
    <t>8715839046007</t>
  </si>
  <si>
    <t>40.01.31.38</t>
  </si>
  <si>
    <t>Ketting 138 schakels</t>
  </si>
  <si>
    <t>8715839030693</t>
  </si>
  <si>
    <t>40.01.31.40</t>
  </si>
  <si>
    <t>Ketting 140 schakels dik</t>
  </si>
  <si>
    <t>8715839030709</t>
  </si>
  <si>
    <t>40.01.31.42</t>
  </si>
  <si>
    <t>Ketting 142 schakels dik</t>
  </si>
  <si>
    <t>8715839030716</t>
  </si>
  <si>
    <t>40.01.32.01</t>
  </si>
  <si>
    <t>Sluitschakel</t>
  </si>
  <si>
    <t>8715839024241</t>
  </si>
  <si>
    <t>40.01.32.02</t>
  </si>
  <si>
    <t>Ketting 38 schakels + Sluiting</t>
  </si>
  <si>
    <t>8715839024340</t>
  </si>
  <si>
    <t>40.01.32.03</t>
  </si>
  <si>
    <t>Ketting 36 schakels + Sluiting</t>
  </si>
  <si>
    <t>8715839028843</t>
  </si>
  <si>
    <t>40.01.32.05</t>
  </si>
  <si>
    <t>Ketting 42 + sluiting</t>
  </si>
  <si>
    <t>8715839030723</t>
  </si>
  <si>
    <t>40.01.32.06</t>
  </si>
  <si>
    <t>Ketting 68 schakels dun incl.</t>
  </si>
  <si>
    <t>8715839024531</t>
  </si>
  <si>
    <t>40.01.32.07</t>
  </si>
  <si>
    <t>Ketting 60 schakels + sluiting</t>
  </si>
  <si>
    <t>8715839024630</t>
  </si>
  <si>
    <t>40.01.32.08</t>
  </si>
  <si>
    <t>Ketting 84 schakels + Sluiting</t>
  </si>
  <si>
    <t>8715839024258</t>
  </si>
  <si>
    <t>40.01.32.09</t>
  </si>
  <si>
    <t>Ketting 98 schakels + Sluiting</t>
  </si>
  <si>
    <t>8715839030730</t>
  </si>
  <si>
    <t>40.01.32.26</t>
  </si>
  <si>
    <t>Ketting 126 schakels +Sluiting</t>
  </si>
  <si>
    <t>8715839030747</t>
  </si>
  <si>
    <t>40.01.32.28</t>
  </si>
  <si>
    <t>Ketting 128 s dun incl sluitsc</t>
  </si>
  <si>
    <t>8715839028850</t>
  </si>
  <si>
    <t>40.01.32.32</t>
  </si>
  <si>
    <t>Ketting 132 schakels</t>
  </si>
  <si>
    <t>8715839030754</t>
  </si>
  <si>
    <t>40.01.32.36</t>
  </si>
  <si>
    <t>Ketting 136 s dun incl sluitsc</t>
  </si>
  <si>
    <t>8715839018004</t>
  </si>
  <si>
    <t>40.01.32.40</t>
  </si>
  <si>
    <t>Ketting 140 schakels +Sluiting</t>
  </si>
  <si>
    <t>8715839028867</t>
  </si>
  <si>
    <t>40.01.32.44</t>
  </si>
  <si>
    <t>Ketting 144 s dun incl sluitsc</t>
  </si>
  <si>
    <t>8715839030761</t>
  </si>
  <si>
    <t>40.01.32.82</t>
  </si>
  <si>
    <t>Ketting 82 schakels + Sluiting</t>
  </si>
  <si>
    <t>8715839030778</t>
  </si>
  <si>
    <t>40.01.33.08</t>
  </si>
  <si>
    <t>8715839049763</t>
  </si>
  <si>
    <t>40.01.34.06</t>
  </si>
  <si>
    <t>Freewheel 23 tands</t>
  </si>
  <si>
    <t>8715839047509</t>
  </si>
  <si>
    <t>40.01.35.28</t>
  </si>
  <si>
    <t>Z510X No Drop LongLife 128L+CL</t>
  </si>
  <si>
    <t>8715839047806</t>
  </si>
  <si>
    <t>40.01.36.26</t>
  </si>
  <si>
    <t>Ketting Longlife 126 schakels</t>
  </si>
  <si>
    <t>8715839047813</t>
  </si>
  <si>
    <t>40.01.36.28</t>
  </si>
  <si>
    <t>Ketting Longlife 128 schakels</t>
  </si>
  <si>
    <t>8715839047820</t>
  </si>
  <si>
    <t>40.01.36.32</t>
  </si>
  <si>
    <t>Ketting Longlife 132 schakels</t>
  </si>
  <si>
    <t>8715839014181</t>
  </si>
  <si>
    <t>40.02.03.00</t>
  </si>
  <si>
    <t>BF-3 Naaf</t>
  </si>
  <si>
    <t>8715839013375</t>
  </si>
  <si>
    <t>40.02.04.00</t>
  </si>
  <si>
    <t>BF naaf</t>
  </si>
  <si>
    <t>8715839016338</t>
  </si>
  <si>
    <t>40.02.04.01</t>
  </si>
  <si>
    <t>BF-1 naaf</t>
  </si>
  <si>
    <t>8715839012163</t>
  </si>
  <si>
    <t>40.02.07.00</t>
  </si>
  <si>
    <t>BF-7 naaf</t>
  </si>
  <si>
    <t>8715839018981</t>
  </si>
  <si>
    <t>40.02.13.00</t>
  </si>
  <si>
    <t>Revisie BF-3 naaf</t>
  </si>
  <si>
    <t>8715839019001</t>
  </si>
  <si>
    <t>40.02.17.00</t>
  </si>
  <si>
    <t>Revisie BF-7 naaf</t>
  </si>
  <si>
    <t>8715839050295</t>
  </si>
  <si>
    <t>40.03.00.08</t>
  </si>
  <si>
    <t>Naaf BF-3 I-motion + Gripshift</t>
  </si>
  <si>
    <t>8715839056846</t>
  </si>
  <si>
    <t>40.03.00.12</t>
  </si>
  <si>
    <t>Sturmey Archer QS- RC3 hub incl. brake anchor Wekerom model</t>
  </si>
  <si>
    <t>8715839030785</t>
  </si>
  <si>
    <t>40.10.11.16</t>
  </si>
  <si>
    <t>Remkabel Freestyler</t>
  </si>
  <si>
    <t>8715839030792</t>
  </si>
  <si>
    <t>40.10.12.02</t>
  </si>
  <si>
    <t>Remgreep</t>
  </si>
  <si>
    <t>8715839030808</t>
  </si>
  <si>
    <t>40.10.20.20</t>
  </si>
  <si>
    <t>Brake disk, freewheel w. brake</t>
  </si>
  <si>
    <t>8715839028874</t>
  </si>
  <si>
    <t>42.01.01.00</t>
  </si>
  <si>
    <t>Wiel Rood 300x4 naald</t>
  </si>
  <si>
    <t>8715839045130</t>
  </si>
  <si>
    <t>42.01.01.04</t>
  </si>
  <si>
    <t>PU Tire ro 300x4 2p KL</t>
  </si>
  <si>
    <t>8715839030815</t>
  </si>
  <si>
    <t>42.01.01.20</t>
  </si>
  <si>
    <t>Wiel geel 300x4 2p NL</t>
  </si>
  <si>
    <t>8715839028881</t>
  </si>
  <si>
    <t>42.01.01.22</t>
  </si>
  <si>
    <t>Wiel geel 300x4 kog. uni</t>
  </si>
  <si>
    <t>8715839012682</t>
  </si>
  <si>
    <t>42.01.04.20</t>
  </si>
  <si>
    <t>Wiel geel 300x4 6p KL</t>
  </si>
  <si>
    <t>8715839030822</t>
  </si>
  <si>
    <t>42.01.11.38</t>
  </si>
  <si>
    <t>K.velg ge250x4slKLLinks</t>
  </si>
  <si>
    <t>8715839030839</t>
  </si>
  <si>
    <t>42.01.11.39</t>
  </si>
  <si>
    <t>K.velg geel 250x4 Rechts</t>
  </si>
  <si>
    <t>8715839030846</t>
  </si>
  <si>
    <t>42.02.01.10</t>
  </si>
  <si>
    <t>Wiel grijs  400x4 naaldlager</t>
  </si>
  <si>
    <t>8715839030853</t>
  </si>
  <si>
    <t>42.02.01.22</t>
  </si>
  <si>
    <t>Wiel geel 400x4 kog. uni</t>
  </si>
  <si>
    <t>8715839030860</t>
  </si>
  <si>
    <t>42.02.02.00</t>
  </si>
  <si>
    <t>Wiel rood 400x4 kog. uni.</t>
  </si>
  <si>
    <t>8715839030877</t>
  </si>
  <si>
    <t>42.02.11.25</t>
  </si>
  <si>
    <t>Wiel rood slick 300/105-4 L</t>
  </si>
  <si>
    <t>8715839030884</t>
  </si>
  <si>
    <t>42.02.11.26</t>
  </si>
  <si>
    <t>Wiel rood slick 300/105-4 R</t>
  </si>
  <si>
    <t>8715839030891</t>
  </si>
  <si>
    <t>42.02.11.38</t>
  </si>
  <si>
    <t>Kvelg ge Slick 300/105-4 L</t>
  </si>
  <si>
    <t>8715839030907</t>
  </si>
  <si>
    <t>42.02.11.39</t>
  </si>
  <si>
    <t>Kvelg ge Slick 300/105-4 R</t>
  </si>
  <si>
    <t>8715839030914</t>
  </si>
  <si>
    <t>42.03.00.00</t>
  </si>
  <si>
    <t>Wieldop kunststof velg</t>
  </si>
  <si>
    <t>8715839030921</t>
  </si>
  <si>
    <t>42.03.03.32</t>
  </si>
  <si>
    <t>Wiel 400x8, Geel, SY Radial</t>
  </si>
  <si>
    <t>8715839030938</t>
  </si>
  <si>
    <t>42.03.03.72</t>
  </si>
  <si>
    <t>Wiel 400x8, Oranje, SY Radial</t>
  </si>
  <si>
    <t>8715839030945</t>
  </si>
  <si>
    <t>42.03.04.18</t>
  </si>
  <si>
    <t>K.velg golf zw 400x8</t>
  </si>
  <si>
    <t>8715839042016</t>
  </si>
  <si>
    <t>42.03.04.20</t>
  </si>
  <si>
    <t>K.velg 5sp zw 400x8 blok</t>
  </si>
  <si>
    <t>8715839023886</t>
  </si>
  <si>
    <t>42.03.04.28</t>
  </si>
  <si>
    <t>Wiel golf rood 400x8 uni.</t>
  </si>
  <si>
    <t>8715839030952</t>
  </si>
  <si>
    <t>42.03.04.58</t>
  </si>
  <si>
    <t>Wiel golf grijs 400x8 uni.</t>
  </si>
  <si>
    <t>8715839064254</t>
  </si>
  <si>
    <t>42.03.04.59</t>
  </si>
  <si>
    <t>Wavy rim; RAL7001 Grey; Classic tire 400x8; DT</t>
  </si>
  <si>
    <t>8715839028898</t>
  </si>
  <si>
    <t>42.03.11.12</t>
  </si>
  <si>
    <t>Sportvelg 400x8 grijs uni.</t>
  </si>
  <si>
    <t>8715839030969</t>
  </si>
  <si>
    <t>42.03.11.13</t>
  </si>
  <si>
    <t>8715839030976</t>
  </si>
  <si>
    <t>42.03.13.22</t>
  </si>
  <si>
    <t>Wiel golf rood 400x8 gaffel</t>
  </si>
  <si>
    <t>8715839030983</t>
  </si>
  <si>
    <t>42.03.13.45</t>
  </si>
  <si>
    <t>Wiel golf geel 400x8 uni.</t>
  </si>
  <si>
    <t>8715839030990</t>
  </si>
  <si>
    <t>42.03.13.55</t>
  </si>
  <si>
    <t>Wiel golf grijs 400x8 Blok</t>
  </si>
  <si>
    <t>8715839031003</t>
  </si>
  <si>
    <t>42.03.13.62</t>
  </si>
  <si>
    <t>Wiel 400x8 Wit, SY Radial</t>
  </si>
  <si>
    <t>8715839028904</t>
  </si>
  <si>
    <t>42.03.13.65</t>
  </si>
  <si>
    <t>Wiel golf wit 400x8 uni.</t>
  </si>
  <si>
    <t>8715839031010</t>
  </si>
  <si>
    <t>42.03.14.55</t>
  </si>
  <si>
    <t>Sportvelg 400x8 grijs uni</t>
  </si>
  <si>
    <t>8715839031027</t>
  </si>
  <si>
    <t>42.04.05.80</t>
  </si>
  <si>
    <t>Stalen wiel 400x8K D601, grijs</t>
  </si>
  <si>
    <t>8715839031034</t>
  </si>
  <si>
    <t>42.04.05.81</t>
  </si>
  <si>
    <t>Stalen wiel 400x8A D601, grijs</t>
  </si>
  <si>
    <t>8715839028911</t>
  </si>
  <si>
    <t>42.05.03.15</t>
  </si>
  <si>
    <t>Wiel 400x6 zwart</t>
  </si>
  <si>
    <t>8715839028928</t>
  </si>
  <si>
    <t>42.05.03.65</t>
  </si>
  <si>
    <t>Wiel 400x6 wit</t>
  </si>
  <si>
    <t>8715839030389</t>
  </si>
  <si>
    <t>42.05.15.00</t>
  </si>
  <si>
    <t>Velg en band F150 AA</t>
  </si>
  <si>
    <t>8715839030396</t>
  </si>
  <si>
    <t>42.05.15.01</t>
  </si>
  <si>
    <t>Velg en band F150 (L+R)</t>
  </si>
  <si>
    <t>8715839045161</t>
  </si>
  <si>
    <t>42.05.15.04</t>
  </si>
  <si>
    <t>Buddy Ferrari reserve wiel</t>
  </si>
  <si>
    <t>8715839045369</t>
  </si>
  <si>
    <t>42.05.15.05</t>
  </si>
  <si>
    <t>Sparepart wiel Buddy Hot Rod</t>
  </si>
  <si>
    <t>8715839024647</t>
  </si>
  <si>
    <t>42.05.15.56</t>
  </si>
  <si>
    <t>Wiel F1 Slick 310-R grijs</t>
  </si>
  <si>
    <t>8715839024357</t>
  </si>
  <si>
    <t>42.05.15.59</t>
  </si>
  <si>
    <t>Wiel F1 Slick 310-L grijs</t>
  </si>
  <si>
    <t>8715839031041</t>
  </si>
  <si>
    <t>42.06.13.05</t>
  </si>
  <si>
    <t>K.velg golf rood 650x8</t>
  </si>
  <si>
    <t>8715839031058</t>
  </si>
  <si>
    <t>42.06.15.03</t>
  </si>
  <si>
    <t>K.velg 5S ge 650x8</t>
  </si>
  <si>
    <t>8715839031065</t>
  </si>
  <si>
    <t>42.06.15.05</t>
  </si>
  <si>
    <t>Sportvelg 650x8 grijs</t>
  </si>
  <si>
    <t>8715839030211</t>
  </si>
  <si>
    <t>42.10.00.01</t>
  </si>
  <si>
    <t>Wiel 400x8 zwart, Radial</t>
  </si>
  <si>
    <t>8715839031072</t>
  </si>
  <si>
    <t>42.10.11.35</t>
  </si>
  <si>
    <t>Sportvelg 400x8 Slick geel L.</t>
  </si>
  <si>
    <t>8715839031089</t>
  </si>
  <si>
    <t>42.10.11.36</t>
  </si>
  <si>
    <t>Sportvelg 400x8 Slick geel R.</t>
  </si>
  <si>
    <t>8715839031096</t>
  </si>
  <si>
    <t>42.10.11.45</t>
  </si>
  <si>
    <t>Sportvelg 400x8 Slick grijs L.</t>
  </si>
  <si>
    <t>8715839031102</t>
  </si>
  <si>
    <t>42.10.11.46</t>
  </si>
  <si>
    <t>Sportvelg 400x8 Slick grijs R.</t>
  </si>
  <si>
    <t>8715839031119</t>
  </si>
  <si>
    <t>42.10.11.65</t>
  </si>
  <si>
    <t>Sportvelg 400x8 Slick wit L</t>
  </si>
  <si>
    <t>8715839031126</t>
  </si>
  <si>
    <t>42.10.11.66</t>
  </si>
  <si>
    <t>Sportvelg 400x8 Slick wit R.</t>
  </si>
  <si>
    <t>8715839031133</t>
  </si>
  <si>
    <t>42.10.11.75</t>
  </si>
  <si>
    <t>Sportvelg 400x8 Slick oranje L</t>
  </si>
  <si>
    <t>8715839031140</t>
  </si>
  <si>
    <t>42.10.11.76</t>
  </si>
  <si>
    <t>Sportvelg 400x8 Slick Oranje R</t>
  </si>
  <si>
    <t>8715839061642</t>
  </si>
  <si>
    <t>42.10.11.77</t>
  </si>
  <si>
    <t>5Spoke rim;RAL2000 Orange; Tire Slick 400/140x8; Left</t>
  </si>
  <si>
    <t>8715839064247</t>
  </si>
  <si>
    <t>42.10.11.78</t>
  </si>
  <si>
    <t>5Spoke rim;RAL2000 Orange; Tire Slick 400/140x8; DT; Right</t>
  </si>
  <si>
    <t>8715839031157</t>
  </si>
  <si>
    <t>42.10.11.95</t>
  </si>
  <si>
    <t>Sportvelg 400x8 Slick chroom L</t>
  </si>
  <si>
    <t>8715839031164</t>
  </si>
  <si>
    <t>42.10.11.96</t>
  </si>
  <si>
    <t>Sportvelg 400x8 Slick chroom R</t>
  </si>
  <si>
    <t>8715839031171</t>
  </si>
  <si>
    <t>42.10.13.25</t>
  </si>
  <si>
    <t>K.velg golf ro Slick 400L</t>
  </si>
  <si>
    <t>8715839031188</t>
  </si>
  <si>
    <t>42.10.13.26</t>
  </si>
  <si>
    <t>K.velg golf ro Slick 400R</t>
  </si>
  <si>
    <t>8715839031195</t>
  </si>
  <si>
    <t>42.10.13.65</t>
  </si>
  <si>
    <t>Wiel 400x8 wit, Slick Links</t>
  </si>
  <si>
    <t>8715839031201</t>
  </si>
  <si>
    <t>42.10.13.66</t>
  </si>
  <si>
    <t>Wiel 400x8 wit, Slick Rechts</t>
  </si>
  <si>
    <t>8715839031218</t>
  </si>
  <si>
    <t>42.10.13.92</t>
  </si>
  <si>
    <t>Wiel golf gaffel slick chroom</t>
  </si>
  <si>
    <t>8715839046953</t>
  </si>
  <si>
    <t>42.10.15.01</t>
  </si>
  <si>
    <t>Vijf spaaks velg met 460 band</t>
  </si>
  <si>
    <t>8715839031225</t>
  </si>
  <si>
    <t>42.11.11.35</t>
  </si>
  <si>
    <t>Sportvelg 350x8 slick geel L.</t>
  </si>
  <si>
    <t>8715839031232</t>
  </si>
  <si>
    <t>42.11.11.36</t>
  </si>
  <si>
    <t>Sportvelg 350x8 slick geel R.</t>
  </si>
  <si>
    <t>8715839031249</t>
  </si>
  <si>
    <t>42.11.11.45</t>
  </si>
  <si>
    <t>K.velg gr350/100x8 Sport Links</t>
  </si>
  <si>
    <t>8715839031256</t>
  </si>
  <si>
    <t>42.11.11.46</t>
  </si>
  <si>
    <t>Wiel gr 350/100x8 Sport Rechts</t>
  </si>
  <si>
    <t>8715839031263</t>
  </si>
  <si>
    <t>42.11.11.75</t>
  </si>
  <si>
    <t>Sportvelg 350x8 slick zilver L</t>
  </si>
  <si>
    <t>8715839031270</t>
  </si>
  <si>
    <t>42.11.11.76</t>
  </si>
  <si>
    <t>Sportvelg 350x8 slick zilver R</t>
  </si>
  <si>
    <t>8715839031287</t>
  </si>
  <si>
    <t>42.11.21.45</t>
  </si>
  <si>
    <t>K.velg grijs 350/100x8 Links</t>
  </si>
  <si>
    <t>8715839031294</t>
  </si>
  <si>
    <t>42.11.21.46</t>
  </si>
  <si>
    <t>K.velg grijs 350/100x8 Rechts</t>
  </si>
  <si>
    <t>8715839031300</t>
  </si>
  <si>
    <t>42.11.21.65</t>
  </si>
  <si>
    <t>Wiel 350x8 wit, Slick Links</t>
  </si>
  <si>
    <t>8715839031317</t>
  </si>
  <si>
    <t>42.11.21.66</t>
  </si>
  <si>
    <t>Wiel 350x8 wit, Slick Rechts</t>
  </si>
  <si>
    <t>8715839031324</t>
  </si>
  <si>
    <t>42.12.11.25</t>
  </si>
  <si>
    <t>Wiel Traxx rood 400 Links</t>
  </si>
  <si>
    <t>8715839031331</t>
  </si>
  <si>
    <t>42.12.11.26</t>
  </si>
  <si>
    <t>Wiel Traxx rood 400 Rechts</t>
  </si>
  <si>
    <t>8715839031348</t>
  </si>
  <si>
    <t>42.12.11.35</t>
  </si>
  <si>
    <t>Wiel Traxx geel 400 Links</t>
  </si>
  <si>
    <t>8715839031355</t>
  </si>
  <si>
    <t>42.12.11.36</t>
  </si>
  <si>
    <t>Wiel Traxx geel 400 Rechts</t>
  </si>
  <si>
    <t>8715839031362</t>
  </si>
  <si>
    <t>42.12.11.45</t>
  </si>
  <si>
    <t>Wiel Traxx grijs 400 Links</t>
  </si>
  <si>
    <t>8715839031379</t>
  </si>
  <si>
    <t>42.12.11.46</t>
  </si>
  <si>
    <t>Wiel Traxx grijs 400 Rechts</t>
  </si>
  <si>
    <t>8715839031386</t>
  </si>
  <si>
    <t>42.12.11.55</t>
  </si>
  <si>
    <t>Wiel Traxx wit 400 Links</t>
  </si>
  <si>
    <t>8715839031393</t>
  </si>
  <si>
    <t>42.12.11.56</t>
  </si>
  <si>
    <t>Wiel Traxx wit 400 Rechts</t>
  </si>
  <si>
    <t>8715839031409</t>
  </si>
  <si>
    <t>42.13.11.25</t>
  </si>
  <si>
    <t>Wiel Traxx rood 460 Links</t>
  </si>
  <si>
    <t>8715839031416</t>
  </si>
  <si>
    <t>42.13.11.26</t>
  </si>
  <si>
    <t>Wiel Traxx rood 460 Rechts</t>
  </si>
  <si>
    <t>8715839031423</t>
  </si>
  <si>
    <t>42.13.11.35</t>
  </si>
  <si>
    <t>Wiel Traxx geel 460 Links</t>
  </si>
  <si>
    <t>8715839031430</t>
  </si>
  <si>
    <t>42.13.11.36</t>
  </si>
  <si>
    <t>Wiel Traxx geel 460 Rechts</t>
  </si>
  <si>
    <t>8715839031447</t>
  </si>
  <si>
    <t>42.13.11.45</t>
  </si>
  <si>
    <t>Wiel Traxx grijs 460 Links</t>
  </si>
  <si>
    <t>8715839031454</t>
  </si>
  <si>
    <t>42.13.11.46</t>
  </si>
  <si>
    <t>Wiel Traxx grijs 460 Rechts</t>
  </si>
  <si>
    <t>8715839031461</t>
  </si>
  <si>
    <t>42.13.11.55</t>
  </si>
  <si>
    <t>Wiel Traxx wit 460 Links</t>
  </si>
  <si>
    <t>8715839031478</t>
  </si>
  <si>
    <t>42.13.11.56</t>
  </si>
  <si>
    <t>Wiel Traxx wit 460 Rechts</t>
  </si>
  <si>
    <t>8715839031485</t>
  </si>
  <si>
    <t>42.14.11.35</t>
  </si>
  <si>
    <t>Sportwiel 400x8, Geel, Radial</t>
  </si>
  <si>
    <t>8715839031492</t>
  </si>
  <si>
    <t>42.14.11.55</t>
  </si>
  <si>
    <t>Wiel terrein 400/140x8, grijs</t>
  </si>
  <si>
    <t>8715839031508</t>
  </si>
  <si>
    <t>42.14.13.15</t>
  </si>
  <si>
    <t>Wiel terrein 400/140x8, Zwart</t>
  </si>
  <si>
    <t>8715839031515</t>
  </si>
  <si>
    <t>42.14.13.25</t>
  </si>
  <si>
    <t>Wiel terrein 400/140x8, Rood</t>
  </si>
  <si>
    <t>8715839031522</t>
  </si>
  <si>
    <t>42.14.13.35</t>
  </si>
  <si>
    <t>Wiel terrein 400/140x8, geel</t>
  </si>
  <si>
    <t>8715839031539</t>
  </si>
  <si>
    <t>42.14.13.45</t>
  </si>
  <si>
    <t>Wiel terrein 400/140x8, Oker</t>
  </si>
  <si>
    <t>8715839031546</t>
  </si>
  <si>
    <t>42.14.14.55</t>
  </si>
  <si>
    <t>8715839031553</t>
  </si>
  <si>
    <t>42.15.13.15</t>
  </si>
  <si>
    <t>Wiel terrein 460/650x8, zwart</t>
  </si>
  <si>
    <t>8715839031560</t>
  </si>
  <si>
    <t>42.16.10.85</t>
  </si>
  <si>
    <t>Sportvelg Zilver, 430L Slick</t>
  </si>
  <si>
    <t>8715839031577</t>
  </si>
  <si>
    <t>42.16.10.86</t>
  </si>
  <si>
    <t>Sportvelg Zilver, 430R Slick</t>
  </si>
  <si>
    <t>8715839059465</t>
  </si>
  <si>
    <t>42.17.03.15</t>
  </si>
  <si>
    <t>K.velg golf Black 400x6 Rad.</t>
  </si>
  <si>
    <t>8715839031584</t>
  </si>
  <si>
    <t>42.20.00.80</t>
  </si>
  <si>
    <t>Ventielverlenger</t>
  </si>
  <si>
    <t>8715839028706</t>
  </si>
  <si>
    <t>42.20.00.81</t>
  </si>
  <si>
    <t>Ventielverlenger flexibel</t>
  </si>
  <si>
    <t>8715839019094</t>
  </si>
  <si>
    <t>42.20.00.96</t>
  </si>
  <si>
    <t>Verloopnippel fiets -&gt; auto</t>
  </si>
  <si>
    <t>8715839028935</t>
  </si>
  <si>
    <t>42.20.01.00</t>
  </si>
  <si>
    <t>Buitenband 300x4</t>
  </si>
  <si>
    <t>8715839031591</t>
  </si>
  <si>
    <t>42.20.03.00</t>
  </si>
  <si>
    <t>Buitenband 250/80-4 slick</t>
  </si>
  <si>
    <t>8715839028942</t>
  </si>
  <si>
    <t>42.21.01.00</t>
  </si>
  <si>
    <t>Buitenband 400x4</t>
  </si>
  <si>
    <t>8715839031607</t>
  </si>
  <si>
    <t>42.21.03.00</t>
  </si>
  <si>
    <t>Buitenband Slick 300/105-4</t>
  </si>
  <si>
    <t>8715839024654</t>
  </si>
  <si>
    <t>42.21.21.00</t>
  </si>
  <si>
    <t>Buitenband F1, 310/115-6L</t>
  </si>
  <si>
    <t>8715839024661</t>
  </si>
  <si>
    <t>42.21.21.01</t>
  </si>
  <si>
    <t>Buitenband F1, 310/115-6R</t>
  </si>
  <si>
    <t>8715839030037</t>
  </si>
  <si>
    <t>42.21.21.02</t>
  </si>
  <si>
    <t>Buitenband F150, 310/115</t>
  </si>
  <si>
    <t>8715839028959</t>
  </si>
  <si>
    <t>42.22.00.10</t>
  </si>
  <si>
    <t>Buitenband 400x8 Blok</t>
  </si>
  <si>
    <t>8715839016826</t>
  </si>
  <si>
    <t>42.22.01.00</t>
  </si>
  <si>
    <t>Buitenband 400x8</t>
  </si>
  <si>
    <t>8715839031614</t>
  </si>
  <si>
    <t>42.22.03.00</t>
  </si>
  <si>
    <t>Buitenband 400x8 D601 4pr</t>
  </si>
  <si>
    <t>8715839031621</t>
  </si>
  <si>
    <t>42.22.06.00</t>
  </si>
  <si>
    <t>Buitenband Radiall 400/100-8</t>
  </si>
  <si>
    <t>8715839028966</t>
  </si>
  <si>
    <t>42.22.21.00</t>
  </si>
  <si>
    <t>Buitenband Slick 400/140x8</t>
  </si>
  <si>
    <t>8715839028973</t>
  </si>
  <si>
    <t>42.22.31.00</t>
  </si>
  <si>
    <t>Buitenband 400/140-8 terrein</t>
  </si>
  <si>
    <t>8715839031638</t>
  </si>
  <si>
    <t>42.22.41.00</t>
  </si>
  <si>
    <t>Buitenband Traxx 400/140-8</t>
  </si>
  <si>
    <t>8715839031645</t>
  </si>
  <si>
    <t>42.23.21.00</t>
  </si>
  <si>
    <t>Buitenband Slick 350/100x8</t>
  </si>
  <si>
    <t>8715839012248</t>
  </si>
  <si>
    <t>42.23.41.00</t>
  </si>
  <si>
    <t>Buitenband 400x6</t>
  </si>
  <si>
    <t>8715839028980</t>
  </si>
  <si>
    <t>42.24.00.10</t>
  </si>
  <si>
    <t>Buitenband 650x8</t>
  </si>
  <si>
    <t>8715839044782</t>
  </si>
  <si>
    <t>42.26.10.00</t>
  </si>
  <si>
    <t>Buitenband Rally 12x9</t>
  </si>
  <si>
    <t>8715839045734</t>
  </si>
  <si>
    <t>42.26.10.01</t>
  </si>
  <si>
    <t>Buitenband Jeep Adv. 12x2.50-9</t>
  </si>
  <si>
    <t>8715839027693</t>
  </si>
  <si>
    <t>42.26.12.11</t>
  </si>
  <si>
    <t>Buitenband 12.5x1.75 Biky</t>
  </si>
  <si>
    <t>8715839030006</t>
  </si>
  <si>
    <t>42.26.12.12</t>
  </si>
  <si>
    <t>Band 12.5x1.75 Cross Biky</t>
  </si>
  <si>
    <t>8715839031652</t>
  </si>
  <si>
    <t>42.26.12.20</t>
  </si>
  <si>
    <t>Buitenband 12.5x2.25 Bazzic</t>
  </si>
  <si>
    <t>8715839024364</t>
  </si>
  <si>
    <t>42.26.12.21</t>
  </si>
  <si>
    <t>Buitenband Slick 12.5x2.25</t>
  </si>
  <si>
    <t>8715839024678</t>
  </si>
  <si>
    <t>42.26.12.22</t>
  </si>
  <si>
    <t>Buitenband Cross 12.5x2.25</t>
  </si>
  <si>
    <t>8715839026986</t>
  </si>
  <si>
    <t>42.26.12.23</t>
  </si>
  <si>
    <t>8715839028997</t>
  </si>
  <si>
    <t>42.26.12.51</t>
  </si>
  <si>
    <t>Buitenband 12.5x2.25 BB Ex+Pr</t>
  </si>
  <si>
    <t>8715839031669</t>
  </si>
  <si>
    <t>42.27.31.00</t>
  </si>
  <si>
    <t>Buitenband 460/165-8 terrein</t>
  </si>
  <si>
    <t>8715839031676</t>
  </si>
  <si>
    <t>42.27.41.00</t>
  </si>
  <si>
    <t>Buitenband Traxx 460/165-8</t>
  </si>
  <si>
    <t>8715839031683</t>
  </si>
  <si>
    <t>42.28.21.00</t>
  </si>
  <si>
    <t>Buitenband Slick 430/150-12</t>
  </si>
  <si>
    <t>8715839029000</t>
  </si>
  <si>
    <t>42.30.01.00</t>
  </si>
  <si>
    <t>Binnenband 300x4</t>
  </si>
  <si>
    <t>8715839031690</t>
  </si>
  <si>
    <t>42.31.01.00</t>
  </si>
  <si>
    <t>Binnenband 400x4</t>
  </si>
  <si>
    <t>8715839031706</t>
  </si>
  <si>
    <t>42.31.01.50</t>
  </si>
  <si>
    <t>Binnenband 300x8 (350/100x8)</t>
  </si>
  <si>
    <t>8715839024685</t>
  </si>
  <si>
    <t>42.31.21.00</t>
  </si>
  <si>
    <t>Binnenband 310/115-6</t>
  </si>
  <si>
    <t>8715839013283</t>
  </si>
  <si>
    <t>42.32.01.00</t>
  </si>
  <si>
    <t>Binnenband 400/650x8</t>
  </si>
  <si>
    <t>8715839012170</t>
  </si>
  <si>
    <t>42.33.02.00</t>
  </si>
  <si>
    <t>Binnenband 410/350x6</t>
  </si>
  <si>
    <t>8715839031713</t>
  </si>
  <si>
    <t>42.34.01.00</t>
  </si>
  <si>
    <t>Binnenband 460/165x8</t>
  </si>
  <si>
    <t>8715839031720</t>
  </si>
  <si>
    <t>42.34.02.00</t>
  </si>
  <si>
    <t>Binnenband 430/150-12</t>
  </si>
  <si>
    <t>8715839024272</t>
  </si>
  <si>
    <t>42.36.10.00</t>
  </si>
  <si>
    <t>Binnenband 12x9 inch</t>
  </si>
  <si>
    <t>8715839029017</t>
  </si>
  <si>
    <t>42.36.12.51</t>
  </si>
  <si>
    <t>Binnenband 12.5""</t>
  </si>
  <si>
    <t>8715839024371</t>
  </si>
  <si>
    <t>42.36.12.64</t>
  </si>
  <si>
    <t>Binnenband 12.5"" krom ventiel</t>
  </si>
  <si>
    <t>8715839031737</t>
  </si>
  <si>
    <t>42.49.25.01</t>
  </si>
  <si>
    <t>Kvelg 8"" zw glf ASY kaal KL+v</t>
  </si>
  <si>
    <t>8715839031744</t>
  </si>
  <si>
    <t>42.53.17.01</t>
  </si>
  <si>
    <t>Binnenband Fam 2.75-17</t>
  </si>
  <si>
    <t>8715839028683</t>
  </si>
  <si>
    <t>42.53.17.02</t>
  </si>
  <si>
    <t>Buitenband Fam 2.75-17</t>
  </si>
  <si>
    <t>8715839031751</t>
  </si>
  <si>
    <t>42.53.78.21</t>
  </si>
  <si>
    <t>Wiel Fam L 17x1.7"" zilver</t>
  </si>
  <si>
    <t>8715839031768</t>
  </si>
  <si>
    <t>42.53.78.22</t>
  </si>
  <si>
    <t>Wiel Fam R 17x1.7"" zilver</t>
  </si>
  <si>
    <t>8715839031775</t>
  </si>
  <si>
    <t>42.59.00.21</t>
  </si>
  <si>
    <t>Voorwiel BalanzBike Bazzic</t>
  </si>
  <si>
    <t>8715839031782</t>
  </si>
  <si>
    <t>42.59.02.11</t>
  </si>
  <si>
    <t>Voorwiel BalanzBike prof</t>
  </si>
  <si>
    <t>8715839031799</t>
  </si>
  <si>
    <t>42.59.02.13</t>
  </si>
  <si>
    <t>Voorwiel BalanzBike BF-3</t>
  </si>
  <si>
    <t>8715839030273</t>
  </si>
  <si>
    <t>42.59.04.00</t>
  </si>
  <si>
    <t>Wiel 12,5x8 Zwart Slick</t>
  </si>
  <si>
    <t>8715839024388</t>
  </si>
  <si>
    <t>42.59.04.30</t>
  </si>
  <si>
    <t>Wiel 12,5"" Geel Slick</t>
  </si>
  <si>
    <t>8715839024548</t>
  </si>
  <si>
    <t>42.59.04.34</t>
  </si>
  <si>
    <t>Wiel 12,5"" BF-R Geel Slick</t>
  </si>
  <si>
    <t>8715839024692</t>
  </si>
  <si>
    <t>42.59.04.35</t>
  </si>
  <si>
    <t>Wiel 12,5 Geel (Aandrijf)Slick</t>
  </si>
  <si>
    <t>8715839024708</t>
  </si>
  <si>
    <t>42.59.05.10</t>
  </si>
  <si>
    <t>Wiel 12,5"" Zwart Cross</t>
  </si>
  <si>
    <t>8715839024395</t>
  </si>
  <si>
    <t>42.59.05.15</t>
  </si>
  <si>
    <t>Wiel 12,5"" Zwart (Aandrijf)</t>
  </si>
  <si>
    <t>8715839024715</t>
  </si>
  <si>
    <t>42.59.05.30</t>
  </si>
  <si>
    <t>Wiel 12,5"" Geel Cross</t>
  </si>
  <si>
    <t>8715839024722</t>
  </si>
  <si>
    <t>42.59.05.34</t>
  </si>
  <si>
    <t>Wiel 12,5"" BF-R Geel Cross</t>
  </si>
  <si>
    <t>8715839024739</t>
  </si>
  <si>
    <t>42.59.05.35</t>
  </si>
  <si>
    <t>Wiel 12,5"" Geel (Aandrijf)</t>
  </si>
  <si>
    <t>8715839050684</t>
  </si>
  <si>
    <t>42.59.05.40</t>
  </si>
  <si>
    <t xml:space="preserve">Wiel 12½" KL Buddy Fendt
</t>
  </si>
  <si>
    <t>8715839050677</t>
  </si>
  <si>
    <t>42.59.05.45</t>
  </si>
  <si>
    <t xml:space="preserve">Wiel 12½" AA Buddy Fendt
</t>
  </si>
  <si>
    <t>8715839058628</t>
  </si>
  <si>
    <t>42.59.05.50</t>
  </si>
  <si>
    <t>Wheel 12½" KL Buddy Case</t>
  </si>
  <si>
    <t>8715839058635</t>
  </si>
  <si>
    <t>42.59.05.55</t>
  </si>
  <si>
    <t>Wheel 12½" AA Buddy Case</t>
  </si>
  <si>
    <t>8715839026993</t>
  </si>
  <si>
    <t>42.59.06.10</t>
  </si>
  <si>
    <t>8715839027006</t>
  </si>
  <si>
    <t>42.59.06.15</t>
  </si>
  <si>
    <t>Wiel 12,5 Zwart Aandrijf Slick</t>
  </si>
  <si>
    <t>8715839056938</t>
  </si>
  <si>
    <t>42.59.06.20</t>
  </si>
  <si>
    <t>Wheel 12½"" Or KL Slick+stripe</t>
  </si>
  <si>
    <t>8715839027013</t>
  </si>
  <si>
    <t>42.59.06.40</t>
  </si>
  <si>
    <t>Wiel 12,5x8 Roze Slick</t>
  </si>
  <si>
    <t>8715839027020</t>
  </si>
  <si>
    <t>42.59.06.45</t>
  </si>
  <si>
    <t>Wiel 12,5 Roze Aandrijf Slick</t>
  </si>
  <si>
    <t>8715839050325</t>
  </si>
  <si>
    <t>42.59.06.55</t>
  </si>
  <si>
    <t>Wiel 12.5x1.75 geel Cross Biky</t>
  </si>
  <si>
    <t>8715839027679</t>
  </si>
  <si>
    <t>42.59.11.14</t>
  </si>
  <si>
    <t>Wiel orange 12.5x1.75 Biky</t>
  </si>
  <si>
    <t>8715839030013</t>
  </si>
  <si>
    <t>42.59.11.15</t>
  </si>
  <si>
    <t>8715839027686</t>
  </si>
  <si>
    <t>42.59.11.19</t>
  </si>
  <si>
    <t>Wheel pink 12.5x1.75 Biky</t>
  </si>
  <si>
    <t>8715839044799</t>
  </si>
  <si>
    <t>42.59.50.00</t>
  </si>
  <si>
    <t>Wiel 12x9 Zwart, Slick</t>
  </si>
  <si>
    <t>8715839045932</t>
  </si>
  <si>
    <t>42.59.50.03</t>
  </si>
  <si>
    <t>Wiel 9 Zwart Jeep Adventure</t>
  </si>
  <si>
    <t>8715839024289</t>
  </si>
  <si>
    <t>42.59.50.60</t>
  </si>
  <si>
    <t>Wiel 12x9 Wit Slick</t>
  </si>
  <si>
    <t>8715839041613</t>
  </si>
  <si>
    <t>42.59.90.15</t>
  </si>
  <si>
    <t>Velg BalanzBike incl. BERGband</t>
  </si>
  <si>
    <t>8715839029437</t>
  </si>
  <si>
    <t>42.64.00.62</t>
  </si>
  <si>
    <t>Wheel 12½"" Moov</t>
  </si>
  <si>
    <t>8715839053784</t>
  </si>
  <si>
    <t>43.07.00.00</t>
  </si>
  <si>
    <t>SP Speling voor-achterframe verminderaar</t>
  </si>
  <si>
    <t>8715839054729</t>
  </si>
  <si>
    <t>43.07.00.01</t>
  </si>
  <si>
    <t>SP Crank set 140 28T</t>
  </si>
  <si>
    <t>8715839054736</t>
  </si>
  <si>
    <t>43.07.00.02</t>
  </si>
  <si>
    <t>SP wheel bearings (4 pcs) (20/42 mm)</t>
  </si>
  <si>
    <t>8715839054354</t>
  </si>
  <si>
    <t>43.07.00.03</t>
  </si>
  <si>
    <t>SP Compact Spacer front tire</t>
  </si>
  <si>
    <t>8715839054675</t>
  </si>
  <si>
    <t>43.07.00.04</t>
  </si>
  <si>
    <t>SP Wheel spacers</t>
  </si>
  <si>
    <t>8715839057355</t>
  </si>
  <si>
    <t>43.07.00.05</t>
  </si>
  <si>
    <t>Safari wheel spacers</t>
  </si>
  <si>
    <t>8715839057492</t>
  </si>
  <si>
    <t>43.07.00.06</t>
  </si>
  <si>
    <t>Wheel Spacerpack Compact&amp;XL</t>
  </si>
  <si>
    <t>8715839057508</t>
  </si>
  <si>
    <t>43.07.00.07</t>
  </si>
  <si>
    <t>Solution 2 Wheel Spacerpack Compact&amp;XL</t>
  </si>
  <si>
    <t>8715839057843</t>
  </si>
  <si>
    <t>43.07.00.08</t>
  </si>
  <si>
    <t>Loctite 243</t>
  </si>
  <si>
    <t>8715839047882</t>
  </si>
  <si>
    <t>43.42.00.00</t>
  </si>
  <si>
    <t>SP Wiel Rood 300x4 naald</t>
  </si>
  <si>
    <t>8715839048346</t>
  </si>
  <si>
    <t>43.42.00.01</t>
  </si>
  <si>
    <t>SP Wiel geel 300x4 2p NL</t>
  </si>
  <si>
    <t>8715839048353</t>
  </si>
  <si>
    <t>43.42.00.02</t>
  </si>
  <si>
    <t>SP Wiel geel 300x4 kog. uni</t>
  </si>
  <si>
    <t>8715839048360</t>
  </si>
  <si>
    <t>43.42.00.03</t>
  </si>
  <si>
    <t>SP K.velg ge250x4slKLLinks</t>
  </si>
  <si>
    <t>8715839048377</t>
  </si>
  <si>
    <t>43.42.00.04</t>
  </si>
  <si>
    <t>SP K.velg geel 250x4 Rechts</t>
  </si>
  <si>
    <t>8715839048384</t>
  </si>
  <si>
    <t>43.42.00.05</t>
  </si>
  <si>
    <t>SP Wiel grijs  400x4 naaldlager</t>
  </si>
  <si>
    <t>8715839048391</t>
  </si>
  <si>
    <t>43.42.00.06</t>
  </si>
  <si>
    <t>SP Wiel rood 400x4 kog. uni.</t>
  </si>
  <si>
    <t>8715839048407</t>
  </si>
  <si>
    <t>43.42.00.07</t>
  </si>
  <si>
    <t>SP Wiel rood slick 300/105-4 L</t>
  </si>
  <si>
    <t>8715839048414</t>
  </si>
  <si>
    <t>43.42.00.08</t>
  </si>
  <si>
    <t>SP Wiel rood slick 300/105-4 R</t>
  </si>
  <si>
    <t>8715839048421</t>
  </si>
  <si>
    <t>43.42.00.09</t>
  </si>
  <si>
    <t>SP Kvelg ge Slick 300/105-4 L</t>
  </si>
  <si>
    <t>8715839048438</t>
  </si>
  <si>
    <t>43.42.00.10</t>
  </si>
  <si>
    <t>SP Kvelg ge Slick 300/105-4 R</t>
  </si>
  <si>
    <t>8715839048445</t>
  </si>
  <si>
    <t>43.42.00.11</t>
  </si>
  <si>
    <t>SP Wiel 400x8, Geel, SY Radial</t>
  </si>
  <si>
    <t>8715839048452</t>
  </si>
  <si>
    <t>43.42.00.12</t>
  </si>
  <si>
    <t>SP K.velg 5sp zw 400x8 blok</t>
  </si>
  <si>
    <t>8715839048469</t>
  </si>
  <si>
    <t>43.42.00.13</t>
  </si>
  <si>
    <t>SP Wiel golf rood 400x8 uni.</t>
  </si>
  <si>
    <t>8715839048476</t>
  </si>
  <si>
    <t>43.42.00.14</t>
  </si>
  <si>
    <t>SP Sportvelg 400x8 grijs uni.</t>
  </si>
  <si>
    <t>8715839048483</t>
  </si>
  <si>
    <t>43.42.00.15</t>
  </si>
  <si>
    <t>SP Wiel golf rood 400x8 gaffel</t>
  </si>
  <si>
    <t>8715839048490</t>
  </si>
  <si>
    <t>43.42.00.16</t>
  </si>
  <si>
    <t>SP Wiel golf wit 400x8 uni.</t>
  </si>
  <si>
    <t>8715839048506</t>
  </si>
  <si>
    <t>43.42.00.17</t>
  </si>
  <si>
    <t>8715839048513</t>
  </si>
  <si>
    <t>43.42.00.18</t>
  </si>
  <si>
    <t>SP Wiel 400x6 zwart</t>
  </si>
  <si>
    <t>8715839048520</t>
  </si>
  <si>
    <t>43.42.00.19</t>
  </si>
  <si>
    <t>SP Wiel 400x6 wit</t>
  </si>
  <si>
    <t>8715839048537</t>
  </si>
  <si>
    <t>43.42.00.20</t>
  </si>
  <si>
    <t>SP K.velg golf rood 650x8</t>
  </si>
  <si>
    <t>8715839048544</t>
  </si>
  <si>
    <t>43.42.00.21</t>
  </si>
  <si>
    <t>SP Wiel 400x8 zwart, Radial</t>
  </si>
  <si>
    <t>8715839048636</t>
  </si>
  <si>
    <t>43.42.00.22</t>
  </si>
  <si>
    <t>SP Sportvelg 400x8 Slick geel L.</t>
  </si>
  <si>
    <t>8715839048643</t>
  </si>
  <si>
    <t>43.42.00.23</t>
  </si>
  <si>
    <t>SP Sportvelg 400x8 Slick geel R.</t>
  </si>
  <si>
    <t>8715839048650</t>
  </si>
  <si>
    <t>43.42.00.24</t>
  </si>
  <si>
    <t>SP Sportvelg 400x8 Slick wit L</t>
  </si>
  <si>
    <t>8715839048667</t>
  </si>
  <si>
    <t>43.42.00.25</t>
  </si>
  <si>
    <t>SP Sportvelg 400x8 Slick wit R.</t>
  </si>
  <si>
    <t>8715839048674</t>
  </si>
  <si>
    <t>43.42.00.26</t>
  </si>
  <si>
    <t>SP Wiel 400x8 wit, Slick Links</t>
  </si>
  <si>
    <t>8715839048681</t>
  </si>
  <si>
    <t>43.42.00.27</t>
  </si>
  <si>
    <t>SP Wiel 400x8 wit, Slick Rechts</t>
  </si>
  <si>
    <t>8715839048698</t>
  </si>
  <si>
    <t>43.42.00.28</t>
  </si>
  <si>
    <t>SP Sportvelg 350x8 slick geel L.</t>
  </si>
  <si>
    <t>8715839048704</t>
  </si>
  <si>
    <t>43.42.00.29</t>
  </si>
  <si>
    <t>SP Sportvelg 350x8 slick geel R.</t>
  </si>
  <si>
    <t>8715839048711</t>
  </si>
  <si>
    <t>43.42.00.30</t>
  </si>
  <si>
    <t>SP K.velg gr350/100x8 Sport Links</t>
  </si>
  <si>
    <t>8715839048728</t>
  </si>
  <si>
    <t>43.42.00.31</t>
  </si>
  <si>
    <t>SP Wiel gr 350/100x8 Sport Rechts</t>
  </si>
  <si>
    <t>8715839048759</t>
  </si>
  <si>
    <t>43.42.00.32</t>
  </si>
  <si>
    <t>SP Sportvelg 350x8 slick zilver L</t>
  </si>
  <si>
    <t>8715839048766</t>
  </si>
  <si>
    <t>43.42.00.33</t>
  </si>
  <si>
    <t>SP Sportvelg 350x8 slick zilver R</t>
  </si>
  <si>
    <t>8715839048773</t>
  </si>
  <si>
    <t>43.42.00.34</t>
  </si>
  <si>
    <t>SP K.velg grijs 350/100x8 Links</t>
  </si>
  <si>
    <t>8715839048780</t>
  </si>
  <si>
    <t>43.42.00.35</t>
  </si>
  <si>
    <t>SP K.velg grijs 350/100x8 Rechts</t>
  </si>
  <si>
    <t>8715839048797</t>
  </si>
  <si>
    <t>43.42.00.36</t>
  </si>
  <si>
    <t>SP Wiel 350x8 wit, Slick Links</t>
  </si>
  <si>
    <t>8715839048803</t>
  </si>
  <si>
    <t>43.42.00.37</t>
  </si>
  <si>
    <t>SP Wiel 350x8 wit, Slick Rechts</t>
  </si>
  <si>
    <t>8715839048810</t>
  </si>
  <si>
    <t>43.42.00.38</t>
  </si>
  <si>
    <t>SP Wiel Traxx rood 400 Links</t>
  </si>
  <si>
    <t>8715839048827</t>
  </si>
  <si>
    <t>43.42.00.39</t>
  </si>
  <si>
    <t>SP Wiel Traxx rood 400 Rechts</t>
  </si>
  <si>
    <t>8715839048834</t>
  </si>
  <si>
    <t>43.42.00.40</t>
  </si>
  <si>
    <t>SP Wiel Traxx geel 400 Links</t>
  </si>
  <si>
    <t>8715839048841</t>
  </si>
  <si>
    <t>43.42.00.41</t>
  </si>
  <si>
    <t>SP Wiel Traxx geel 400 Rechts</t>
  </si>
  <si>
    <t>8715839048858</t>
  </si>
  <si>
    <t>43.42.00.42</t>
  </si>
  <si>
    <t>SP Wiel Traxx grijs 400 Links</t>
  </si>
  <si>
    <t>8715839048865</t>
  </si>
  <si>
    <t>43.42.00.43</t>
  </si>
  <si>
    <t>SP Wiel Traxx grijs 400 Rechts</t>
  </si>
  <si>
    <t>8715839048872</t>
  </si>
  <si>
    <t>43.42.00.44</t>
  </si>
  <si>
    <t>SP Wiel Traxx wit 400 Links</t>
  </si>
  <si>
    <t>8715839048889</t>
  </si>
  <si>
    <t>43.42.00.45</t>
  </si>
  <si>
    <t>SP Wiel Traxx wit 400 Rechts</t>
  </si>
  <si>
    <t>8715839048896</t>
  </si>
  <si>
    <t>43.42.00.46</t>
  </si>
  <si>
    <t>SP Wiel Traxx rood 460 Links</t>
  </si>
  <si>
    <t>8715839048902</t>
  </si>
  <si>
    <t>43.42.00.47</t>
  </si>
  <si>
    <t>SP Wiel Traxx rood 460 Rechts</t>
  </si>
  <si>
    <t>8715839048919</t>
  </si>
  <si>
    <t>43.42.00.48</t>
  </si>
  <si>
    <t>SP Wiel Traxx geel 460 Links</t>
  </si>
  <si>
    <t>8715839048926</t>
  </si>
  <si>
    <t>43.42.00.49</t>
  </si>
  <si>
    <t>SP Wiel Traxx geel 460 Rechts</t>
  </si>
  <si>
    <t>8715839048933</t>
  </si>
  <si>
    <t>43.42.00.50</t>
  </si>
  <si>
    <t>SP Wiel Traxx grijs 460 Links</t>
  </si>
  <si>
    <t>8715839048940</t>
  </si>
  <si>
    <t>43.42.00.51</t>
  </si>
  <si>
    <t>SP Wiel Traxx grijs 460 Rechts</t>
  </si>
  <si>
    <t>8715839048957</t>
  </si>
  <si>
    <t>43.42.00.52</t>
  </si>
  <si>
    <t>SP Wiel Traxx wit 460 Links</t>
  </si>
  <si>
    <t>8715839048964</t>
  </si>
  <si>
    <t>43.42.00.53</t>
  </si>
  <si>
    <t>SP Wiel Traxx wit 460 Rechts</t>
  </si>
  <si>
    <t>8715839048971</t>
  </si>
  <si>
    <t>43.42.00.54</t>
  </si>
  <si>
    <t>SP Wiel terrein 400/140x8, Zwart</t>
  </si>
  <si>
    <t>8715839048988</t>
  </si>
  <si>
    <t>43.42.00.55</t>
  </si>
  <si>
    <t>SP Wiel terrein 460/650x8, zwart</t>
  </si>
  <si>
    <t>8715839048995</t>
  </si>
  <si>
    <t>43.42.00.56</t>
  </si>
  <si>
    <t>SP Sportvelg Zilver, 430L Slick</t>
  </si>
  <si>
    <t>8715839049008</t>
  </si>
  <si>
    <t>43.42.00.57</t>
  </si>
  <si>
    <t>SP Sportvelg Zilver, 430R Slick</t>
  </si>
  <si>
    <t>8715839049015</t>
  </si>
  <si>
    <t>43.42.00.58</t>
  </si>
  <si>
    <t>SP Wiel geel 300x4 6p KL</t>
  </si>
  <si>
    <t>8715839049022</t>
  </si>
  <si>
    <t>43.42.00.59</t>
  </si>
  <si>
    <t>SP Wiel geel 400x4 kog. uni</t>
  </si>
  <si>
    <t>8715839049039</t>
  </si>
  <si>
    <t>43.42.00.60</t>
  </si>
  <si>
    <t>SP Sportvelg 400x8 grijs uni</t>
  </si>
  <si>
    <t>8715839049046</t>
  </si>
  <si>
    <t>43.42.00.61</t>
  </si>
  <si>
    <t>SP Stalen wiel 400x8K D601, grijs</t>
  </si>
  <si>
    <t>8715839049053</t>
  </si>
  <si>
    <t>43.42.00.62</t>
  </si>
  <si>
    <t>SP Stalen wiel 400x8A D601, grijs</t>
  </si>
  <si>
    <t>8715839049060</t>
  </si>
  <si>
    <t>43.42.00.63</t>
  </si>
  <si>
    <t>SP K.velg 5S ge 650x8</t>
  </si>
  <si>
    <t>8715839049077</t>
  </si>
  <si>
    <t>43.42.00.64</t>
  </si>
  <si>
    <t>SP Sportvelg 400x8 Slick chroom L</t>
  </si>
  <si>
    <t>8715839049084</t>
  </si>
  <si>
    <t>43.42.00.65</t>
  </si>
  <si>
    <t>SP Sportvelg 400x8 Slick chroom R</t>
  </si>
  <si>
    <t>8715839049091</t>
  </si>
  <si>
    <t>43.42.00.66</t>
  </si>
  <si>
    <t>SP Wiel golf gaffel slick chroom</t>
  </si>
  <si>
    <t>8715839049107</t>
  </si>
  <si>
    <t>43.42.00.67</t>
  </si>
  <si>
    <t>SP Sportwiel 400x8, Geel, Radial</t>
  </si>
  <si>
    <t>8715839049114</t>
  </si>
  <si>
    <t>43.42.00.68</t>
  </si>
  <si>
    <t>SP Wiel terrein 400/140x8, Rood</t>
  </si>
  <si>
    <t>8715839049121</t>
  </si>
  <si>
    <t>43.42.00.69</t>
  </si>
  <si>
    <t>Wiel golf zwart 400x8 uni.</t>
  </si>
  <si>
    <t>8715839049138</t>
  </si>
  <si>
    <t>43.42.00.70</t>
  </si>
  <si>
    <t>SP Wiel Balanzbike Bazzic voor</t>
  </si>
  <si>
    <t>8715839049411</t>
  </si>
  <si>
    <t>43.42.00.71</t>
  </si>
  <si>
    <t>SP Buitenband 650x8</t>
  </si>
  <si>
    <t>8715839049428</t>
  </si>
  <si>
    <t>43.42.00.72</t>
  </si>
  <si>
    <t>SP Buitenband 460/165-8 terrein</t>
  </si>
  <si>
    <t>8715839049435</t>
  </si>
  <si>
    <t>43.42.00.73</t>
  </si>
  <si>
    <t>SP Buitenband Traxx 460/165-8</t>
  </si>
  <si>
    <t>8715839049442</t>
  </si>
  <si>
    <t>43.42.00.74</t>
  </si>
  <si>
    <t>SP Buitenband Slick 430/150-12</t>
  </si>
  <si>
    <t>8715839049459</t>
  </si>
  <si>
    <t>43.42.00.75</t>
  </si>
  <si>
    <t>SP Buitenband 400x4</t>
  </si>
  <si>
    <t>8715839049466</t>
  </si>
  <si>
    <t>43.42.00.76</t>
  </si>
  <si>
    <t>SP Buitenband 400x8 Blok</t>
  </si>
  <si>
    <t>8715839049473</t>
  </si>
  <si>
    <t>43.42.00.77</t>
  </si>
  <si>
    <t>SP Buitenband 400x8</t>
  </si>
  <si>
    <t>8715839049480</t>
  </si>
  <si>
    <t>43.42.00.78</t>
  </si>
  <si>
    <t>SP Buitenband 400x8 D601 4pr</t>
  </si>
  <si>
    <t>8715839049497</t>
  </si>
  <si>
    <t>43.42.00.79</t>
  </si>
  <si>
    <t>SP Buitenband Radiall 400/100-8</t>
  </si>
  <si>
    <t>8715839049503</t>
  </si>
  <si>
    <t>43.42.00.80</t>
  </si>
  <si>
    <t>SP Buitenband Slick 400/140x8</t>
  </si>
  <si>
    <t>8715839049510</t>
  </si>
  <si>
    <t>43.42.00.81</t>
  </si>
  <si>
    <t>SP Buitenband 400/140-8 terrein</t>
  </si>
  <si>
    <t>8715839049527</t>
  </si>
  <si>
    <t>43.42.00.82</t>
  </si>
  <si>
    <t>SP Buitenband Traxx 400/140-8</t>
  </si>
  <si>
    <t>8715839049534</t>
  </si>
  <si>
    <t>43.42.00.83</t>
  </si>
  <si>
    <t>SP Buitenband Slick 350/100x8</t>
  </si>
  <si>
    <t>8715839049541</t>
  </si>
  <si>
    <t>43.42.00.84</t>
  </si>
  <si>
    <t>SP Buitenband 400x6</t>
  </si>
  <si>
    <t>8715839049558</t>
  </si>
  <si>
    <t>43.42.00.85</t>
  </si>
  <si>
    <t>SP Buitenband 12.5x2.25 BB Ex+Pr</t>
  </si>
  <si>
    <t>8715839049565</t>
  </si>
  <si>
    <t>43.42.00.86</t>
  </si>
  <si>
    <t>SP Buitenband 300x4</t>
  </si>
  <si>
    <t>8715839049572</t>
  </si>
  <si>
    <t>43.42.00.87</t>
  </si>
  <si>
    <t>SP Buitenband 250/80-4 slick</t>
  </si>
  <si>
    <t>8715839049589</t>
  </si>
  <si>
    <t>43.42.00.88</t>
  </si>
  <si>
    <t>SP Buitenband Slick 300/105-4</t>
  </si>
  <si>
    <t>8715839049596</t>
  </si>
  <si>
    <t>43.42.00.89</t>
  </si>
  <si>
    <t>SP Buitenband Slick 12.5x2.25</t>
  </si>
  <si>
    <t>8715839049602</t>
  </si>
  <si>
    <t>43.42.00.90</t>
  </si>
  <si>
    <t>SP Buitenband Cross 12.5x2.25</t>
  </si>
  <si>
    <t>8715839054330</t>
  </si>
  <si>
    <t>43.42.00.91</t>
  </si>
  <si>
    <t>SP Wheel Alround 5S Orange 400</t>
  </si>
  <si>
    <t>8715839057515</t>
  </si>
  <si>
    <t>43.42.00.92</t>
  </si>
  <si>
    <t>SP Wheel Super Slick 5S Black 400L</t>
  </si>
  <si>
    <t>8715839057812</t>
  </si>
  <si>
    <t>43.42.00.93</t>
  </si>
  <si>
    <t>SP Wheel Super Slick 5S Black 400R</t>
  </si>
  <si>
    <t>8715839057126</t>
  </si>
  <si>
    <t>43.42.00.94</t>
  </si>
  <si>
    <t>SP Wheel Off-Road 5S Green 400</t>
  </si>
  <si>
    <t>8715839056099</t>
  </si>
  <si>
    <t>43.42.00.95</t>
  </si>
  <si>
    <t>Assembled wheel L Fam 2.75-17 SP</t>
  </si>
  <si>
    <t>8715839056105</t>
  </si>
  <si>
    <t>43.42.00.96</t>
  </si>
  <si>
    <t>Assembled wheel R Fam 2.75-17 SP</t>
  </si>
  <si>
    <t>8715839056273</t>
  </si>
  <si>
    <t>43.42.00.97</t>
  </si>
  <si>
    <t>Wheel offroad GranTour SP</t>
  </si>
  <si>
    <t>8715839057423</t>
  </si>
  <si>
    <t>43.42.00.98</t>
  </si>
  <si>
    <t>SP Tire Buddy PRO 4x</t>
  </si>
  <si>
    <t>8715839061734</t>
  </si>
  <si>
    <t>43.42.00.99</t>
  </si>
  <si>
    <t>Wheel orange 400/100-8 radiall symmetric</t>
  </si>
  <si>
    <t>8715839061741</t>
  </si>
  <si>
    <t>43.42.01.00</t>
  </si>
  <si>
    <t>Wheel 5-spoke orange 400/140-8 slick left</t>
  </si>
  <si>
    <t>8715839061758</t>
  </si>
  <si>
    <t>43.42.01.01</t>
  </si>
  <si>
    <t>Wheel 5-spoke orange 400/140-8 slick right</t>
  </si>
  <si>
    <t>8715839054163</t>
  </si>
  <si>
    <t>43.53.00.00</t>
  </si>
  <si>
    <t>Pedal set professional FP-910</t>
  </si>
  <si>
    <t>8715839057416</t>
  </si>
  <si>
    <t>43.53.00.01</t>
  </si>
  <si>
    <t>SP Freewheel</t>
  </si>
  <si>
    <t>8715839057799</t>
  </si>
  <si>
    <t>43.53.00.02</t>
  </si>
  <si>
    <t>SP E-GT freewheel</t>
  </si>
  <si>
    <t>8715839058376</t>
  </si>
  <si>
    <t>43.53.00.03</t>
  </si>
  <si>
    <t>SP Stickerset (E-)Gran Tour</t>
  </si>
  <si>
    <t>8715839031805</t>
  </si>
  <si>
    <t>47.01.01.00</t>
  </si>
  <si>
    <t>Premium dealershield</t>
  </si>
  <si>
    <t>8715839031812</t>
  </si>
  <si>
    <t>47.01.02.00</t>
  </si>
  <si>
    <t>Official dealershield</t>
  </si>
  <si>
    <t>8715839023930</t>
  </si>
  <si>
    <t>47.01.10.00</t>
  </si>
  <si>
    <t>BERG 3in1 Go-Kart Display</t>
  </si>
  <si>
    <t>8715839049923</t>
  </si>
  <si>
    <t>47.01.10.01</t>
  </si>
  <si>
    <t>BERG folder display</t>
  </si>
  <si>
    <t>8715839050608</t>
  </si>
  <si>
    <t>47.01.10.02</t>
  </si>
  <si>
    <t>BERG Trampoline display</t>
  </si>
  <si>
    <t>8715839050615</t>
  </si>
  <si>
    <t>47.01.10.03</t>
  </si>
  <si>
    <t>8715839056761</t>
  </si>
  <si>
    <t>47.01.10.04</t>
  </si>
  <si>
    <t>Conversion kit Trampoline display 2014</t>
  </si>
  <si>
    <t>8715839057737</t>
  </si>
  <si>
    <t>47.01.10.05</t>
  </si>
  <si>
    <t>Elite+ foam WHITE for trampoline display</t>
  </si>
  <si>
    <t>8715839061727</t>
  </si>
  <si>
    <t>47.01.10.06</t>
  </si>
  <si>
    <t>BERG Buzzy Display</t>
  </si>
  <si>
    <t>8715839062045</t>
  </si>
  <si>
    <t>47.01.10.07</t>
  </si>
  <si>
    <t>BERG Buzzy Display basic</t>
  </si>
  <si>
    <t>8715839028492</t>
  </si>
  <si>
    <t>47.10.06.00</t>
  </si>
  <si>
    <t>Showstandaard Kick360</t>
  </si>
  <si>
    <t>8715839028782</t>
  </si>
  <si>
    <t>47.10.07.00</t>
  </si>
  <si>
    <t>Showstandaard Biky</t>
  </si>
  <si>
    <t>8715839057331</t>
  </si>
  <si>
    <t>47.10.08.00</t>
  </si>
  <si>
    <t>Display Rod</t>
  </si>
  <si>
    <t>8715839016383</t>
  </si>
  <si>
    <t>47.10.10.00</t>
  </si>
  <si>
    <t>Showstang</t>
  </si>
  <si>
    <t>8715839031829</t>
  </si>
  <si>
    <t>47.10.13.00</t>
  </si>
  <si>
    <t>Showstandaard</t>
  </si>
  <si>
    <t>8715839014099</t>
  </si>
  <si>
    <t>47.10.14.00</t>
  </si>
  <si>
    <t>Showbeugels (set van 4 stuks)</t>
  </si>
  <si>
    <t>8715839014747</t>
  </si>
  <si>
    <t>47.10.17.00</t>
  </si>
  <si>
    <t>Shop in the shop</t>
  </si>
  <si>
    <t>8715839021639</t>
  </si>
  <si>
    <t>47.10.17.04</t>
  </si>
  <si>
    <t>Banner Corporate Shop in Shop</t>
  </si>
  <si>
    <t>8715839014709</t>
  </si>
  <si>
    <t>47.10.19.00</t>
  </si>
  <si>
    <t>Skelter banner  + standaard</t>
  </si>
  <si>
    <t>8715839014839</t>
  </si>
  <si>
    <t>47.10.20.00</t>
  </si>
  <si>
    <t>Trampoline banner + standard</t>
  </si>
  <si>
    <t>8715839021875</t>
  </si>
  <si>
    <t>47.10.30.00</t>
  </si>
  <si>
    <t>Poster Corporate</t>
  </si>
  <si>
    <t>8715839021882</t>
  </si>
  <si>
    <t>47.10.31.00</t>
  </si>
  <si>
    <t>Poster Ferrari</t>
  </si>
  <si>
    <t>8715839021899</t>
  </si>
  <si>
    <t>47.10.32.00</t>
  </si>
  <si>
    <t>Poster MOOV 2008</t>
  </si>
  <si>
    <t>8715839021905</t>
  </si>
  <si>
    <t>47.10.33.00</t>
  </si>
  <si>
    <t>Poster Buddy/Triggy</t>
  </si>
  <si>
    <t>8715839021912</t>
  </si>
  <si>
    <t>47.10.34.00</t>
  </si>
  <si>
    <t>Poster Trampolines</t>
  </si>
  <si>
    <t>8715839021929</t>
  </si>
  <si>
    <t>47.10.35.00</t>
  </si>
  <si>
    <t>Raamsticker (groot)</t>
  </si>
  <si>
    <t>8715839021936</t>
  </si>
  <si>
    <t>47.10.36.00</t>
  </si>
  <si>
    <t>Raamsticker (klein)</t>
  </si>
  <si>
    <t>8715839023244</t>
  </si>
  <si>
    <t>47.10.37.00</t>
  </si>
  <si>
    <t>Freestyler Poster A1</t>
  </si>
  <si>
    <t>8715839023381</t>
  </si>
  <si>
    <t>47.10.38.00</t>
  </si>
  <si>
    <t>Poster Ferrari F1</t>
  </si>
  <si>
    <t>8715839023862</t>
  </si>
  <si>
    <t>47.10.39.00</t>
  </si>
  <si>
    <t>A1 Poster Jeep</t>
  </si>
  <si>
    <t>8715839023879</t>
  </si>
  <si>
    <t>47.10.40.00</t>
  </si>
  <si>
    <t>A1 Poster John Deere</t>
  </si>
  <si>
    <t>8715839023893</t>
  </si>
  <si>
    <t>47.10.41.00</t>
  </si>
  <si>
    <t>Poster Trampoline ENG</t>
  </si>
  <si>
    <t>8715839023916</t>
  </si>
  <si>
    <t>47.10.42.00</t>
  </si>
  <si>
    <t>25 Jubileum Poster A1</t>
  </si>
  <si>
    <t>8715839024098</t>
  </si>
  <si>
    <t>47.10.43.00</t>
  </si>
  <si>
    <t>Sticker Jubileum poster</t>
  </si>
  <si>
    <t>8715839031836</t>
  </si>
  <si>
    <t>47.10.44.00</t>
  </si>
  <si>
    <t>Poster Trampolinewijzer NL</t>
  </si>
  <si>
    <t>8715839031843</t>
  </si>
  <si>
    <t>47.10.45.00</t>
  </si>
  <si>
    <t>Poster Trampolin Wegweiser</t>
  </si>
  <si>
    <t>8715839031850</t>
  </si>
  <si>
    <t>47.10.46.00</t>
  </si>
  <si>
    <t>Stand-up carton Buddy Orange</t>
  </si>
  <si>
    <t>8715839041620</t>
  </si>
  <si>
    <t>47.10.47.00</t>
  </si>
  <si>
    <t>Poster Ferrari F150 Italia</t>
  </si>
  <si>
    <t>8715839041637</t>
  </si>
  <si>
    <t>47.10.48.00</t>
  </si>
  <si>
    <t>Poster Black Edition 2012</t>
  </si>
  <si>
    <t>8715839041644</t>
  </si>
  <si>
    <t>47.10.49.00</t>
  </si>
  <si>
    <t>Poster Buddy incl. Trailer</t>
  </si>
  <si>
    <t>8715839041651</t>
  </si>
  <si>
    <t>47.10.50.00</t>
  </si>
  <si>
    <t>Poster Biky</t>
  </si>
  <si>
    <t>8715839041668</t>
  </si>
  <si>
    <t>47.10.51.00</t>
  </si>
  <si>
    <t>Poster Elite NL</t>
  </si>
  <si>
    <t>8715839041675</t>
  </si>
  <si>
    <t>47.10.52.00</t>
  </si>
  <si>
    <t>Poster Elite DE</t>
  </si>
  <si>
    <t>8715839041682</t>
  </si>
  <si>
    <t>47.10.53.00</t>
  </si>
  <si>
    <t>Poster Elite ENG</t>
  </si>
  <si>
    <t>8715839041699</t>
  </si>
  <si>
    <t>47.10.54.00</t>
  </si>
  <si>
    <t>Poster Elite FR</t>
  </si>
  <si>
    <t>8715839041705</t>
  </si>
  <si>
    <t>47.10.55.00</t>
  </si>
  <si>
    <t>Raamsticker 2012</t>
  </si>
  <si>
    <t>8715839041446</t>
  </si>
  <si>
    <t>47.10.56.00</t>
  </si>
  <si>
    <t>Etui rood</t>
  </si>
  <si>
    <t>8715839045642</t>
  </si>
  <si>
    <t>47.10.57.00</t>
  </si>
  <si>
    <t>Poster Buddy Hot Rod</t>
  </si>
  <si>
    <t>8715839045659</t>
  </si>
  <si>
    <t>47.10.58.00</t>
  </si>
  <si>
    <t>Poster Route 66</t>
  </si>
  <si>
    <t>8715839045666</t>
  </si>
  <si>
    <t>47.10.59.00</t>
  </si>
  <si>
    <t>Poster Buddy accessoires</t>
  </si>
  <si>
    <t>8715839045673</t>
  </si>
  <si>
    <t>47.10.60.00</t>
  </si>
  <si>
    <t>Poster John Deere products</t>
  </si>
  <si>
    <t>8715839045949</t>
  </si>
  <si>
    <t>47.10.61.00</t>
  </si>
  <si>
    <t>Poster Jeep Products</t>
  </si>
  <si>
    <t>8715839045697</t>
  </si>
  <si>
    <t>47.10.62.00</t>
  </si>
  <si>
    <t>Poster Trampoline 2013</t>
  </si>
  <si>
    <t>8715839049947</t>
  </si>
  <si>
    <t>47.10.63.00</t>
  </si>
  <si>
    <t>BERG Clip</t>
  </si>
  <si>
    <t>8715839049954</t>
  </si>
  <si>
    <t>47.10.64.00</t>
  </si>
  <si>
    <t>BERG Poster Buzzy</t>
  </si>
  <si>
    <t>8715839049961</t>
  </si>
  <si>
    <t>47.10.65.00</t>
  </si>
  <si>
    <t>BERG Poster Mustang </t>
  </si>
  <si>
    <t>8715839049978</t>
  </si>
  <si>
    <t>47.10.66.00</t>
  </si>
  <si>
    <t>BERG Poster Compact</t>
  </si>
  <si>
    <t>8715839049985</t>
  </si>
  <si>
    <t>47.10.67.00</t>
  </si>
  <si>
    <t>BERG Poster trampoline</t>
  </si>
  <si>
    <t>8715839049992</t>
  </si>
  <si>
    <t>47.10.68.00</t>
  </si>
  <si>
    <t>BERG Poster Safety net Comfort            </t>
  </si>
  <si>
    <t>8715839050004</t>
  </si>
  <si>
    <t>47.10.69.00</t>
  </si>
  <si>
    <t>BERG Poster JEEP</t>
  </si>
  <si>
    <t>8715839050011</t>
  </si>
  <si>
    <t>47.10.70.00</t>
  </si>
  <si>
    <t>BERG Beachflag</t>
  </si>
  <si>
    <t>8715839049930</t>
  </si>
  <si>
    <t>47.10.71.00</t>
  </si>
  <si>
    <t>BERG Logo Flag</t>
  </si>
  <si>
    <t>8715839056303</t>
  </si>
  <si>
    <t>47.10.72.00</t>
  </si>
  <si>
    <t>2015 Poster BERG Biky</t>
  </si>
  <si>
    <t>8715839056310</t>
  </si>
  <si>
    <t>47.10.73.00</t>
  </si>
  <si>
    <t>2015 Poster BERG Black Edition</t>
  </si>
  <si>
    <t>8715839056327</t>
  </si>
  <si>
    <t>47.10.74.00</t>
  </si>
  <si>
    <t>2015 Poster BERG Buzzy</t>
  </si>
  <si>
    <t>8715839056334</t>
  </si>
  <si>
    <t>47.10.75.00</t>
  </si>
  <si>
    <t>2015 Poster BERG Buzzy Fiat 500</t>
  </si>
  <si>
    <t>8715839056341</t>
  </si>
  <si>
    <t>47.10.76.00</t>
  </si>
  <si>
    <t>2015 Poster BERG Case IH</t>
  </si>
  <si>
    <t>8715839056358</t>
  </si>
  <si>
    <t>47.10.77.00</t>
  </si>
  <si>
    <t>2015 Poster BERG Choppy</t>
  </si>
  <si>
    <t>8715839056365</t>
  </si>
  <si>
    <t>47.10.78.00</t>
  </si>
  <si>
    <t>2015 Poster BERG Claas</t>
  </si>
  <si>
    <t>8715839056372</t>
  </si>
  <si>
    <t>47.10.79.00</t>
  </si>
  <si>
    <t>2015 Poster BERG Deutz Fahr</t>
  </si>
  <si>
    <t>8715839056389</t>
  </si>
  <si>
    <t>47.10.80.00</t>
  </si>
  <si>
    <t>2015 Poster BERG Extra Sport</t>
  </si>
  <si>
    <t>8715839056396</t>
  </si>
  <si>
    <t>47.10.81.00</t>
  </si>
  <si>
    <t>8715839056402</t>
  </si>
  <si>
    <t>47.10.82.00</t>
  </si>
  <si>
    <t>2015 Poster BERG Ford Mustang GT Pedal Go Kart</t>
  </si>
  <si>
    <t>8715839056419</t>
  </si>
  <si>
    <t>47.10.83.00</t>
  </si>
  <si>
    <t>2015 Poster BERG Grantour</t>
  </si>
  <si>
    <t>8715839056426</t>
  </si>
  <si>
    <t>47.10.84.00</t>
  </si>
  <si>
    <t>2015 Poster BERG Jeep Revolution</t>
  </si>
  <si>
    <t>8715839056433</t>
  </si>
  <si>
    <t>47.10.85.00</t>
  </si>
  <si>
    <t>2015 Poster BERG John Deere</t>
  </si>
  <si>
    <t>8715839056440</t>
  </si>
  <si>
    <t>47.10.86.00</t>
  </si>
  <si>
    <t>2015 Poster BERG New Holland</t>
  </si>
  <si>
    <t>8715839056457</t>
  </si>
  <si>
    <t>47.10.87.00</t>
  </si>
  <si>
    <t>2015 Poster BERG Race</t>
  </si>
  <si>
    <t>8715839056464</t>
  </si>
  <si>
    <t>47.10.88.00</t>
  </si>
  <si>
    <t>2015 Poster BERG Safari</t>
  </si>
  <si>
    <t>8715839056495</t>
  </si>
  <si>
    <t>47.10.89.00</t>
  </si>
  <si>
    <t>2015 Poster BERG X-Cross</t>
  </si>
  <si>
    <t>8715839056471</t>
  </si>
  <si>
    <t>47.10.90.00</t>
  </si>
  <si>
    <t>8715839056488</t>
  </si>
  <si>
    <t>47.10.91.00</t>
  </si>
  <si>
    <t>2015 Poster BERG Comparision trampolines</t>
  </si>
  <si>
    <t>8715839056501</t>
  </si>
  <si>
    <t>47.10.92.00</t>
  </si>
  <si>
    <t>2015 Poster BERG EazyFit</t>
  </si>
  <si>
    <t>8715839056518</t>
  </si>
  <si>
    <t>47.10.93.00</t>
  </si>
  <si>
    <t>2015 Poster BERG Grand Champion</t>
  </si>
  <si>
    <t>8715839056525</t>
  </si>
  <si>
    <t>47.10.94.00</t>
  </si>
  <si>
    <t>2015 Poster BERG Sports</t>
  </si>
  <si>
    <t>8715839056594</t>
  </si>
  <si>
    <t>47.10.95.00</t>
  </si>
  <si>
    <t>BERG Clip (10x)</t>
  </si>
  <si>
    <t>8715839021660</t>
  </si>
  <si>
    <t>47.11.12.00</t>
  </si>
  <si>
    <t>Balpen</t>
  </si>
  <si>
    <t>8715839021677</t>
  </si>
  <si>
    <t>47.11.21.00</t>
  </si>
  <si>
    <t>Blocnote</t>
  </si>
  <si>
    <t>8715839050653</t>
  </si>
  <si>
    <t>47.11.22.00</t>
  </si>
  <si>
    <t>BERG Keyring (10x)</t>
  </si>
  <si>
    <t>8715839050660</t>
  </si>
  <si>
    <t>47.11.23.00</t>
  </si>
  <si>
    <t>BERG Beachball (5x)</t>
  </si>
  <si>
    <t>8715839054699</t>
  </si>
  <si>
    <t>47.11.24.00</t>
  </si>
  <si>
    <t>BERG Lolly 200x</t>
  </si>
  <si>
    <t>8715839054705</t>
  </si>
  <si>
    <t>47.11.25.00</t>
  </si>
  <si>
    <t>BERG Liniaal</t>
  </si>
  <si>
    <t>8715839021561</t>
  </si>
  <si>
    <t>47.11.32.00</t>
  </si>
  <si>
    <t>Keycord 2008</t>
  </si>
  <si>
    <t>8715839021684</t>
  </si>
  <si>
    <t>47.11.33.00</t>
  </si>
  <si>
    <t>Sleutelhanger 2008</t>
  </si>
  <si>
    <t>8715839022469</t>
  </si>
  <si>
    <t>47.11.34.00</t>
  </si>
  <si>
    <t>Ferrari button 2008</t>
  </si>
  <si>
    <t>8715839023800</t>
  </si>
  <si>
    <t>47.11.35.00</t>
  </si>
  <si>
    <t>Jubileum keycord</t>
  </si>
  <si>
    <t>8715839023855</t>
  </si>
  <si>
    <t>47.11.36.00</t>
  </si>
  <si>
    <t>BERG Voetbal</t>
  </si>
  <si>
    <t>8715839023985</t>
  </si>
  <si>
    <t>47.11.37.00</t>
  </si>
  <si>
    <t>Voetbalpomp</t>
  </si>
  <si>
    <t>8715839026344</t>
  </si>
  <si>
    <t>47.11.38.00</t>
  </si>
  <si>
    <t>BERG Strandbal</t>
  </si>
  <si>
    <t>8715839026351</t>
  </si>
  <si>
    <t>47.11.39.00</t>
  </si>
  <si>
    <t>BERG Vlieger</t>
  </si>
  <si>
    <t>8715839021653</t>
  </si>
  <si>
    <t>47.11.41.00</t>
  </si>
  <si>
    <t>Ballon 2008 (500 stuks)</t>
  </si>
  <si>
    <t>8715839023954</t>
  </si>
  <si>
    <t>47.11.42.00</t>
  </si>
  <si>
    <t>Ballon (20st)</t>
  </si>
  <si>
    <t>8715839023961</t>
  </si>
  <si>
    <t>47.11.43.00</t>
  </si>
  <si>
    <t>BERG Kleurplaat meisjes</t>
  </si>
  <si>
    <t>47.11.44.00</t>
  </si>
  <si>
    <t>BERG Kleurplaat jongens</t>
  </si>
  <si>
    <t>8715839031867</t>
  </si>
  <si>
    <t>47.11.45.00</t>
  </si>
  <si>
    <t>BERG Rijbewijs</t>
  </si>
  <si>
    <t>8715839031874</t>
  </si>
  <si>
    <t>47.11.46.00</t>
  </si>
  <si>
    <t>BERG pen zilver</t>
  </si>
  <si>
    <t>8715839031881</t>
  </si>
  <si>
    <t>47.11.47.00</t>
  </si>
  <si>
    <t>BERG Parasol</t>
  </si>
  <si>
    <t>8715839031898</t>
  </si>
  <si>
    <t>47.11.48.00</t>
  </si>
  <si>
    <t>Beach flag Rental point</t>
  </si>
  <si>
    <t>8715839041453</t>
  </si>
  <si>
    <t>47.11.49.00</t>
  </si>
  <si>
    <t>2012 sleutelhanger</t>
  </si>
  <si>
    <t>8715839042825</t>
  </si>
  <si>
    <t>47.11.51.00</t>
  </si>
  <si>
    <t>Lolly</t>
  </si>
  <si>
    <t>8715839046762</t>
  </si>
  <si>
    <t>47.11.52.00</t>
  </si>
  <si>
    <t>BERG Pen Silver</t>
  </si>
  <si>
    <t>8715839047462</t>
  </si>
  <si>
    <t>47.11.53.00</t>
  </si>
  <si>
    <t>BERG Sunglasses (12x</t>
  </si>
  <si>
    <t>8715839049909</t>
  </si>
  <si>
    <t>47.11.54.00</t>
  </si>
  <si>
    <t>BERG Canvas Frame</t>
  </si>
  <si>
    <t>8715839057317</t>
  </si>
  <si>
    <t>47.11.55.00</t>
  </si>
  <si>
    <t>BERG 2015 Canvas + frame</t>
  </si>
  <si>
    <t>8715839057805</t>
  </si>
  <si>
    <t>47.11.56.00</t>
  </si>
  <si>
    <t>2015 Drivers licence a 50 pieces</t>
  </si>
  <si>
    <t>8715839031904</t>
  </si>
  <si>
    <t>47.11.61.00</t>
  </si>
  <si>
    <t>keycord rood</t>
  </si>
  <si>
    <t>8715839021608</t>
  </si>
  <si>
    <t>47.11.71.00</t>
  </si>
  <si>
    <t>Vlag met BERG logo</t>
  </si>
  <si>
    <t>8715839023299</t>
  </si>
  <si>
    <t>47.11.72.00</t>
  </si>
  <si>
    <t>Beach Flag</t>
  </si>
  <si>
    <t>8715839031911</t>
  </si>
  <si>
    <t>47.11.73.00</t>
  </si>
  <si>
    <t>Beachflag</t>
  </si>
  <si>
    <t>8715839031928</t>
  </si>
  <si>
    <t>47.11.74.00</t>
  </si>
  <si>
    <t>PVC Spandoek (100x70 cm)</t>
  </si>
  <si>
    <t>8715839031935</t>
  </si>
  <si>
    <t>47.11.75.00</t>
  </si>
  <si>
    <t>PVC Spandoek (200x135 cm)</t>
  </si>
  <si>
    <t>8715839031942</t>
  </si>
  <si>
    <t>47.11.76.00</t>
  </si>
  <si>
    <t>BERG logo bord</t>
  </si>
  <si>
    <t>8715839031959</t>
  </si>
  <si>
    <t>47.11.77.00</t>
  </si>
  <si>
    <t>Gepersonaliseerd BERG bord</t>
  </si>
  <si>
    <t>8715839031966</t>
  </si>
  <si>
    <t>47.11.78.00</t>
  </si>
  <si>
    <t>LCD scherm 7 inch</t>
  </si>
  <si>
    <t>8715839041996</t>
  </si>
  <si>
    <t>47.11.79.00</t>
  </si>
  <si>
    <t>BERG Toys Notitieboekje</t>
  </si>
  <si>
    <t>8715839053807</t>
  </si>
  <si>
    <t>47.11.81.00</t>
  </si>
  <si>
    <t>BERG stroopwafels in blik</t>
  </si>
  <si>
    <t>8715839058321</t>
  </si>
  <si>
    <t>47.11.82.00</t>
  </si>
  <si>
    <t>BERG Selfiestick</t>
  </si>
  <si>
    <t>8715839058499</t>
  </si>
  <si>
    <t>47.11.83.00</t>
  </si>
  <si>
    <t>2016 Keyring BERG X-Cross 25x</t>
  </si>
  <si>
    <t>8715839058505</t>
  </si>
  <si>
    <t>47.11.84.00</t>
  </si>
  <si>
    <t>2016 BERG Beachballs 1x</t>
  </si>
  <si>
    <t>8715839058512</t>
  </si>
  <si>
    <t>47.11.85.00</t>
  </si>
  <si>
    <t>2016 BERG Pencils 48x</t>
  </si>
  <si>
    <t>8715839058529</t>
  </si>
  <si>
    <t>47.11.86.00</t>
  </si>
  <si>
    <t>2016 BERG Bottles 75x</t>
  </si>
  <si>
    <t>8715839058536</t>
  </si>
  <si>
    <t>47.11.87.00</t>
  </si>
  <si>
    <t>2016 BERG notebook</t>
  </si>
  <si>
    <t>8715839058543</t>
  </si>
  <si>
    <t>47.11.88.00</t>
  </si>
  <si>
    <t>2016 Ballonstokjes 1000x</t>
  </si>
  <si>
    <t>8715839059014</t>
  </si>
  <si>
    <t>47.11.89.00</t>
  </si>
  <si>
    <t>BERG Selfiestick - EN</t>
  </si>
  <si>
    <t>8715839059021</t>
  </si>
  <si>
    <t>47.11.90.00</t>
  </si>
  <si>
    <t>BERG Selfiestick - FR</t>
  </si>
  <si>
    <t>8715839059038</t>
  </si>
  <si>
    <t>47.11.91.00</t>
  </si>
  <si>
    <t>BERG Selfiestick - DE</t>
  </si>
  <si>
    <t>8715839059045</t>
  </si>
  <si>
    <t>47.11.92.00</t>
  </si>
  <si>
    <t>BERG Selfiestick - NL</t>
  </si>
  <si>
    <t>8715839059052</t>
  </si>
  <si>
    <t>47.11.93.00</t>
  </si>
  <si>
    <t>2016 BERG Powerbank</t>
  </si>
  <si>
    <t>8715839059519</t>
  </si>
  <si>
    <t>47.11.94.00</t>
  </si>
  <si>
    <t>2016 BERG Canvas (without frame)</t>
  </si>
  <si>
    <t>8715839059526</t>
  </si>
  <si>
    <t>47.11.95.00</t>
  </si>
  <si>
    <t>2016 Pop-up display BERG</t>
  </si>
  <si>
    <t>8715839059540</t>
  </si>
  <si>
    <t>47.11.96.00</t>
  </si>
  <si>
    <t>2016 BERG Baniervlag Pedal Go-kart (100x300 cm)</t>
  </si>
  <si>
    <t>8715839059557</t>
  </si>
  <si>
    <t>47.11.97.00</t>
  </si>
  <si>
    <t>2016 BERG Baniervlag Trampoline (100x300 cm)</t>
  </si>
  <si>
    <t>8715839059564</t>
  </si>
  <si>
    <t>47.11.98.00</t>
  </si>
  <si>
    <t>2016 BERG Beach flag Pedal Go-kart</t>
  </si>
  <si>
    <t>8715839059571</t>
  </si>
  <si>
    <t>47.11.99.00</t>
  </si>
  <si>
    <t>2016 BERG Beach flag Trampoline</t>
  </si>
  <si>
    <t>8715839021646</t>
  </si>
  <si>
    <t>47.12.03.00</t>
  </si>
  <si>
    <t>BERG Cap</t>
  </si>
  <si>
    <t>8715839054682</t>
  </si>
  <si>
    <t>47.12.04.00</t>
  </si>
  <si>
    <t>Cap geborduurd 2008 20x</t>
  </si>
  <si>
    <t>8715839021714</t>
  </si>
  <si>
    <t>47.12.60.00</t>
  </si>
  <si>
    <t>T-shirt 140 (2008)</t>
  </si>
  <si>
    <t>8715839021721</t>
  </si>
  <si>
    <t>47.12.62.00</t>
  </si>
  <si>
    <t>T-shirt 152 (2008)</t>
  </si>
  <si>
    <t>8715839021738</t>
  </si>
  <si>
    <t>47.12.64.00</t>
  </si>
  <si>
    <t>T-shirt 164 (2008)</t>
  </si>
  <si>
    <t>8715839059588</t>
  </si>
  <si>
    <t>47.13.00.00</t>
  </si>
  <si>
    <t>2016 BERG Polo Woman – Size S</t>
  </si>
  <si>
    <t>8715839059601</t>
  </si>
  <si>
    <t>47.13.01.00</t>
  </si>
  <si>
    <t>2016 BERG Polo Woman – Size M</t>
  </si>
  <si>
    <t>8715839059618</t>
  </si>
  <si>
    <t>47.13.02.00</t>
  </si>
  <si>
    <t>2016 BERG Polo Woman – Size L</t>
  </si>
  <si>
    <t>8715839059625</t>
  </si>
  <si>
    <t>47.13.10.00</t>
  </si>
  <si>
    <t>2016 BERG Polo Man – Size S</t>
  </si>
  <si>
    <t>8715839059632</t>
  </si>
  <si>
    <t>47.13.11.00</t>
  </si>
  <si>
    <t>2016 BERG Polo Man – Size M</t>
  </si>
  <si>
    <t>8715839059649</t>
  </si>
  <si>
    <t>47.13.12.00</t>
  </si>
  <si>
    <t>2016 BERG Polo Man – Size L</t>
  </si>
  <si>
    <t>8715839021745</t>
  </si>
  <si>
    <t>47.13.70.00</t>
  </si>
  <si>
    <t>BERG Polo shirt S</t>
  </si>
  <si>
    <t>8715839021752</t>
  </si>
  <si>
    <t>47.13.72.00</t>
  </si>
  <si>
    <t>BERG Polo shirt M</t>
  </si>
  <si>
    <t>8715839021769</t>
  </si>
  <si>
    <t>47.13.74.00</t>
  </si>
  <si>
    <t>BERG Polo shirt L</t>
  </si>
  <si>
    <t>8715839021776</t>
  </si>
  <si>
    <t>47.13.76.00</t>
  </si>
  <si>
    <t>BERG Polo shirt XL</t>
  </si>
  <si>
    <t>8715839021783</t>
  </si>
  <si>
    <t>47.13.78.00</t>
  </si>
  <si>
    <t>BERG Polo shirt XXL</t>
  </si>
  <si>
    <t>8715839059755</t>
  </si>
  <si>
    <t>47.14.01.00</t>
  </si>
  <si>
    <t>2016 BERG Softshell Jack Woman – Size S</t>
  </si>
  <si>
    <t>8715839059762</t>
  </si>
  <si>
    <t>47.14.02.00</t>
  </si>
  <si>
    <t>2016 BERG Softshell Jack Woman – Size M</t>
  </si>
  <si>
    <t>8715839059779</t>
  </si>
  <si>
    <t>47.14.03.00</t>
  </si>
  <si>
    <t>2016 BERG Softshell Jack Woman – Size L</t>
  </si>
  <si>
    <t>8715839059786</t>
  </si>
  <si>
    <t>47.14.04.00</t>
  </si>
  <si>
    <t>2016 BERG Softshell Jack Woman – Size XL</t>
  </si>
  <si>
    <t>8715839059793</t>
  </si>
  <si>
    <t>47.14.11.00</t>
  </si>
  <si>
    <t>2016 BERG Softshell Jack Man – Size S</t>
  </si>
  <si>
    <t>8715839059809</t>
  </si>
  <si>
    <t>47.14.12.00</t>
  </si>
  <si>
    <t>2016 BERG Softshell Jack Man – Size L</t>
  </si>
  <si>
    <t>8715839059816</t>
  </si>
  <si>
    <t>47.14.13.00</t>
  </si>
  <si>
    <t>8715839059823</t>
  </si>
  <si>
    <t>47.14.14.00</t>
  </si>
  <si>
    <t>2016 BERG Softshell Jack Man – Size XL</t>
  </si>
  <si>
    <t>8715839059830</t>
  </si>
  <si>
    <t>47.14.21.00</t>
  </si>
  <si>
    <t>2016 BERG Softshell Jack Child – Size S</t>
  </si>
  <si>
    <t>8715839059847</t>
  </si>
  <si>
    <t>47.14.22.00</t>
  </si>
  <si>
    <t>2016 BERG Softshell Jack Child – Size M</t>
  </si>
  <si>
    <t>8715839059953</t>
  </si>
  <si>
    <t>47.15.00.00</t>
  </si>
  <si>
    <t>BERG Football Orange</t>
  </si>
  <si>
    <t>8715839060041</t>
  </si>
  <si>
    <t>47.15.01.00</t>
  </si>
  <si>
    <t>2016 Christmas gift NL</t>
  </si>
  <si>
    <t>8715839060058</t>
  </si>
  <si>
    <t>47.15.02.00</t>
  </si>
  <si>
    <t>2016 Christmas gift EN</t>
  </si>
  <si>
    <t>8715839060065</t>
  </si>
  <si>
    <t>47.15.03.00</t>
  </si>
  <si>
    <t>2016 Christmas gift DE</t>
  </si>
  <si>
    <t>8715839060072</t>
  </si>
  <si>
    <t>47.15.04.00</t>
  </si>
  <si>
    <t>2016 Christmas gift FR</t>
  </si>
  <si>
    <t>8715839060164</t>
  </si>
  <si>
    <t>47.15.05.00</t>
  </si>
  <si>
    <t>2016 Cap Snapback (20x</t>
  </si>
  <si>
    <t>8715839060881</t>
  </si>
  <si>
    <t>47.15.06.00</t>
  </si>
  <si>
    <t>BERG Speaker</t>
  </si>
  <si>
    <t>8715839061291</t>
  </si>
  <si>
    <t>47.15.07.00</t>
  </si>
  <si>
    <t>2017 Desk calender</t>
  </si>
  <si>
    <t>8715839061307</t>
  </si>
  <si>
    <t>47.15.08.00</t>
  </si>
  <si>
    <t>2017 Wall calender</t>
  </si>
  <si>
    <t>8715839061314</t>
  </si>
  <si>
    <t>47.15.09.00</t>
  </si>
  <si>
    <t>2016 BERG Canvas USA</t>
  </si>
  <si>
    <t>8715839061321</t>
  </si>
  <si>
    <t>47.15.10.00</t>
  </si>
  <si>
    <t>Pop-up display BERG USA</t>
  </si>
  <si>
    <t>8715839061352</t>
  </si>
  <si>
    <t>47.15.11.00</t>
  </si>
  <si>
    <t>2017 BERG Lunch box</t>
  </si>
  <si>
    <t>8715839061369</t>
  </si>
  <si>
    <t>47.15.12.00</t>
  </si>
  <si>
    <t>2017 BERG Balloons (20x)</t>
  </si>
  <si>
    <t>8715839061376</t>
  </si>
  <si>
    <t>47.15.13.00</t>
  </si>
  <si>
    <t>2017 BERG Puzzle</t>
  </si>
  <si>
    <t>8715839061383</t>
  </si>
  <si>
    <t>47.15.14.00</t>
  </si>
  <si>
    <t>2017 BERG Pen</t>
  </si>
  <si>
    <t>8715839061390</t>
  </si>
  <si>
    <t>47.15.15.00</t>
  </si>
  <si>
    <t>2017 BERG Keycord</t>
  </si>
  <si>
    <t>8715839061406</t>
  </si>
  <si>
    <t>47.15.16.00</t>
  </si>
  <si>
    <t>2017 BERG Frisbee</t>
  </si>
  <si>
    <t>8715839061413</t>
  </si>
  <si>
    <t>47.15.17.00</t>
  </si>
  <si>
    <t>2017 BERG Keyring Bloom</t>
  </si>
  <si>
    <t>8715839061420</t>
  </si>
  <si>
    <t>47.15.18.00</t>
  </si>
  <si>
    <t>2017 BERG Keyring Nitro</t>
  </si>
  <si>
    <t>8715839061437</t>
  </si>
  <si>
    <t>47.15.19.00</t>
  </si>
  <si>
    <t>2017 BERG USB 8GB</t>
  </si>
  <si>
    <t>8715839061581</t>
  </si>
  <si>
    <t>47.15.20.00</t>
  </si>
  <si>
    <t>2017 Beach flag Trampoline</t>
  </si>
  <si>
    <t>8715839061598</t>
  </si>
  <si>
    <t>47.15.21.00</t>
  </si>
  <si>
    <t>2017 Beach flag Pedal Go-kart</t>
  </si>
  <si>
    <t>8715839061604</t>
  </si>
  <si>
    <t>47.15.22.00</t>
  </si>
  <si>
    <t>2017 BERG Banner flag Trampoline (100x300 cm)</t>
  </si>
  <si>
    <t>8715839061611</t>
  </si>
  <si>
    <t>47.15.23.00</t>
  </si>
  <si>
    <t>2017 BERG Banner flag Pedal Go-kart (100x300 cm)</t>
  </si>
  <si>
    <t>8715839061628</t>
  </si>
  <si>
    <t>47.15.24.00</t>
  </si>
  <si>
    <t>2017 Window sticker (20x20 cm)</t>
  </si>
  <si>
    <t>8715839061635</t>
  </si>
  <si>
    <t>47.15.25.00</t>
  </si>
  <si>
    <t>2017 Window sticker (40x40 cm)</t>
  </si>
  <si>
    <t>8715839061956</t>
  </si>
  <si>
    <t>47.15.26.00</t>
  </si>
  <si>
    <t>2017 BERG Canvas Buzzy (without frame)</t>
  </si>
  <si>
    <t>8715839062489</t>
  </si>
  <si>
    <t>47.15.27.00</t>
  </si>
  <si>
    <t>BERG Buzzy Display sticker</t>
  </si>
  <si>
    <t>8715839062502</t>
  </si>
  <si>
    <t>47.15.28.00</t>
  </si>
  <si>
    <t>BERG Cap Red (20x)</t>
  </si>
  <si>
    <t>8715839064193</t>
  </si>
  <si>
    <t>47.15.29.00</t>
  </si>
  <si>
    <t>2017 BERG Watch NL</t>
  </si>
  <si>
    <t>8715839064209</t>
  </si>
  <si>
    <t>47.15.30.00</t>
  </si>
  <si>
    <t>2017 BERG Watch EN</t>
  </si>
  <si>
    <t>8715839064216</t>
  </si>
  <si>
    <t>47.15.31.00</t>
  </si>
  <si>
    <t>2017 BERG Watch DE</t>
  </si>
  <si>
    <t>8715839064223</t>
  </si>
  <si>
    <t>47.15.32.00</t>
  </si>
  <si>
    <t>2017 BERG Watch FR</t>
  </si>
  <si>
    <t>8715839061857</t>
  </si>
  <si>
    <t>47.17.00.00</t>
  </si>
  <si>
    <t>2017 Poster BERG Buzzy Bloom</t>
  </si>
  <si>
    <t>8715839061864</t>
  </si>
  <si>
    <t>47.17.01.00</t>
  </si>
  <si>
    <t>2017 Poster BERG Buzzy John Deere</t>
  </si>
  <si>
    <t>8715839061871</t>
  </si>
  <si>
    <t>47.17.02.00</t>
  </si>
  <si>
    <t>2017 Poster BERG Buzzy Nitro</t>
  </si>
  <si>
    <t>8715839061888</t>
  </si>
  <si>
    <t>47.17.03.00</t>
  </si>
  <si>
    <t>2017 Poster BERG Buzzy Racing</t>
  </si>
  <si>
    <t>8715839061895</t>
  </si>
  <si>
    <t>47.17.04.00</t>
  </si>
  <si>
    <t>2017 Poster BERG Buzzy Yellow</t>
  </si>
  <si>
    <t>8715839061901</t>
  </si>
  <si>
    <t>47.17.05.00</t>
  </si>
  <si>
    <t>2017 Poster BERG Street-X</t>
  </si>
  <si>
    <t>8715839061918</t>
  </si>
  <si>
    <t>47.17.06.00</t>
  </si>
  <si>
    <t>2017 Poster BERG Champion</t>
  </si>
  <si>
    <t>8715839061925</t>
  </si>
  <si>
    <t>47.17.07.00</t>
  </si>
  <si>
    <t>2017 Poster BERG InGround EazyFit</t>
  </si>
  <si>
    <t>8715839021691</t>
  </si>
  <si>
    <t>47.19.20.00</t>
  </si>
  <si>
    <t>BERG Rugzak</t>
  </si>
  <si>
    <t>8715839044720</t>
  </si>
  <si>
    <t>47.19.20.01</t>
  </si>
  <si>
    <t>Rugzak</t>
  </si>
  <si>
    <t>8715839050424</t>
  </si>
  <si>
    <t>47.19.21.00</t>
  </si>
  <si>
    <t>BERG Goody bag</t>
  </si>
  <si>
    <t>8715839062014</t>
  </si>
  <si>
    <t>47.19.21.01</t>
  </si>
  <si>
    <t>2017 BERG Goodiebag</t>
  </si>
  <si>
    <t>8715839031973</t>
  </si>
  <si>
    <t>47.30.10.00</t>
  </si>
  <si>
    <t>Cranktrekker</t>
  </si>
  <si>
    <t>8715839031980</t>
  </si>
  <si>
    <t>47.30.11.00</t>
  </si>
  <si>
    <t>Kettingpons</t>
  </si>
  <si>
    <t>8715839015881</t>
  </si>
  <si>
    <t>47.30.30.00</t>
  </si>
  <si>
    <t>BERG Smeermiddel (niet voor AF</t>
  </si>
  <si>
    <t>8715839018950</t>
  </si>
  <si>
    <t>47.30.91.00</t>
  </si>
  <si>
    <t>Display trampoline 2005</t>
  </si>
  <si>
    <t>8715839022933</t>
  </si>
  <si>
    <t>47.30.92.00</t>
  </si>
  <si>
    <t>JumpingStyles demo kit</t>
  </si>
  <si>
    <t>8715839031997</t>
  </si>
  <si>
    <t>47.30.92.01</t>
  </si>
  <si>
    <t>Jump.St. kit, posters + banner</t>
  </si>
  <si>
    <t>8715839032000</t>
  </si>
  <si>
    <t>47.30.92.02</t>
  </si>
  <si>
    <t>Jump.St. kit, paddings + foam</t>
  </si>
  <si>
    <t>8715839021790</t>
  </si>
  <si>
    <t>47.35.00.00</t>
  </si>
  <si>
    <t>Weerstation</t>
  </si>
  <si>
    <t>8715839023305</t>
  </si>
  <si>
    <t>47.50.00.00</t>
  </si>
  <si>
    <t>Stand-up carton Freestyler</t>
  </si>
  <si>
    <t>8715839023398</t>
  </si>
  <si>
    <t>47.62.00.00</t>
  </si>
  <si>
    <t>Stand-up carton Ferrari F1</t>
  </si>
  <si>
    <t>8715839032017</t>
  </si>
  <si>
    <t>47.64.00.01</t>
  </si>
  <si>
    <t>Fotolijstje voor display Moov</t>
  </si>
  <si>
    <t>8715839021585</t>
  </si>
  <si>
    <t>47.64.01.00</t>
  </si>
  <si>
    <t>Display MOOV</t>
  </si>
  <si>
    <t>8715839023183</t>
  </si>
  <si>
    <t>47.64.10.00</t>
  </si>
  <si>
    <t>Moov POS kit NL 2009</t>
  </si>
  <si>
    <t>8715839023190</t>
  </si>
  <si>
    <t>47.64.11.00</t>
  </si>
  <si>
    <t>Moov POS kit DE 2009</t>
  </si>
  <si>
    <t>8715839023206</t>
  </si>
  <si>
    <t>47.64.12.00</t>
  </si>
  <si>
    <t>Moov POS kit UK 2009</t>
  </si>
  <si>
    <t>8715839023213</t>
  </si>
  <si>
    <t>47.64.14.00</t>
  </si>
  <si>
    <t>Moov POS kit FR 2009</t>
  </si>
  <si>
    <t>8715839017274</t>
  </si>
  <si>
    <t>47.73.00.00</t>
  </si>
  <si>
    <t>Tractor Claas Atles 936RZ 1:16</t>
  </si>
  <si>
    <t>8715839014419</t>
  </si>
  <si>
    <t>47.73.20.00</t>
  </si>
  <si>
    <t>Tractor John Deere 1:16</t>
  </si>
  <si>
    <t>8715839020236</t>
  </si>
  <si>
    <t>47.73.30.00</t>
  </si>
  <si>
    <t>Tractor Fendt 936 Vario 1:16</t>
  </si>
  <si>
    <t>8715839032024</t>
  </si>
  <si>
    <t>47.99.00.00</t>
  </si>
  <si>
    <t>Skelterbaan + blazer</t>
  </si>
  <si>
    <t>8715839017175</t>
  </si>
  <si>
    <t>47.99.99.00</t>
  </si>
  <si>
    <t>Skelterbaan reparatieset</t>
  </si>
  <si>
    <t>8715839032031</t>
  </si>
  <si>
    <t>49.00.00.00</t>
  </si>
  <si>
    <t>Speciaal voor u gerepareerd:</t>
  </si>
  <si>
    <t>8715839041569</t>
  </si>
  <si>
    <t>49.01.05.00</t>
  </si>
  <si>
    <t>2012 Cross Promotion Flyer</t>
  </si>
  <si>
    <t>8715839046854</t>
  </si>
  <si>
    <t>49.01.05.03</t>
  </si>
  <si>
    <t>Cross promo assem Big RO</t>
  </si>
  <si>
    <t>8715839041712</t>
  </si>
  <si>
    <t>49.01.50.00</t>
  </si>
  <si>
    <t>Skelterbaan + blazer MarCom</t>
  </si>
  <si>
    <t>8715839032048</t>
  </si>
  <si>
    <t>49.02.60.00</t>
  </si>
  <si>
    <t>BalanzBike Packet A</t>
  </si>
  <si>
    <t>8715839032055</t>
  </si>
  <si>
    <t>49.02.61.00</t>
  </si>
  <si>
    <t>BalanzBike Packet B</t>
  </si>
  <si>
    <t>8715839032062</t>
  </si>
  <si>
    <t>49.02.62.00</t>
  </si>
  <si>
    <t>BalanzBike Packet C</t>
  </si>
  <si>
    <t>8715839032079</t>
  </si>
  <si>
    <t>49.02.63.00</t>
  </si>
  <si>
    <t>BalanzBike Packet D</t>
  </si>
  <si>
    <t>8715839032086</t>
  </si>
  <si>
    <t>49.02.65.00</t>
  </si>
  <si>
    <t>BalanzBike Packet E</t>
  </si>
  <si>
    <t>8715839032093</t>
  </si>
  <si>
    <t>49.02.66.00</t>
  </si>
  <si>
    <t>Freestyler Packet A</t>
  </si>
  <si>
    <t>8715839032109</t>
  </si>
  <si>
    <t>49.02.80.00</t>
  </si>
  <si>
    <t>BalanzBike Track A</t>
  </si>
  <si>
    <t>8715839032116</t>
  </si>
  <si>
    <t>49.02.81.00</t>
  </si>
  <si>
    <t>BalanzBike Track B</t>
  </si>
  <si>
    <t>8715839041729</t>
  </si>
  <si>
    <t>49.02.82.00</t>
  </si>
  <si>
    <t>BalanzBike Track C</t>
  </si>
  <si>
    <t>8715839032123</t>
  </si>
  <si>
    <t>49.02.83.00</t>
  </si>
  <si>
    <t>BalanzBike Track D</t>
  </si>
  <si>
    <t>8715839032130</t>
  </si>
  <si>
    <t>49.02.84.00</t>
  </si>
  <si>
    <t>BalanzBike Track E</t>
  </si>
  <si>
    <t>8715839032147</t>
  </si>
  <si>
    <t>49.02.85.00</t>
  </si>
  <si>
    <t>BalanzBike baan + Blazer</t>
  </si>
  <si>
    <t>8715839032161</t>
  </si>
  <si>
    <t>49.02.87.00</t>
  </si>
  <si>
    <t>Go-kart Track</t>
  </si>
  <si>
    <t>8715839032178</t>
  </si>
  <si>
    <t>49.02.88.00</t>
  </si>
  <si>
    <t>Blower</t>
  </si>
  <si>
    <t>8715839032185</t>
  </si>
  <si>
    <t>49.02.89.00</t>
  </si>
  <si>
    <t>Freestyler Track A</t>
  </si>
  <si>
    <t>8715839032192</t>
  </si>
  <si>
    <t>49.03.10.00</t>
  </si>
  <si>
    <t>Skelterbaan + blazer A</t>
  </si>
  <si>
    <t>8715839032208</t>
  </si>
  <si>
    <t>49.03.11.00</t>
  </si>
  <si>
    <t>Skelterbaan + blazer B</t>
  </si>
  <si>
    <t>8715839032215</t>
  </si>
  <si>
    <t>49.03.12.00</t>
  </si>
  <si>
    <t>Skelterbaan + blazer C</t>
  </si>
  <si>
    <t>8715839032222</t>
  </si>
  <si>
    <t>49.03.13.00</t>
  </si>
  <si>
    <t>Skelterbaan + blazer D</t>
  </si>
  <si>
    <t>8715839032239</t>
  </si>
  <si>
    <t>49.03.14.00</t>
  </si>
  <si>
    <t>Skelterbaan + blazer E</t>
  </si>
  <si>
    <t>8715839032246</t>
  </si>
  <si>
    <t>49.03.16.00</t>
  </si>
  <si>
    <t>Skelterbaan + blazer G</t>
  </si>
  <si>
    <t>8715839032253</t>
  </si>
  <si>
    <t>49.03.18.00</t>
  </si>
  <si>
    <t>Go-Kart Track I</t>
  </si>
  <si>
    <t>8715839032260</t>
  </si>
  <si>
    <t>49.03.20.00</t>
  </si>
  <si>
    <t>Go-Kart Track K</t>
  </si>
  <si>
    <t>8715839032277</t>
  </si>
  <si>
    <t>49.03.21.00</t>
  </si>
  <si>
    <t>Go-Kart Track L</t>
  </si>
  <si>
    <t>8715839032284</t>
  </si>
  <si>
    <t>49.03.22.00</t>
  </si>
  <si>
    <t>Go-Kart Track M</t>
  </si>
  <si>
    <t>8715839032291</t>
  </si>
  <si>
    <t>49.03.23.00</t>
  </si>
  <si>
    <t>Go-Kart Track N</t>
  </si>
  <si>
    <t>8715839032307</t>
  </si>
  <si>
    <t>49.03.24.00</t>
  </si>
  <si>
    <t>Go-Kart Track O</t>
  </si>
  <si>
    <t>8715839032314</t>
  </si>
  <si>
    <t>49.03.26.00</t>
  </si>
  <si>
    <t>Go-Kart Track Q</t>
  </si>
  <si>
    <t>8715839032321</t>
  </si>
  <si>
    <t>49.03.27.00</t>
  </si>
  <si>
    <t>Go-Kart Track R</t>
  </si>
  <si>
    <t>8715839032338</t>
  </si>
  <si>
    <t>49.03.28.00</t>
  </si>
  <si>
    <t>Go-Kart Track S</t>
  </si>
  <si>
    <t>8715839032345</t>
  </si>
  <si>
    <t>49.03.29.00</t>
  </si>
  <si>
    <t>Go-Kart Track Ireland</t>
  </si>
  <si>
    <t>8715839032352</t>
  </si>
  <si>
    <t>49.03.31.00</t>
  </si>
  <si>
    <t>Go-Kart Track V</t>
  </si>
  <si>
    <t>8715839032369</t>
  </si>
  <si>
    <t>49.03.32.00</t>
  </si>
  <si>
    <t>Go-Kart Track W</t>
  </si>
  <si>
    <t>8715839032376</t>
  </si>
  <si>
    <t>49.03.33.00</t>
  </si>
  <si>
    <t>Go-Kart Track X</t>
  </si>
  <si>
    <t>8715839032383</t>
  </si>
  <si>
    <t>49.03.34.00</t>
  </si>
  <si>
    <t>Go-Kart Track Y</t>
  </si>
  <si>
    <t>8715839032390</t>
  </si>
  <si>
    <t>49.03.35.00</t>
  </si>
  <si>
    <t>Go-Kart Track Z New logo</t>
  </si>
  <si>
    <t>8715839032406</t>
  </si>
  <si>
    <t>49.03.36.00</t>
  </si>
  <si>
    <t>Go-Kart Track AA</t>
  </si>
  <si>
    <t>8715839041309</t>
  </si>
  <si>
    <t>49.03.36.01</t>
  </si>
  <si>
    <t>Go-Kart Track AA Spiel Preis</t>
  </si>
  <si>
    <t>8715839041316</t>
  </si>
  <si>
    <t>49.03.36.02</t>
  </si>
  <si>
    <t>Go-Kart Track AA Agravis Coesf</t>
  </si>
  <si>
    <t>8715839041323</t>
  </si>
  <si>
    <t>49.03.36.03</t>
  </si>
  <si>
    <t>Go-Kart Track AA Huber Emmeran</t>
  </si>
  <si>
    <t>8715839041330</t>
  </si>
  <si>
    <t>49.03.36.04</t>
  </si>
  <si>
    <t>Go-Kart Track AA Geurts</t>
  </si>
  <si>
    <t>8715839041347</t>
  </si>
  <si>
    <t>49.03.36.05</t>
  </si>
  <si>
    <t>Go-Kart Track AA Watzinger</t>
  </si>
  <si>
    <t>8715839041354</t>
  </si>
  <si>
    <t>49.03.36.06</t>
  </si>
  <si>
    <t>Go-Kart Track AA Rennbahn Verl</t>
  </si>
  <si>
    <t>8715839041361</t>
  </si>
  <si>
    <t>49.03.36.07</t>
  </si>
  <si>
    <t>Go-Kart Track AA Paumann</t>
  </si>
  <si>
    <t>8715839041378</t>
  </si>
  <si>
    <t>49.03.36.08</t>
  </si>
  <si>
    <t>Go-Kart Track AA Fa. Falle</t>
  </si>
  <si>
    <t>8715839041385</t>
  </si>
  <si>
    <t>49.03.36.09</t>
  </si>
  <si>
    <t>Go-Kart Track AA Thys Toys</t>
  </si>
  <si>
    <t>8715839041392</t>
  </si>
  <si>
    <t>49.03.36.10</t>
  </si>
  <si>
    <t>Go-Kart Track AA Pfneisl</t>
  </si>
  <si>
    <t>8715839032413</t>
  </si>
  <si>
    <t>49.03.45.00</t>
  </si>
  <si>
    <t>Go-kart Packet U</t>
  </si>
  <si>
    <t>8715839032420</t>
  </si>
  <si>
    <t>49.03.46.00</t>
  </si>
  <si>
    <t>Go-kart Packet Z</t>
  </si>
  <si>
    <t>8715839032437</t>
  </si>
  <si>
    <t>49.03.47.00</t>
  </si>
  <si>
    <t>Go-kart Packet AA</t>
  </si>
  <si>
    <t>8715839032444</t>
  </si>
  <si>
    <t>49.03.48.00</t>
  </si>
  <si>
    <t>Go-kart Packet AB</t>
  </si>
  <si>
    <t>8715839032451</t>
  </si>
  <si>
    <t>49.03.50.00</t>
  </si>
  <si>
    <t>Go-Kart Packet A</t>
  </si>
  <si>
    <t>8715839032468</t>
  </si>
  <si>
    <t>49.03.51.00</t>
  </si>
  <si>
    <t>Go-Kart Packet B</t>
  </si>
  <si>
    <t>8715839032475</t>
  </si>
  <si>
    <t>49.03.52.00</t>
  </si>
  <si>
    <t>Go-Kart Packet C</t>
  </si>
  <si>
    <t>8715839032482</t>
  </si>
  <si>
    <t>49.03.53.00</t>
  </si>
  <si>
    <t>Go-Kart Packet D</t>
  </si>
  <si>
    <t>8715839032499</t>
  </si>
  <si>
    <t>49.03.54.00</t>
  </si>
  <si>
    <t>Go-Kart Packet E</t>
  </si>
  <si>
    <t>8715839041514</t>
  </si>
  <si>
    <t>49.03.55.00</t>
  </si>
  <si>
    <t>Go-Kart Packet F MarCom</t>
  </si>
  <si>
    <t>8715839032505</t>
  </si>
  <si>
    <t>49.03.56.00</t>
  </si>
  <si>
    <t>Go-Kart Packet G</t>
  </si>
  <si>
    <t>8715839032512</t>
  </si>
  <si>
    <t>49.03.57.00</t>
  </si>
  <si>
    <t>Go-Kart Packet H</t>
  </si>
  <si>
    <t>8715839032529</t>
  </si>
  <si>
    <t>49.03.58.00</t>
  </si>
  <si>
    <t>Go-Kart Packet I</t>
  </si>
  <si>
    <t>8715839032536</t>
  </si>
  <si>
    <t>49.03.59.00</t>
  </si>
  <si>
    <t>Go-Kart Packet J</t>
  </si>
  <si>
    <t>8715839032543</t>
  </si>
  <si>
    <t>49.03.60.00</t>
  </si>
  <si>
    <t>Go-Kart Packet K</t>
  </si>
  <si>
    <t>49.03.61.00</t>
  </si>
  <si>
    <t>Gokart pakket MarCom</t>
  </si>
  <si>
    <t>8715839032550</t>
  </si>
  <si>
    <t>49.03.62.00</t>
  </si>
  <si>
    <t>Go-Kart Packet M</t>
  </si>
  <si>
    <t>8715839032567</t>
  </si>
  <si>
    <t>49.03.63.00</t>
  </si>
  <si>
    <t>Go-Kart Packet N</t>
  </si>
  <si>
    <t>8715839032574</t>
  </si>
  <si>
    <t>49.03.64.00</t>
  </si>
  <si>
    <t>Go-Kart Packet X</t>
  </si>
  <si>
    <t>8715839032581</t>
  </si>
  <si>
    <t>49.03.65.00</t>
  </si>
  <si>
    <t>Go-Kart Packet Y</t>
  </si>
  <si>
    <t>8715839032598</t>
  </si>
  <si>
    <t>49.03.66.00</t>
  </si>
  <si>
    <t>Go-Kart Packet V</t>
  </si>
  <si>
    <t>8715839032604</t>
  </si>
  <si>
    <t>49.03.67.00</t>
  </si>
  <si>
    <t>Go-Kart Packet W</t>
  </si>
  <si>
    <t>8715839032611</t>
  </si>
  <si>
    <t>49.03.81.00</t>
  </si>
  <si>
    <t>Go-Kart Pulling B</t>
  </si>
  <si>
    <t>8715839032628</t>
  </si>
  <si>
    <t>49.03.82.00</t>
  </si>
  <si>
    <t>Go-Kart Pulling C</t>
  </si>
  <si>
    <t>8715839032635</t>
  </si>
  <si>
    <t>49.03.83.00</t>
  </si>
  <si>
    <t>Go-Kart Pulling D</t>
  </si>
  <si>
    <t>8715839032642</t>
  </si>
  <si>
    <t>49.03.88.00</t>
  </si>
  <si>
    <t>Trampoline + Safety net G</t>
  </si>
  <si>
    <t>8715839041125</t>
  </si>
  <si>
    <t>49.03.89.00</t>
  </si>
  <si>
    <t>Trampoline Eazy Store</t>
  </si>
  <si>
    <t>8715839032659</t>
  </si>
  <si>
    <t>49.03.90.00</t>
  </si>
  <si>
    <t>Trampoline + Safety net A</t>
  </si>
  <si>
    <t>8715839032666</t>
  </si>
  <si>
    <t>49.03.91.00</t>
  </si>
  <si>
    <t>Trampoline + Safety net B</t>
  </si>
  <si>
    <t>8715839032673</t>
  </si>
  <si>
    <t>49.03.92.00</t>
  </si>
  <si>
    <t>Trampoline + Safety net C</t>
  </si>
  <si>
    <t>8715839032680</t>
  </si>
  <si>
    <t>49.03.93.00</t>
  </si>
  <si>
    <t>Trampoline + Safety net D</t>
  </si>
  <si>
    <t>8715839032697</t>
  </si>
  <si>
    <t>49.03.94.00</t>
  </si>
  <si>
    <t>Trampoline + Safety net E</t>
  </si>
  <si>
    <t>8715839032727</t>
  </si>
  <si>
    <t>49.60.60.00</t>
  </si>
  <si>
    <t>DVD BalanzBike</t>
  </si>
  <si>
    <t>8715839014914</t>
  </si>
  <si>
    <t>49.63.50.00</t>
  </si>
  <si>
    <t>Leisure folder 2007</t>
  </si>
  <si>
    <t>8715839014846</t>
  </si>
  <si>
    <t>49.63.60.00</t>
  </si>
  <si>
    <t>School folder 2007</t>
  </si>
  <si>
    <t>8715839021264</t>
  </si>
  <si>
    <t>49.64.06.00</t>
  </si>
  <si>
    <t>2008 Skelterfolder BE (WA)</t>
  </si>
  <si>
    <t>8715839021288</t>
  </si>
  <si>
    <t>49.64.08.00</t>
  </si>
  <si>
    <t>2008 Skelterfolder Export N</t>
  </si>
  <si>
    <t>8715839021103</t>
  </si>
  <si>
    <t>49.64.35.00</t>
  </si>
  <si>
    <t>2008 Trampolinefolder BE (WA)</t>
  </si>
  <si>
    <t>8715839021141</t>
  </si>
  <si>
    <t>49.64.40.00</t>
  </si>
  <si>
    <t>Trampoline DVD</t>
  </si>
  <si>
    <t>8715839010879</t>
  </si>
  <si>
    <t>49.64.41.00</t>
  </si>
  <si>
    <t>Trampolinefolder Elfje NL 2008</t>
  </si>
  <si>
    <t>8715839021592</t>
  </si>
  <si>
    <t>49.64.60.00</t>
  </si>
  <si>
    <t>2008 Corporate productflyer</t>
  </si>
  <si>
    <t>8715839021349</t>
  </si>
  <si>
    <t>49.64.80.00</t>
  </si>
  <si>
    <t>2008 Folder MOOV NL</t>
  </si>
  <si>
    <t>8715839010886</t>
  </si>
  <si>
    <t>49.64.81.00</t>
  </si>
  <si>
    <t>2008 Folder DE</t>
  </si>
  <si>
    <t>8715839021806</t>
  </si>
  <si>
    <t>49.64.83.00</t>
  </si>
  <si>
    <t>2008 MOOV Display DVD</t>
  </si>
  <si>
    <t>8715839021332</t>
  </si>
  <si>
    <t>49.64.90.00</t>
  </si>
  <si>
    <t>2008 Mini-Brochure Ferrari FXX</t>
  </si>
  <si>
    <t>8715839022599</t>
  </si>
  <si>
    <t>49.65.00.00</t>
  </si>
  <si>
    <t>Skelter folder NL 2009</t>
  </si>
  <si>
    <t>8715839022957</t>
  </si>
  <si>
    <t>49.65.00.10</t>
  </si>
  <si>
    <t>Prijslijst skelters NL 2009</t>
  </si>
  <si>
    <t>8715839022605</t>
  </si>
  <si>
    <t>49.65.01.00</t>
  </si>
  <si>
    <t>Skelter folder DE 2009</t>
  </si>
  <si>
    <t>8715839022964</t>
  </si>
  <si>
    <t>49.65.01.10</t>
  </si>
  <si>
    <t>Prijslijst skelters DU 2009</t>
  </si>
  <si>
    <t>8715839022612</t>
  </si>
  <si>
    <t>49.65.02.00</t>
  </si>
  <si>
    <t>Skelter folder UK 2009</t>
  </si>
  <si>
    <t>8715839022971</t>
  </si>
  <si>
    <t>49.65.02.10</t>
  </si>
  <si>
    <t>Prijslijst skelters UK 2009</t>
  </si>
  <si>
    <t>8715839022629</t>
  </si>
  <si>
    <t>49.65.03.00</t>
  </si>
  <si>
    <t>Skelter folder IRE 2009</t>
  </si>
  <si>
    <t>8715839022636</t>
  </si>
  <si>
    <t>49.65.04.00</t>
  </si>
  <si>
    <t>Skelter folder FR 2009</t>
  </si>
  <si>
    <t>8715839022988</t>
  </si>
  <si>
    <t>49.65.04.10</t>
  </si>
  <si>
    <t>Prijslijst skelters FR 2009</t>
  </si>
  <si>
    <t>8715839022995</t>
  </si>
  <si>
    <t>49.65.07.10</t>
  </si>
  <si>
    <t>Prijslijst skelters CH 2009</t>
  </si>
  <si>
    <t>8715839022643</t>
  </si>
  <si>
    <t>49.65.08.00</t>
  </si>
  <si>
    <t>Skelter folder EXPORT N- 2009</t>
  </si>
  <si>
    <t>8715839022650</t>
  </si>
  <si>
    <t>49.65.11.00</t>
  </si>
  <si>
    <t>Skelter folder EXPORT S- 2009</t>
  </si>
  <si>
    <t>8715839022667</t>
  </si>
  <si>
    <t>49.65.14.00</t>
  </si>
  <si>
    <t>Skelter folder EXPORT E- 2009</t>
  </si>
  <si>
    <t>8715839022674</t>
  </si>
  <si>
    <t>49.65.20.00</t>
  </si>
  <si>
    <t>Trampolines folder NL-2009</t>
  </si>
  <si>
    <t>8715839023008</t>
  </si>
  <si>
    <t>49.65.20.10</t>
  </si>
  <si>
    <t>Prijslijst Trampolines NL 2009</t>
  </si>
  <si>
    <t>8715839022681</t>
  </si>
  <si>
    <t>49.65.21.00</t>
  </si>
  <si>
    <t>Trampolines folder DE-2009</t>
  </si>
  <si>
    <t>8715839023015</t>
  </si>
  <si>
    <t>49.65.21.10</t>
  </si>
  <si>
    <t>Prijslijst Trampolines DU 2009</t>
  </si>
  <si>
    <t>8715839022698</t>
  </si>
  <si>
    <t>49.65.22.00</t>
  </si>
  <si>
    <t>Trampolines folder FR-2009</t>
  </si>
  <si>
    <t>8715839023022</t>
  </si>
  <si>
    <t>49.65.22.10</t>
  </si>
  <si>
    <t>Prijslijst Trampolines UK 2009</t>
  </si>
  <si>
    <t>8715839022704</t>
  </si>
  <si>
    <t>49.65.24.00</t>
  </si>
  <si>
    <t>Trampolines folder UK-2009</t>
  </si>
  <si>
    <t>8715839023039</t>
  </si>
  <si>
    <t>49.65.24.10</t>
  </si>
  <si>
    <t>Prijslijst Trampolines FR 2009</t>
  </si>
  <si>
    <t>8715839023046</t>
  </si>
  <si>
    <t>49.65.27.10</t>
  </si>
  <si>
    <t>Prijslijst Trampolines CH 2009</t>
  </si>
  <si>
    <t>8715839022711</t>
  </si>
  <si>
    <t>49.65.28.00</t>
  </si>
  <si>
    <t>Trampolines folder EX.N-2009</t>
  </si>
  <si>
    <t>8715839022728</t>
  </si>
  <si>
    <t>49.65.31.00</t>
  </si>
  <si>
    <t>Trampolines folder EX.S-2009</t>
  </si>
  <si>
    <t>8715839022735</t>
  </si>
  <si>
    <t>49.65.34.00</t>
  </si>
  <si>
    <t>Trampolines folder EX.E-2009</t>
  </si>
  <si>
    <t>8715839023169</t>
  </si>
  <si>
    <t>49.65.39.00</t>
  </si>
  <si>
    <t>2009 Trampolinefolder Elfje NL</t>
  </si>
  <si>
    <t>8715839021967</t>
  </si>
  <si>
    <t>49.65.40.00</t>
  </si>
  <si>
    <t>Leisure brochure NL</t>
  </si>
  <si>
    <t>8715839022513</t>
  </si>
  <si>
    <t>49.65.40.10</t>
  </si>
  <si>
    <t>2009 Leisure productspec 10.08</t>
  </si>
  <si>
    <t>8715839021974</t>
  </si>
  <si>
    <t>49.65.41.00</t>
  </si>
  <si>
    <t>2009 Leisure brochure DE</t>
  </si>
  <si>
    <t>8715839021981</t>
  </si>
  <si>
    <t>49.65.42.00</t>
  </si>
  <si>
    <t>2009 Leisure brochure UK</t>
  </si>
  <si>
    <t>8715839021998</t>
  </si>
  <si>
    <t>49.65.44.00</t>
  </si>
  <si>
    <t>Leisure brochure FR</t>
  </si>
  <si>
    <t>8715839022001</t>
  </si>
  <si>
    <t>49.65.51.00</t>
  </si>
  <si>
    <t>Leisure brochure SP</t>
  </si>
  <si>
    <t>8715839022018</t>
  </si>
  <si>
    <t>49.65.52.00</t>
  </si>
  <si>
    <t>Leisure brochure P</t>
  </si>
  <si>
    <t>8715839022025</t>
  </si>
  <si>
    <t>49.65.53.00</t>
  </si>
  <si>
    <t>Leisure brochure I</t>
  </si>
  <si>
    <t>8715839022032</t>
  </si>
  <si>
    <t>49.65.57.00</t>
  </si>
  <si>
    <t>2009 Leisure brochure RUS</t>
  </si>
  <si>
    <t>8715839022902</t>
  </si>
  <si>
    <t>49.65.80.00</t>
  </si>
  <si>
    <t>2009 Mini folder MOOV NL</t>
  </si>
  <si>
    <t>8715839022919</t>
  </si>
  <si>
    <t>49.65.81.00</t>
  </si>
  <si>
    <t>2009 Mini folder MOOV DU</t>
  </si>
  <si>
    <t>8715839022926</t>
  </si>
  <si>
    <t>49.65.84.00</t>
  </si>
  <si>
    <t>2009 Mini folder MOOV FR</t>
  </si>
  <si>
    <t>8715839022889</t>
  </si>
  <si>
    <t>49.65.85.00</t>
  </si>
  <si>
    <t>2009 Mini-folder MOOV</t>
  </si>
  <si>
    <t>8715839023718</t>
  </si>
  <si>
    <t>49.65.89.00</t>
  </si>
  <si>
    <t>MOOV Education Folder</t>
  </si>
  <si>
    <t>8715839023732</t>
  </si>
  <si>
    <t>49.65.90.00</t>
  </si>
  <si>
    <t>MOOV Education Flyer DE</t>
  </si>
  <si>
    <t>8715839023749</t>
  </si>
  <si>
    <t>49.65.91.00</t>
  </si>
  <si>
    <t>MOOV Education Flyer</t>
  </si>
  <si>
    <t>8715839023756</t>
  </si>
  <si>
    <t>49.65.92.00</t>
  </si>
  <si>
    <t>MOOV Education Flyer FR</t>
  </si>
  <si>
    <t>8715839032734</t>
  </si>
  <si>
    <t>49.65.99.01</t>
  </si>
  <si>
    <t>Flyer Paasactie</t>
  </si>
  <si>
    <t>8715839032741</t>
  </si>
  <si>
    <t>49.65.99.02</t>
  </si>
  <si>
    <t>8715839032758</t>
  </si>
  <si>
    <t>49.65.99.03</t>
  </si>
  <si>
    <t>Flyer Zomeractie</t>
  </si>
  <si>
    <t>8715839032765</t>
  </si>
  <si>
    <t>49.65.99.04</t>
  </si>
  <si>
    <t>Flyer Buitenspeelweken FR</t>
  </si>
  <si>
    <t>8715839032772</t>
  </si>
  <si>
    <t>49.65.99.10</t>
  </si>
  <si>
    <t>Sinterklaas flyer 2009</t>
  </si>
  <si>
    <t>8715839023428</t>
  </si>
  <si>
    <t>49.65.99.11</t>
  </si>
  <si>
    <t>Kerst flyer 2009</t>
  </si>
  <si>
    <t>8715839023473</t>
  </si>
  <si>
    <t>49.65.99.12</t>
  </si>
  <si>
    <t>8715839023435</t>
  </si>
  <si>
    <t>49.65.99.13</t>
  </si>
  <si>
    <t>Kerst Flyer 2009</t>
  </si>
  <si>
    <t>8715839023411</t>
  </si>
  <si>
    <t>49.65.99.14</t>
  </si>
  <si>
    <t>Sinterklaas Flyer 2009 (WA)</t>
  </si>
  <si>
    <t>8715839032789</t>
  </si>
  <si>
    <t>49.65.99.15</t>
  </si>
  <si>
    <t>Kerstflyer Ierland (Euro's)</t>
  </si>
  <si>
    <t>8715839032796</t>
  </si>
  <si>
    <t>49.65.99.16</t>
  </si>
  <si>
    <t>Kerstflyer Ierland (z. euro's)</t>
  </si>
  <si>
    <t>8715839032802</t>
  </si>
  <si>
    <t>49.66.00.00</t>
  </si>
  <si>
    <t>Skelter folder NL 2010</t>
  </si>
  <si>
    <t>8715839032819</t>
  </si>
  <si>
    <t>49.66.00.10</t>
  </si>
  <si>
    <t>2010 Prijslijst skelter NL</t>
  </si>
  <si>
    <t>8715839032826</t>
  </si>
  <si>
    <t>49.66.00.20</t>
  </si>
  <si>
    <t>2010 Prijslijst skelt. BE (VL)</t>
  </si>
  <si>
    <t>8715839032833</t>
  </si>
  <si>
    <t>49.66.01.00</t>
  </si>
  <si>
    <t>Skelter folder DE 2010</t>
  </si>
  <si>
    <t>8715839032840</t>
  </si>
  <si>
    <t>49.66.01.10</t>
  </si>
  <si>
    <t>2010 Prijslijst skelter DE</t>
  </si>
  <si>
    <t>8715839032857</t>
  </si>
  <si>
    <t>49.66.02.00</t>
  </si>
  <si>
    <t>Skelter folder UK 2010</t>
  </si>
  <si>
    <t>8715839032864</t>
  </si>
  <si>
    <t>49.66.02.10</t>
  </si>
  <si>
    <t>2010 Prijslijst skelter UK</t>
  </si>
  <si>
    <t>8715839032871</t>
  </si>
  <si>
    <t>49.66.03.00</t>
  </si>
  <si>
    <t>Skelter folder IRE 2010</t>
  </si>
  <si>
    <t>8715839032888</t>
  </si>
  <si>
    <t>49.66.03.10</t>
  </si>
  <si>
    <t>2010 Prijslijst skelter IRE</t>
  </si>
  <si>
    <t>8715839032895</t>
  </si>
  <si>
    <t>49.66.04.00</t>
  </si>
  <si>
    <t>Skelter folder FR 2010</t>
  </si>
  <si>
    <t>8715839032901</t>
  </si>
  <si>
    <t>49.66.04.10</t>
  </si>
  <si>
    <t>2010 Prijslijst skelter FR</t>
  </si>
  <si>
    <t>8715839032918</t>
  </si>
  <si>
    <t>49.66.07.10</t>
  </si>
  <si>
    <t>2010 Prijslijst skelter CH</t>
  </si>
  <si>
    <t>8715839032925</t>
  </si>
  <si>
    <t>49.66.08.00</t>
  </si>
  <si>
    <t>Skelter folder EXPORT N- 2010</t>
  </si>
  <si>
    <t>8715839032949</t>
  </si>
  <si>
    <t>49.66.11.00</t>
  </si>
  <si>
    <t>Skelter folder EXPORT S- 2010</t>
  </si>
  <si>
    <t>8715839032956</t>
  </si>
  <si>
    <t>49.66.14.00</t>
  </si>
  <si>
    <t>Skelter folder EXPORT E- 2010</t>
  </si>
  <si>
    <t>8715839032963</t>
  </si>
  <si>
    <t>49.66.20.00</t>
  </si>
  <si>
    <t>Trampolines folder NL-2010</t>
  </si>
  <si>
    <t>8715839032970</t>
  </si>
  <si>
    <t>49.66.20.10</t>
  </si>
  <si>
    <t>2010 Prijslijst trampoline NL</t>
  </si>
  <si>
    <t>8715839032987</t>
  </si>
  <si>
    <t>49.66.21.00</t>
  </si>
  <si>
    <t>Trampolines folder DU-2010</t>
  </si>
  <si>
    <t>8715839032994</t>
  </si>
  <si>
    <t>49.66.21.10</t>
  </si>
  <si>
    <t>2010 Prijslijst trampoline DE</t>
  </si>
  <si>
    <t>8715839033007</t>
  </si>
  <si>
    <t>49.66.22.00</t>
  </si>
  <si>
    <t>Trampolines folder FR-2010/11</t>
  </si>
  <si>
    <t>8715839033014</t>
  </si>
  <si>
    <t>49.66.22.10</t>
  </si>
  <si>
    <t>2010 Prijslijst trampoline UK</t>
  </si>
  <si>
    <t>8715839033021</t>
  </si>
  <si>
    <t>49.66.23.10</t>
  </si>
  <si>
    <t>2010 Prijslijst trampoline IRE</t>
  </si>
  <si>
    <t>8715839033038</t>
  </si>
  <si>
    <t>49.66.24.00</t>
  </si>
  <si>
    <t>Trampolines folder UK-2010</t>
  </si>
  <si>
    <t>8715839033045</t>
  </si>
  <si>
    <t>49.66.24.10</t>
  </si>
  <si>
    <t>2010 Prijslijst trampoline FR</t>
  </si>
  <si>
    <t>8715839033052</t>
  </si>
  <si>
    <t>49.66.27.10</t>
  </si>
  <si>
    <t>2010 Prijslijst trampoline CH</t>
  </si>
  <si>
    <t>8715839033069</t>
  </si>
  <si>
    <t>49.66.28.00</t>
  </si>
  <si>
    <t>Trampolines folder EX.N-2010</t>
  </si>
  <si>
    <t>8715839033083</t>
  </si>
  <si>
    <t>49.66.34.00</t>
  </si>
  <si>
    <t>Trampolines folder EX.E-2010</t>
  </si>
  <si>
    <t>8715839033106</t>
  </si>
  <si>
    <t>49.66.41.00</t>
  </si>
  <si>
    <t>Jubileums Flyer</t>
  </si>
  <si>
    <t>8715839033113</t>
  </si>
  <si>
    <t>49.66.42.00</t>
  </si>
  <si>
    <t>8715839033120</t>
  </si>
  <si>
    <t>49.66.43.00</t>
  </si>
  <si>
    <t>Jubileum Flyer</t>
  </si>
  <si>
    <t>8715839033137</t>
  </si>
  <si>
    <t>49.66.44.00</t>
  </si>
  <si>
    <t>School Brochure 2012</t>
  </si>
  <si>
    <t>8715839041422</t>
  </si>
  <si>
    <t>49.66.44.01</t>
  </si>
  <si>
    <t>flyer Karts for kids</t>
  </si>
  <si>
    <t>8715839026375</t>
  </si>
  <si>
    <t>49.66.45.00</t>
  </si>
  <si>
    <t>Flyer GranTour</t>
  </si>
  <si>
    <t>8715839026382</t>
  </si>
  <si>
    <t>49.66.46.00</t>
  </si>
  <si>
    <t>Flyer GranTour UK</t>
  </si>
  <si>
    <t>8715839026399</t>
  </si>
  <si>
    <t>49.66.47.00</t>
  </si>
  <si>
    <t>Flyer GranTour FR</t>
  </si>
  <si>
    <t>8715839026405</t>
  </si>
  <si>
    <t>49.66.48.00</t>
  </si>
  <si>
    <t>Flyer GranTour DU</t>
  </si>
  <si>
    <t>8715839033144</t>
  </si>
  <si>
    <t>49.66.49.00</t>
  </si>
  <si>
    <t>Kerst 2010 flyer</t>
  </si>
  <si>
    <t>8715839023992</t>
  </si>
  <si>
    <t>49.66.99.10</t>
  </si>
  <si>
    <t>Kerst Ierland 2010</t>
  </si>
  <si>
    <t>8715839024104</t>
  </si>
  <si>
    <t>49.66.99.11</t>
  </si>
  <si>
    <t>Kerst flyer IRE 2010</t>
  </si>
  <si>
    <t>8715839028027</t>
  </si>
  <si>
    <t>49.67.00.00</t>
  </si>
  <si>
    <t>2011 Skelter folder NL</t>
  </si>
  <si>
    <t>8715839028034</t>
  </si>
  <si>
    <t>49.67.00.10</t>
  </si>
  <si>
    <t>2011 Prijslijst skelters</t>
  </si>
  <si>
    <t>8715839028058</t>
  </si>
  <si>
    <t>49.67.01.00</t>
  </si>
  <si>
    <t>2011 Skelterfolder DE</t>
  </si>
  <si>
    <t>8715839028065</t>
  </si>
  <si>
    <t>49.67.01.10</t>
  </si>
  <si>
    <t>2011 Prijslijst skelter DE</t>
  </si>
  <si>
    <t>8715839028089</t>
  </si>
  <si>
    <t>49.67.02.00</t>
  </si>
  <si>
    <t>Skelter folder UK 2011</t>
  </si>
  <si>
    <t>8715839028096</t>
  </si>
  <si>
    <t>49.67.02.10</t>
  </si>
  <si>
    <t>2011 Prijslijst skelter UK</t>
  </si>
  <si>
    <t>8715839028102</t>
  </si>
  <si>
    <t>49.67.03.00</t>
  </si>
  <si>
    <t>2011 Skelterfolder IRE</t>
  </si>
  <si>
    <t>8715839028119</t>
  </si>
  <si>
    <t>49.67.03.10</t>
  </si>
  <si>
    <t>2011 Prijslijst skelter IRE</t>
  </si>
  <si>
    <t>8715839028126</t>
  </si>
  <si>
    <t>49.67.04.00</t>
  </si>
  <si>
    <t>Skelter folder FR 2011</t>
  </si>
  <si>
    <t>8715839028133</t>
  </si>
  <si>
    <t>49.67.04.10</t>
  </si>
  <si>
    <t>2011 Prijslijst skelter FR</t>
  </si>
  <si>
    <t>8715839028140</t>
  </si>
  <si>
    <t>49.67.05.10</t>
  </si>
  <si>
    <t>Skelter folder EXPORT N- 2011</t>
  </si>
  <si>
    <t>8715839028157</t>
  </si>
  <si>
    <t>49.67.05.20</t>
  </si>
  <si>
    <t>Skelter folder EXPORT E- 2011</t>
  </si>
  <si>
    <t>8715839028164</t>
  </si>
  <si>
    <t>49.67.05.30</t>
  </si>
  <si>
    <t>Skelter folder EXPORT S- 2011</t>
  </si>
  <si>
    <t>8715839028171</t>
  </si>
  <si>
    <t>49.67.06.00</t>
  </si>
  <si>
    <t>2011 Skelterfolder USA</t>
  </si>
  <si>
    <t>8715839028188</t>
  </si>
  <si>
    <t>49.67.20.00</t>
  </si>
  <si>
    <t>2011Trampoline folder NL</t>
  </si>
  <si>
    <t>8715839028195</t>
  </si>
  <si>
    <t>49.67.20.10</t>
  </si>
  <si>
    <t>2011 Prijslijst Trampolines NL</t>
  </si>
  <si>
    <t>8715839028201</t>
  </si>
  <si>
    <t>49.67.21.00</t>
  </si>
  <si>
    <t>2011 Trampolinefolder DE</t>
  </si>
  <si>
    <t>8715839028218</t>
  </si>
  <si>
    <t>49.67.21.10</t>
  </si>
  <si>
    <t>2011 Prijslijst trampoline DE</t>
  </si>
  <si>
    <t>8715839028256</t>
  </si>
  <si>
    <t>49.67.22.20</t>
  </si>
  <si>
    <t>2011 Prijslijst trampoline IRE</t>
  </si>
  <si>
    <t>8715839028270</t>
  </si>
  <si>
    <t>49.67.24.10</t>
  </si>
  <si>
    <t>2011 Prijslijst trampoline FR</t>
  </si>
  <si>
    <t>8715839028287</t>
  </si>
  <si>
    <t>49.67.25.10</t>
  </si>
  <si>
    <t>Trampolines folder EX.N-2011</t>
  </si>
  <si>
    <t>8715839028294</t>
  </si>
  <si>
    <t>49.67.25.20</t>
  </si>
  <si>
    <t>Trampolines folder EX.E-2011</t>
  </si>
  <si>
    <t>8715839028300</t>
  </si>
  <si>
    <t>49.67.25.30</t>
  </si>
  <si>
    <t>Trampolines folder EX.S-2011</t>
  </si>
  <si>
    <t>8715839028317</t>
  </si>
  <si>
    <t>49.67.30.00</t>
  </si>
  <si>
    <t>2011 Speelhuisjes brochure NL</t>
  </si>
  <si>
    <t>8715839028324</t>
  </si>
  <si>
    <t>49.67.30.10</t>
  </si>
  <si>
    <t>Prijslijst Speelhuisjes NL</t>
  </si>
  <si>
    <t>8715839028331</t>
  </si>
  <si>
    <t>49.67.31.00</t>
  </si>
  <si>
    <t>2011 brochure speelhuisjes</t>
  </si>
  <si>
    <t>8715839028348</t>
  </si>
  <si>
    <t>49.67.31.10</t>
  </si>
  <si>
    <t>2011 Prijslijst speelhuisjesDE</t>
  </si>
  <si>
    <t>8715839028355</t>
  </si>
  <si>
    <t>49.67.34.00</t>
  </si>
  <si>
    <t>2011 brochure Speelhuisjes</t>
  </si>
  <si>
    <t>8715839028362</t>
  </si>
  <si>
    <t>49.67.34.10</t>
  </si>
  <si>
    <t>2011 prijslijst speelhuisjes</t>
  </si>
  <si>
    <t>8715839027051</t>
  </si>
  <si>
    <t>49.67.40.00</t>
  </si>
  <si>
    <t>Retail brochure</t>
  </si>
  <si>
    <t>8715839028416</t>
  </si>
  <si>
    <t>49.67.50.00</t>
  </si>
  <si>
    <t>Voorjaarsbrochure NL</t>
  </si>
  <si>
    <t>8715839028423</t>
  </si>
  <si>
    <t>49.67.51.00</t>
  </si>
  <si>
    <t>Voorjaarsbrochure</t>
  </si>
  <si>
    <t>8715839028430</t>
  </si>
  <si>
    <t>49.67.54.00</t>
  </si>
  <si>
    <t>Voorjaarsbrochure 2011</t>
  </si>
  <si>
    <t>8715839028690</t>
  </si>
  <si>
    <t>49.67.55.00</t>
  </si>
  <si>
    <t>Flyer Starterkit DE</t>
  </si>
  <si>
    <t>8715839033151</t>
  </si>
  <si>
    <t>49.67.60.00</t>
  </si>
  <si>
    <t>Flyer najaarsactie NL 2011</t>
  </si>
  <si>
    <t>8715839033168</t>
  </si>
  <si>
    <t>49.67.61.00</t>
  </si>
  <si>
    <t>Late summer aktion 2011</t>
  </si>
  <si>
    <t>8715839033175</t>
  </si>
  <si>
    <t>49.67.64.00</t>
  </si>
  <si>
    <t>Flyer najaarsactie BE 2011</t>
  </si>
  <si>
    <t>8715839030068</t>
  </si>
  <si>
    <t>49.68.00.00</t>
  </si>
  <si>
    <t>2012 BERG Toys Brochure NL</t>
  </si>
  <si>
    <t>49.68.00.01</t>
  </si>
  <si>
    <t>2012 BERG Toys brochure DE</t>
  </si>
  <si>
    <t>8715839030082</t>
  </si>
  <si>
    <t>49.68.00.02</t>
  </si>
  <si>
    <t>2012 BERG Toys Brochure ENG</t>
  </si>
  <si>
    <t>8715839030099</t>
  </si>
  <si>
    <t>49.68.00.03</t>
  </si>
  <si>
    <t>2012 BERG Toys brochure FR</t>
  </si>
  <si>
    <t>8715839030105</t>
  </si>
  <si>
    <t>49.68.00.04</t>
  </si>
  <si>
    <t>2012 BERG Toys brochure USA</t>
  </si>
  <si>
    <t>8715839030112</t>
  </si>
  <si>
    <t>49.68.00.05</t>
  </si>
  <si>
    <t>2012 BERG Toys brochure Exp.N</t>
  </si>
  <si>
    <t>8715839030129</t>
  </si>
  <si>
    <t>49.68.00.06</t>
  </si>
  <si>
    <t>2012 BERG Toys brochure Exp.S</t>
  </si>
  <si>
    <t>8715839030136</t>
  </si>
  <si>
    <t>49.68.00.07</t>
  </si>
  <si>
    <t>2012 BERG Toys brochure Exp.E</t>
  </si>
  <si>
    <t>8715839041415</t>
  </si>
  <si>
    <t>49.68.00.08</t>
  </si>
  <si>
    <t>2012 BERG Toys Prijslijst IRE</t>
  </si>
  <si>
    <t>8715839033182</t>
  </si>
  <si>
    <t>49.68.00.09</t>
  </si>
  <si>
    <t>2012 Retail brochure</t>
  </si>
  <si>
    <t>8715839033199</t>
  </si>
  <si>
    <t>49.68.00.10</t>
  </si>
  <si>
    <t>2012 BERG Toys brochure IRE</t>
  </si>
  <si>
    <t>8715839041736</t>
  </si>
  <si>
    <t>49.68.00.11</t>
  </si>
  <si>
    <t>Leisure brochure 2012</t>
  </si>
  <si>
    <t>8715839041262</t>
  </si>
  <si>
    <t>49.68.00.12</t>
  </si>
  <si>
    <t>2012 Leisure Brochure FR</t>
  </si>
  <si>
    <t>8715839041279</t>
  </si>
  <si>
    <t>49.68.00.13</t>
  </si>
  <si>
    <t>2012 Leisure Brochure DE</t>
  </si>
  <si>
    <t>8715839044485</t>
  </si>
  <si>
    <t>49.68.00.14</t>
  </si>
  <si>
    <t>2013 Retailbrochure EN</t>
  </si>
  <si>
    <t>8715839044492</t>
  </si>
  <si>
    <t>49.68.00.15</t>
  </si>
  <si>
    <t>2013 Retailbrochure FR</t>
  </si>
  <si>
    <t>8715839044508</t>
  </si>
  <si>
    <t>49.68.00.16</t>
  </si>
  <si>
    <t>2013 Retailbrochure DE</t>
  </si>
  <si>
    <t>8715839044515</t>
  </si>
  <si>
    <t>49.68.00.17</t>
  </si>
  <si>
    <t>2013 BERGToys brochure NL</t>
  </si>
  <si>
    <t>8715839044522</t>
  </si>
  <si>
    <t>49.68.00.18</t>
  </si>
  <si>
    <t>2013 BERG brochure DU</t>
  </si>
  <si>
    <t>8715839044539</t>
  </si>
  <si>
    <t>49.68.00.19</t>
  </si>
  <si>
    <t>2013 BERG brochure FR</t>
  </si>
  <si>
    <t>8715839044546</t>
  </si>
  <si>
    <t>49.68.00.20</t>
  </si>
  <si>
    <t>2013 BERG brochure ENG</t>
  </si>
  <si>
    <t>8715839044553</t>
  </si>
  <si>
    <t>49.68.00.21</t>
  </si>
  <si>
    <t>2013 BERG brochure IRE</t>
  </si>
  <si>
    <t>8715839044560</t>
  </si>
  <si>
    <t>49.68.00.22</t>
  </si>
  <si>
    <t>2013 BERG brochure Exp. N</t>
  </si>
  <si>
    <t>8715839044577</t>
  </si>
  <si>
    <t>49.68.00.23</t>
  </si>
  <si>
    <t>2013 BERG brochure Exp. S</t>
  </si>
  <si>
    <t>8715839044584</t>
  </si>
  <si>
    <t>49.68.00.24</t>
  </si>
  <si>
    <t>2013 BERG brochure Exp. E</t>
  </si>
  <si>
    <t>8715839044591</t>
  </si>
  <si>
    <t>49.68.00.25</t>
  </si>
  <si>
    <t>2013 BERG brochure USA</t>
  </si>
  <si>
    <t>8715839045147</t>
  </si>
  <si>
    <t>49.68.00.26</t>
  </si>
  <si>
    <t>2013 BERG brochure DE z. prijz</t>
  </si>
  <si>
    <t>8715839045390</t>
  </si>
  <si>
    <t>49.68.00.27</t>
  </si>
  <si>
    <t>2013 BERG Toys Prijslijst IRE</t>
  </si>
  <si>
    <t>8715839047066</t>
  </si>
  <si>
    <t>49.68.00.28</t>
  </si>
  <si>
    <t>BERG Pedalathon flyer</t>
  </si>
  <si>
    <t>8715839048551</t>
  </si>
  <si>
    <t>49.68.00.30</t>
  </si>
  <si>
    <t>2014 BERG Brochure NL</t>
  </si>
  <si>
    <t>8715839048568</t>
  </si>
  <si>
    <t>49.68.00.31</t>
  </si>
  <si>
    <t>2014 BERG Brochure DU</t>
  </si>
  <si>
    <t>8715839048575</t>
  </si>
  <si>
    <t>49.68.00.32</t>
  </si>
  <si>
    <t>2014 BERG Brochure FR</t>
  </si>
  <si>
    <t>8715839048582</t>
  </si>
  <si>
    <t>49.68.00.33</t>
  </si>
  <si>
    <t>2014 BERG Brochure ENG</t>
  </si>
  <si>
    <t>8715839048599</t>
  </si>
  <si>
    <t>49.68.00.34</t>
  </si>
  <si>
    <t>2014 BERG Brochure Exp. N</t>
  </si>
  <si>
    <t>8715839048605</t>
  </si>
  <si>
    <t>49.68.00.35</t>
  </si>
  <si>
    <t>2014 BERG Brochure Exp. S</t>
  </si>
  <si>
    <t>8715839048612</t>
  </si>
  <si>
    <t>49.68.00.36</t>
  </si>
  <si>
    <t>2014 BERG Brochure Exp. E</t>
  </si>
  <si>
    <t>8715839048629</t>
  </si>
  <si>
    <t>49.68.00.37</t>
  </si>
  <si>
    <t>2014 BERG Brochure USA</t>
  </si>
  <si>
    <t>8715839049732</t>
  </si>
  <si>
    <t>49.68.00.38</t>
  </si>
  <si>
    <t>2014 Retailbrochure EN</t>
  </si>
  <si>
    <t>8715839049749</t>
  </si>
  <si>
    <t>49.68.00.39</t>
  </si>
  <si>
    <t>2014 Retailbrochure DE</t>
  </si>
  <si>
    <t>8715839049756</t>
  </si>
  <si>
    <t>49.68.00.40</t>
  </si>
  <si>
    <t>2014 Retailbrochure FR</t>
  </si>
  <si>
    <t>8715839049916</t>
  </si>
  <si>
    <t>49.68.00.45</t>
  </si>
  <si>
    <t xml:space="preserve">BERG Pricelist Ierland 2014
</t>
  </si>
  <si>
    <t>8715839055627</t>
  </si>
  <si>
    <t>49.68.00.49</t>
  </si>
  <si>
    <t>2015 BERG Brochure Dutch á 50 pcs</t>
  </si>
  <si>
    <t>8715839055634</t>
  </si>
  <si>
    <t>49.68.00.50</t>
  </si>
  <si>
    <t>2015 BERG Brochure German á 50 pcs</t>
  </si>
  <si>
    <t>8715839055641</t>
  </si>
  <si>
    <t>49.68.00.51</t>
  </si>
  <si>
    <t>2015 BERG Brochure French á 50 pcs</t>
  </si>
  <si>
    <t>8715839055658</t>
  </si>
  <si>
    <t>49.68.00.52</t>
  </si>
  <si>
    <t>2015 BERG Brochure English á 50 pcs</t>
  </si>
  <si>
    <t>8715839055665</t>
  </si>
  <si>
    <t>49.68.00.53</t>
  </si>
  <si>
    <t>2015 BERG Brochure Italian á 50 pcs</t>
  </si>
  <si>
    <t>8715839055672</t>
  </si>
  <si>
    <t>49.68.00.54</t>
  </si>
  <si>
    <t>2015 BERG Brochure PT-SP á 50 pcs</t>
  </si>
  <si>
    <t>8715839055689</t>
  </si>
  <si>
    <t>49.68.00.55</t>
  </si>
  <si>
    <t>2015 BERG Brochure USA á 50 pcs</t>
  </si>
  <si>
    <t>8715839055696</t>
  </si>
  <si>
    <t>49.68.00.56</t>
  </si>
  <si>
    <t>2015 BERG Brochure Dutch nameprint á 50 pcs</t>
  </si>
  <si>
    <t>8715839055702</t>
  </si>
  <si>
    <t>49.68.00.57</t>
  </si>
  <si>
    <t>2015 BERG Brochure German nameprint á 50 pcs</t>
  </si>
  <si>
    <t>8715839055719</t>
  </si>
  <si>
    <t>49.68.00.58</t>
  </si>
  <si>
    <t>2015 BERG Brochure French nameprint á 50 pcs</t>
  </si>
  <si>
    <t>8715839055726</t>
  </si>
  <si>
    <t>49.68.00.59</t>
  </si>
  <si>
    <t>2015 BERG Brochure English nameprint á 50 pcs</t>
  </si>
  <si>
    <t>8715839053821</t>
  </si>
  <si>
    <t>49.68.00.60</t>
  </si>
  <si>
    <t>2015 BERG leisure brochure Dutch</t>
  </si>
  <si>
    <t>8715839053838</t>
  </si>
  <si>
    <t>49.68.00.61</t>
  </si>
  <si>
    <t>2015 BERG leisure brochure German</t>
  </si>
  <si>
    <t>8715839053845</t>
  </si>
  <si>
    <t>49.68.00.62</t>
  </si>
  <si>
    <t>2015 BERG leisure brochure English</t>
  </si>
  <si>
    <t>8715839053852</t>
  </si>
  <si>
    <t>49.68.00.63</t>
  </si>
  <si>
    <t>2015 BERG Leisure brochure French</t>
  </si>
  <si>
    <t>8715839054651</t>
  </si>
  <si>
    <t>49.68.00.64</t>
  </si>
  <si>
    <t>2015 UK Consumer flyer</t>
  </si>
  <si>
    <t>8715839054668</t>
  </si>
  <si>
    <t>49.68.00.65</t>
  </si>
  <si>
    <t>2015 UK Dealer flyer</t>
  </si>
  <si>
    <t>8715839055566</t>
  </si>
  <si>
    <t>49.68.00.66</t>
  </si>
  <si>
    <t>2015 BERG Prijslijst NL á 50 pcs</t>
  </si>
  <si>
    <t>8715839055573</t>
  </si>
  <si>
    <t>49.68.00.67</t>
  </si>
  <si>
    <t>2015 BERG Prijslijst EN á 50 pcs</t>
  </si>
  <si>
    <t>8715839055580</t>
  </si>
  <si>
    <t>49.68.00.68</t>
  </si>
  <si>
    <t>2015 BERG Prijslijst DE á 50 pcs</t>
  </si>
  <si>
    <t>8715839055597</t>
  </si>
  <si>
    <t>49.68.00.69</t>
  </si>
  <si>
    <t>2015 BERG Prijslijst FR á 50 pcs</t>
  </si>
  <si>
    <t>8715839055603</t>
  </si>
  <si>
    <t>49.68.00.70</t>
  </si>
  <si>
    <t>2015 BERG Prijslijst SP/PT á 50 pcs</t>
  </si>
  <si>
    <t>8715839055610</t>
  </si>
  <si>
    <t>49.68.00.71</t>
  </si>
  <si>
    <t>2015 BERG Prijslijst IT á 50 pcs</t>
  </si>
  <si>
    <t>8715839056532</t>
  </si>
  <si>
    <t>49.68.00.72</t>
  </si>
  <si>
    <t>2015 Christmas flyer UK + IRL</t>
  </si>
  <si>
    <t>8715839056549</t>
  </si>
  <si>
    <t>49.68.00.73</t>
  </si>
  <si>
    <t>2015 Christmas flyer DE</t>
  </si>
  <si>
    <t>8715839056556</t>
  </si>
  <si>
    <t>49.68.00.74</t>
  </si>
  <si>
    <t>2015 Flyer B2C Local shows</t>
  </si>
  <si>
    <t>8715839056563</t>
  </si>
  <si>
    <t>49.68.00.75</t>
  </si>
  <si>
    <t>2015 Flyer B2B Service dealer</t>
  </si>
  <si>
    <t>8715839056990</t>
  </si>
  <si>
    <t>49.68.00.76</t>
  </si>
  <si>
    <t>2015 Accesoire flyer NL</t>
  </si>
  <si>
    <t>8715839057003</t>
  </si>
  <si>
    <t>49.68.00.77</t>
  </si>
  <si>
    <t>2015 Accesoire flyer DE</t>
  </si>
  <si>
    <t>8715839057010</t>
  </si>
  <si>
    <t>49.68.00.78</t>
  </si>
  <si>
    <t>2015 Accesoire flyer EN</t>
  </si>
  <si>
    <t>8715839057027</t>
  </si>
  <si>
    <t>49.68.00.79</t>
  </si>
  <si>
    <t>2015 Accesoire flyer FR</t>
  </si>
  <si>
    <t>8715839057089</t>
  </si>
  <si>
    <t>49.68.00.80</t>
  </si>
  <si>
    <t>2015 Retailbrochure NL</t>
  </si>
  <si>
    <t>8715839057096</t>
  </si>
  <si>
    <t>49.68.00.81</t>
  </si>
  <si>
    <t>2015 Retailbrochure DE</t>
  </si>
  <si>
    <t>8715839057102</t>
  </si>
  <si>
    <t>49.68.00.82</t>
  </si>
  <si>
    <t>2015 Retailbrochure UK</t>
  </si>
  <si>
    <t>8715839057119</t>
  </si>
  <si>
    <t>49.68.00.83</t>
  </si>
  <si>
    <t>2015 Retailbrochure FR</t>
  </si>
  <si>
    <t>8715839057379</t>
  </si>
  <si>
    <t>49.68.00.84</t>
  </si>
  <si>
    <t>2016 Leisurebrochure NL</t>
  </si>
  <si>
    <t>8715839057386</t>
  </si>
  <si>
    <t>49.68.00.85</t>
  </si>
  <si>
    <t>2016 Leisurebrochure EN</t>
  </si>
  <si>
    <t>8715839057393</t>
  </si>
  <si>
    <t>49.68.00.86</t>
  </si>
  <si>
    <t>2016 Leisurebrochure DE</t>
  </si>
  <si>
    <t>8715839057409</t>
  </si>
  <si>
    <t>49.68.00.87</t>
  </si>
  <si>
    <t>2016 Leisurebrochure FR</t>
  </si>
  <si>
    <t>8715839058277</t>
  </si>
  <si>
    <t>49.68.00.88</t>
  </si>
  <si>
    <t>2015 Christmas flyer IR (500 pcs)</t>
  </si>
  <si>
    <t>8715839058284</t>
  </si>
  <si>
    <t>49.68.00.89</t>
  </si>
  <si>
    <t>2015 Christmas flyer without prices (500 pcs)</t>
  </si>
  <si>
    <t>8715839058291</t>
  </si>
  <si>
    <t>49.68.00.90</t>
  </si>
  <si>
    <t>2015 Christmas flyer UK with imprint (500 pcs)</t>
  </si>
  <si>
    <t>8715839058307</t>
  </si>
  <si>
    <t>49.68.00.91</t>
  </si>
  <si>
    <t>2015 Christmas flyer IR with imprint (500 pcs)</t>
  </si>
  <si>
    <t>8715839058314</t>
  </si>
  <si>
    <t>49.68.00.92</t>
  </si>
  <si>
    <t>2015 Christmas flyer without prices with imprint (500 pcs)</t>
  </si>
  <si>
    <t>8715839059076</t>
  </si>
  <si>
    <t>49.68.00.93</t>
  </si>
  <si>
    <t>2016 Retailflyer NL</t>
  </si>
  <si>
    <t>8715839059083</t>
  </si>
  <si>
    <t>49.68.00.94</t>
  </si>
  <si>
    <t>2016 Retailflyer DE</t>
  </si>
  <si>
    <t>8715839059090</t>
  </si>
  <si>
    <t>49.68.00.95</t>
  </si>
  <si>
    <t>2016 Retailflyer EN</t>
  </si>
  <si>
    <t>8715839059106</t>
  </si>
  <si>
    <t>49.68.00.96</t>
  </si>
  <si>
    <t>2016 Retailflyer FR</t>
  </si>
  <si>
    <t>8715839059113</t>
  </si>
  <si>
    <t>49.68.01.00</t>
  </si>
  <si>
    <t>2016 BERG Brochure NL a 50 pieces</t>
  </si>
  <si>
    <t>8715839059120</t>
  </si>
  <si>
    <t>49.68.01.01</t>
  </si>
  <si>
    <t>2016 BERG Brochure DE a 50 pieces</t>
  </si>
  <si>
    <t>8715839059137</t>
  </si>
  <si>
    <t>49.68.01.02</t>
  </si>
  <si>
    <t>2016 BERG Brochure EN a 50 pieces</t>
  </si>
  <si>
    <t>8715839059144</t>
  </si>
  <si>
    <t>49.68.01.03</t>
  </si>
  <si>
    <t>2016 BERG Brochure FR a 50 pieces</t>
  </si>
  <si>
    <t>8715839059151</t>
  </si>
  <si>
    <t>49.68.01.04</t>
  </si>
  <si>
    <t>2016 BERG Brochure name imprint NL a 50 pieces</t>
  </si>
  <si>
    <t>8715839059168</t>
  </si>
  <si>
    <t>49.68.01.05</t>
  </si>
  <si>
    <t>2016 BERG Brochure name imprint DE a 50 pieces</t>
  </si>
  <si>
    <t>8715839059175</t>
  </si>
  <si>
    <t>49.68.01.06</t>
  </si>
  <si>
    <t>2016 BERG Brochure name imprint EN a 50 pieces</t>
  </si>
  <si>
    <t>8715839059182</t>
  </si>
  <si>
    <t>49.68.01.07</t>
  </si>
  <si>
    <t>2016 BERG Brochure name imprint FR a 50 pieces</t>
  </si>
  <si>
    <t>8715839059205</t>
  </si>
  <si>
    <t>49.68.01.08</t>
  </si>
  <si>
    <t>2016 BERG Pricelist NL a 50 pieces</t>
  </si>
  <si>
    <t>8715839059212</t>
  </si>
  <si>
    <t>49.68.01.09</t>
  </si>
  <si>
    <t>2016 BERG Pricelist DE a 50 pieces</t>
  </si>
  <si>
    <t>8715839059229</t>
  </si>
  <si>
    <t>49.68.01.10</t>
  </si>
  <si>
    <t>2016 BERG Pricelist EN with euro a 50 pieces</t>
  </si>
  <si>
    <t>8715839059236</t>
  </si>
  <si>
    <t>49.68.01.11</t>
  </si>
  <si>
    <t>2016 BERG Pricelist EN with sterling a 50 pieces</t>
  </si>
  <si>
    <t>8715839059243</t>
  </si>
  <si>
    <t>49.68.01.12</t>
  </si>
  <si>
    <t>2016 BERG Pricelist IR a 50 pieces</t>
  </si>
  <si>
    <t>8715839059250</t>
  </si>
  <si>
    <t>49.68.01.13</t>
  </si>
  <si>
    <t>8715839059199</t>
  </si>
  <si>
    <t>49.68.01.14</t>
  </si>
  <si>
    <t>2016 BERG Brochure USA a 50 pieces</t>
  </si>
  <si>
    <t>8715839059304</t>
  </si>
  <si>
    <t>49.68.01.15</t>
  </si>
  <si>
    <t>2016 BERG USA productspecifications</t>
  </si>
  <si>
    <t>8715839059960</t>
  </si>
  <si>
    <t>49.68.01.16</t>
  </si>
  <si>
    <t>2016 Christmas flyer sterling (50x)</t>
  </si>
  <si>
    <t>8715839059977</t>
  </si>
  <si>
    <t>49.68.01.17</t>
  </si>
  <si>
    <t>2016 Christmas flyer sterling name imprint (50x)</t>
  </si>
  <si>
    <t>8715839059984</t>
  </si>
  <si>
    <t>49.68.01.18</t>
  </si>
  <si>
    <t>2016 Christmas flyer euro (50x)</t>
  </si>
  <si>
    <t>8715839059991</t>
  </si>
  <si>
    <t>49.68.01.19</t>
  </si>
  <si>
    <t>2016 Christmas flyer euro name imprint (50x)</t>
  </si>
  <si>
    <t>8715839060003</t>
  </si>
  <si>
    <t>49.68.01.20</t>
  </si>
  <si>
    <t>2016 Christmas flyer (50x)</t>
  </si>
  <si>
    <t>8715839060010</t>
  </si>
  <si>
    <t>49.68.01.21</t>
  </si>
  <si>
    <t>2016 Christmas flyer name imprint (50x)</t>
  </si>
  <si>
    <t>8715839060027</t>
  </si>
  <si>
    <t>49.68.01.22</t>
  </si>
  <si>
    <t>2016 UK Consumer flyer (50x)</t>
  </si>
  <si>
    <t>8715839060546</t>
  </si>
  <si>
    <t>49.68.01.23</t>
  </si>
  <si>
    <t>2017 Catalog NL</t>
  </si>
  <si>
    <t>8715839060553</t>
  </si>
  <si>
    <t>49.68.01.24</t>
  </si>
  <si>
    <t>2017 Catalog DE</t>
  </si>
  <si>
    <t>8715839060560</t>
  </si>
  <si>
    <t>49.68.01.25</t>
  </si>
  <si>
    <t>2017 Catalog EN</t>
  </si>
  <si>
    <t>8715839060577</t>
  </si>
  <si>
    <t>49.68.01.26</t>
  </si>
  <si>
    <t>2017 Catalog FR</t>
  </si>
  <si>
    <t>8715839060584</t>
  </si>
  <si>
    <t>49.68.01.27</t>
  </si>
  <si>
    <t>2017 Catalog USA EN</t>
  </si>
  <si>
    <t>8715839060591</t>
  </si>
  <si>
    <t>49.68.01.28</t>
  </si>
  <si>
    <t>2017 Catalog USA FR</t>
  </si>
  <si>
    <t>8715839060607</t>
  </si>
  <si>
    <t>49.68.01.29</t>
  </si>
  <si>
    <t>2017 Catalog NL with imprint</t>
  </si>
  <si>
    <t>8715839060614</t>
  </si>
  <si>
    <t>49.68.01.30</t>
  </si>
  <si>
    <t>2017 Catalog DE with imprint</t>
  </si>
  <si>
    <t>8715839060621</t>
  </si>
  <si>
    <t>49.68.01.31</t>
  </si>
  <si>
    <t>2017 Catalog EN with imprint</t>
  </si>
  <si>
    <t>8715839060638</t>
  </si>
  <si>
    <t>49.68.01.32</t>
  </si>
  <si>
    <t>2017 Catalog FR with imprint</t>
  </si>
  <si>
    <t>8715839060645</t>
  </si>
  <si>
    <t>49.68.01.33</t>
  </si>
  <si>
    <t>2017 Pricelist NL</t>
  </si>
  <si>
    <t>8715839060652</t>
  </si>
  <si>
    <t>49.68.01.34</t>
  </si>
  <si>
    <t>2017 Pricelist DE</t>
  </si>
  <si>
    <t>8715839060669</t>
  </si>
  <si>
    <t>49.68.01.35</t>
  </si>
  <si>
    <t>2017 Pricelist EN</t>
  </si>
  <si>
    <t>8715839060676</t>
  </si>
  <si>
    <t>49.68.01.36</t>
  </si>
  <si>
    <t>2017 Pricelist FR</t>
  </si>
  <si>
    <t>8715839060683</t>
  </si>
  <si>
    <t>49.68.01.37</t>
  </si>
  <si>
    <t>2017 Pricelist UK</t>
  </si>
  <si>
    <t>8715839060690</t>
  </si>
  <si>
    <t>49.68.01.38</t>
  </si>
  <si>
    <t>2017 Pricelist IR</t>
  </si>
  <si>
    <t>8715839060706</t>
  </si>
  <si>
    <t>49.68.01.39</t>
  </si>
  <si>
    <t>2017 Leisure Catalog NL</t>
  </si>
  <si>
    <t>8715839060713</t>
  </si>
  <si>
    <t>49.68.01.40</t>
  </si>
  <si>
    <t>2017 Leisure Catalog DE</t>
  </si>
  <si>
    <t>8715839060720</t>
  </si>
  <si>
    <t>49.68.01.41</t>
  </si>
  <si>
    <t>2017 Leisure Catalog EN</t>
  </si>
  <si>
    <t>8715839060737</t>
  </si>
  <si>
    <t>49.68.01.42</t>
  </si>
  <si>
    <t>2017 Leisure Catalog FR</t>
  </si>
  <si>
    <t>8715839061482</t>
  </si>
  <si>
    <t>49.68.01.43</t>
  </si>
  <si>
    <t>2017 Pricelist USA</t>
  </si>
  <si>
    <t>8715839061499</t>
  </si>
  <si>
    <t>49.68.01.44</t>
  </si>
  <si>
    <t>2017 Pricelist USA FR</t>
  </si>
  <si>
    <t>8715839063547</t>
  </si>
  <si>
    <t>49.68.01.45</t>
  </si>
  <si>
    <t>2017 Christmas flyer sterling (50x)</t>
  </si>
  <si>
    <t>8715839063554</t>
  </si>
  <si>
    <t>49.68.01.46</t>
  </si>
  <si>
    <t>2017 Christmas flyer sterling name imprint (50x)</t>
  </si>
  <si>
    <t>8715839063561</t>
  </si>
  <si>
    <t>49.68.01.47</t>
  </si>
  <si>
    <t>2017 Christmas flyer euro (50x)</t>
  </si>
  <si>
    <t>8715839063578</t>
  </si>
  <si>
    <t>49.68.01.48</t>
  </si>
  <si>
    <t>2017 Christmas flyer euro name imprint (50x)</t>
  </si>
  <si>
    <t>8715839063585</t>
  </si>
  <si>
    <t>49.68.01.49</t>
  </si>
  <si>
    <t>2017 Christmas flyer (50x)</t>
  </si>
  <si>
    <t>8715839063592</t>
  </si>
  <si>
    <t>49.68.01.50</t>
  </si>
  <si>
    <t>2017 Christmas flyer name imprint (50x)</t>
  </si>
  <si>
    <t>8715839063608</t>
  </si>
  <si>
    <t>49.68.01.51</t>
  </si>
  <si>
    <t>2018 Catalog NL</t>
  </si>
  <si>
    <t>8715839063615</t>
  </si>
  <si>
    <t>49.68.01.52</t>
  </si>
  <si>
    <t>2018 Catalog DE (50x)</t>
  </si>
  <si>
    <t>8715839063622</t>
  </si>
  <si>
    <t>49.68.01.53</t>
  </si>
  <si>
    <t>2018 Catalog EN (50x)</t>
  </si>
  <si>
    <t>8715839063639</t>
  </si>
  <si>
    <t>49.68.01.54</t>
  </si>
  <si>
    <t>2018 Catalog FR (50x)</t>
  </si>
  <si>
    <t>8715839063646</t>
  </si>
  <si>
    <t>49.68.01.55</t>
  </si>
  <si>
    <t>2018 Catalog USA EN (50x)</t>
  </si>
  <si>
    <t>8715839063653</t>
  </si>
  <si>
    <t>49.68.01.56</t>
  </si>
  <si>
    <t>2018 Catalog NL with imprint (50x)</t>
  </si>
  <si>
    <t>8715839063660</t>
  </si>
  <si>
    <t>49.68.01.57</t>
  </si>
  <si>
    <t>2018 Catalog DE with imprint (50x)</t>
  </si>
  <si>
    <t>8715839063677</t>
  </si>
  <si>
    <t>49.68.01.58</t>
  </si>
  <si>
    <t>2018 Catalog EN with imprint (50x)</t>
  </si>
  <si>
    <t>8715839063684</t>
  </si>
  <si>
    <t>49.68.01.59</t>
  </si>
  <si>
    <t>2018 Catalog FR with imprint (50x)</t>
  </si>
  <si>
    <t>8715839063691</t>
  </si>
  <si>
    <t>49.68.01.60</t>
  </si>
  <si>
    <t>2018 Specification list NL (50x)</t>
  </si>
  <si>
    <t>8715839063707</t>
  </si>
  <si>
    <t>49.68.01.61</t>
  </si>
  <si>
    <t>2018 Specification list DE (50x)</t>
  </si>
  <si>
    <t>8715839063714</t>
  </si>
  <si>
    <t>49.68.01.62</t>
  </si>
  <si>
    <t>2018 Specification list without prices (50x)</t>
  </si>
  <si>
    <t>8715839063721</t>
  </si>
  <si>
    <t>49.68.01.63</t>
  </si>
  <si>
    <t>2018 Specification list FR (50x)</t>
  </si>
  <si>
    <t>8715839063738</t>
  </si>
  <si>
    <t>49.68.01.64</t>
  </si>
  <si>
    <t>2018 Specification list sterling pounds (50x)</t>
  </si>
  <si>
    <t>8715839063745</t>
  </si>
  <si>
    <t>49.68.01.65</t>
  </si>
  <si>
    <t>2018 Specification list IR (50x)</t>
  </si>
  <si>
    <t>8715839063752</t>
  </si>
  <si>
    <t>49.68.01.66</t>
  </si>
  <si>
    <t>2018 Leisure Catalog NL (50x)</t>
  </si>
  <si>
    <t>8715839063769</t>
  </si>
  <si>
    <t>49.68.01.67</t>
  </si>
  <si>
    <t>2018 Leisure Catalog DE (50x)</t>
  </si>
  <si>
    <t>8715839063776</t>
  </si>
  <si>
    <t>49.68.01.68</t>
  </si>
  <si>
    <t>2018 Leisure Catalog EN (50x)</t>
  </si>
  <si>
    <t>8715839063783</t>
  </si>
  <si>
    <t>49.68.01.69</t>
  </si>
  <si>
    <t>2018 Leisure Catalog FR (50x)</t>
  </si>
  <si>
    <t>8715839059274</t>
  </si>
  <si>
    <t>49.68.11.00</t>
  </si>
  <si>
    <t>Package 2016 Brochure + pricelist NL a 50 pieces</t>
  </si>
  <si>
    <t>8715839059281</t>
  </si>
  <si>
    <t>49.68.11.01</t>
  </si>
  <si>
    <t>Package 2016 Brochure + pricelist DE a 50 pieces</t>
  </si>
  <si>
    <t>8715839059298</t>
  </si>
  <si>
    <t>49.68.11.02</t>
  </si>
  <si>
    <t>Package 2016 Brochure + pricelist EN with sterling a 50 pcs</t>
  </si>
  <si>
    <t>8715839059311</t>
  </si>
  <si>
    <t>49.68.11.03</t>
  </si>
  <si>
    <t>Package 2016 Brochure + pricelist IR a 50 pieces</t>
  </si>
  <si>
    <t>8715839059328</t>
  </si>
  <si>
    <t>49.68.11.04</t>
  </si>
  <si>
    <t>Package 2016 Brochure + EN productspecifications 50 pieces</t>
  </si>
  <si>
    <t>8715839059335</t>
  </si>
  <si>
    <t>49.68.11.05</t>
  </si>
  <si>
    <t>Package 2016 Brochure + pricelist FR a 50 pieces</t>
  </si>
  <si>
    <t>8715839061512</t>
  </si>
  <si>
    <t>49.68.11.06</t>
  </si>
  <si>
    <t>Package 2017 Catalog + pricelist NL (50x)</t>
  </si>
  <si>
    <t>8715839061529</t>
  </si>
  <si>
    <t>49.68.11.07</t>
  </si>
  <si>
    <t>Package 2017 Catalog + pricelist DE (50x)</t>
  </si>
  <si>
    <t>8715839061536</t>
  </si>
  <si>
    <t>49.68.11.08</t>
  </si>
  <si>
    <t>Package 2017 Catalog + pricelist EN (50x)</t>
  </si>
  <si>
    <t>8715839061543</t>
  </si>
  <si>
    <t>49.68.11.09</t>
  </si>
  <si>
    <t>Package 2017 Catalog + pricelist IR (50x)</t>
  </si>
  <si>
    <t>8715839061550</t>
  </si>
  <si>
    <t>49.68.11.10</t>
  </si>
  <si>
    <t>Package 2017 Catalog + pricelist FR (50x)</t>
  </si>
  <si>
    <t>8715839061567</t>
  </si>
  <si>
    <t>49.68.11.11</t>
  </si>
  <si>
    <t>Package 2017 Catalog + pricelist USA EN (50x)</t>
  </si>
  <si>
    <t>8715839061574</t>
  </si>
  <si>
    <t>49.68.11.12</t>
  </si>
  <si>
    <t>Package 2017 Catalog + pricelist USA FR (50x)</t>
  </si>
  <si>
    <t>8715839029987</t>
  </si>
  <si>
    <t>49.90.00.00</t>
  </si>
  <si>
    <t>Handleiding Elite+</t>
  </si>
  <si>
    <t>8715839030051</t>
  </si>
  <si>
    <t>49.90.00.01</t>
  </si>
  <si>
    <t>Manual Buddy 150 Italia</t>
  </si>
  <si>
    <t>8715839044805</t>
  </si>
  <si>
    <t>49.90.00.06</t>
  </si>
  <si>
    <t>Handleiding BERG Rally</t>
  </si>
  <si>
    <t>8715839044744</t>
  </si>
  <si>
    <t>49.90.00.09</t>
  </si>
  <si>
    <t>Handleiding Jeep Adventure</t>
  </si>
  <si>
    <t>8715839057461</t>
  </si>
  <si>
    <t>49.90.07.09</t>
  </si>
  <si>
    <t>Manual Wheel Spacerpack Compact&amp;XL</t>
  </si>
  <si>
    <t>8715839057478</t>
  </si>
  <si>
    <t>49.90.07.10</t>
  </si>
  <si>
    <t>Manual Solution 2 Wheel Spacerpack Compact&amp;XL</t>
  </si>
  <si>
    <t>8715839049879</t>
  </si>
  <si>
    <t>49.90.07.13</t>
  </si>
  <si>
    <t>Manual mod. Beach Wagon L/XL</t>
  </si>
  <si>
    <t>8715839061949</t>
  </si>
  <si>
    <t>49.90.07.65</t>
  </si>
  <si>
    <t>Manual Duo Chopper Theme</t>
  </si>
  <si>
    <t>49.90.07.68</t>
  </si>
  <si>
    <t>Manual Chopper theme</t>
  </si>
  <si>
    <t>8715839033205</t>
  </si>
  <si>
    <t>49.90.31.20</t>
  </si>
  <si>
    <t>User manual Silver Race</t>
  </si>
  <si>
    <t>8715839033212</t>
  </si>
  <si>
    <t>49.90.31.33</t>
  </si>
  <si>
    <t>Mont.handl. Wrangler AF</t>
  </si>
  <si>
    <t>49.90.33.00</t>
  </si>
  <si>
    <t>Mont.handl. Wrangler BF-3</t>
  </si>
  <si>
    <t>8715839028485</t>
  </si>
  <si>
    <t>49.90.35.33</t>
  </si>
  <si>
    <t>Gebruikshandleiding</t>
  </si>
  <si>
    <t>8715839033229</t>
  </si>
  <si>
    <t>49.90.35.50</t>
  </si>
  <si>
    <t>8715839033236</t>
  </si>
  <si>
    <t>49.90.35.51</t>
  </si>
  <si>
    <t>Spelregels Tattoo</t>
  </si>
  <si>
    <t>8715839033243</t>
  </si>
  <si>
    <t>49.90.35.52</t>
  </si>
  <si>
    <t>8715839033250</t>
  </si>
  <si>
    <t>49.90.35.53</t>
  </si>
  <si>
    <t>8715839033267</t>
  </si>
  <si>
    <t>49.90.35.60</t>
  </si>
  <si>
    <t>8715839033274</t>
  </si>
  <si>
    <t>49.90.35.61</t>
  </si>
  <si>
    <t>8715839033281</t>
  </si>
  <si>
    <t>49.90.35.62</t>
  </si>
  <si>
    <t>8715839033298</t>
  </si>
  <si>
    <t>49.90.36.01</t>
  </si>
  <si>
    <t>8715839060423</t>
  </si>
  <si>
    <t>49.90.38.00</t>
  </si>
  <si>
    <t>Manual Flatground Champion</t>
  </si>
  <si>
    <t>8715839045550</t>
  </si>
  <si>
    <t>49.90.39.02</t>
  </si>
  <si>
    <t>Handleiding BERG Route 66 AF</t>
  </si>
  <si>
    <t>8715839033304</t>
  </si>
  <si>
    <t>49.90.50.00</t>
  </si>
  <si>
    <t>8715839033311</t>
  </si>
  <si>
    <t>49.90.50.01</t>
  </si>
  <si>
    <t>8715839033328</t>
  </si>
  <si>
    <t>49.90.50.02</t>
  </si>
  <si>
    <t>8715839033335</t>
  </si>
  <si>
    <t>49.90.50.10</t>
  </si>
  <si>
    <t>8715839033342</t>
  </si>
  <si>
    <t>49.90.50.11</t>
  </si>
  <si>
    <t>8715839053630</t>
  </si>
  <si>
    <t>49.90.53.00</t>
  </si>
  <si>
    <t>Manual Gran Tour OffRoad 4seat</t>
  </si>
  <si>
    <t>8715839033359</t>
  </si>
  <si>
    <t>49.90.53.52</t>
  </si>
  <si>
    <t>Montagehandleiding</t>
  </si>
  <si>
    <t>8715839033366</t>
  </si>
  <si>
    <t>49.90.53.80</t>
  </si>
  <si>
    <t>8715839033373</t>
  </si>
  <si>
    <t>49.90.53.81</t>
  </si>
  <si>
    <t>Handleiding Stuurblokkade</t>
  </si>
  <si>
    <t>8715839033380</t>
  </si>
  <si>
    <t>49.90.53.82</t>
  </si>
  <si>
    <t>Handleiding Spoorstang</t>
  </si>
  <si>
    <t>8715839033397</t>
  </si>
  <si>
    <t>49.90.59.00</t>
  </si>
  <si>
    <t>8715839024555</t>
  </si>
  <si>
    <t>49.90.62.00</t>
  </si>
  <si>
    <t>8715839024746</t>
  </si>
  <si>
    <t>49.90.62.02</t>
  </si>
  <si>
    <t>8715839024753</t>
  </si>
  <si>
    <t>49.90.62.03</t>
  </si>
  <si>
    <t>8715839024760</t>
  </si>
  <si>
    <t>49.90.62.06</t>
  </si>
  <si>
    <t>8715839044874</t>
  </si>
  <si>
    <t>49.90.62.08</t>
  </si>
  <si>
    <t>Handleiding Buddy Hot Rod</t>
  </si>
  <si>
    <t>8715839033403</t>
  </si>
  <si>
    <t>49.93.01.00</t>
  </si>
  <si>
    <t>Garantie-aanvraag formulier NL</t>
  </si>
  <si>
    <t>8715839033410</t>
  </si>
  <si>
    <t>49.93.02.00</t>
  </si>
  <si>
    <t>Garantie-aanvraag formulier DE</t>
  </si>
  <si>
    <t>8715839033427</t>
  </si>
  <si>
    <t>49.93.03.00</t>
  </si>
  <si>
    <t>Garantie-aanvraag formulier EN</t>
  </si>
  <si>
    <t>8715839033434</t>
  </si>
  <si>
    <t>49.93.04.00</t>
  </si>
  <si>
    <t>8715839030242</t>
  </si>
  <si>
    <t>50.00.00.03</t>
  </si>
  <si>
    <t>Koppeling Junior Trailer</t>
  </si>
  <si>
    <t>8715839033441</t>
  </si>
  <si>
    <t>50.01.28.04</t>
  </si>
  <si>
    <t>Tandring</t>
  </si>
  <si>
    <t>8715839033458</t>
  </si>
  <si>
    <t>50.01.28.12</t>
  </si>
  <si>
    <t>Aandrijfbus</t>
  </si>
  <si>
    <t>8715839016499</t>
  </si>
  <si>
    <t>50.01.44.00</t>
  </si>
  <si>
    <t>Bagagebox (los)</t>
  </si>
  <si>
    <t>8715839033465</t>
  </si>
  <si>
    <t>50.01.62.01</t>
  </si>
  <si>
    <t>Sportstoel Comfort (Los)</t>
  </si>
  <si>
    <t>8715839033472</t>
  </si>
  <si>
    <t>50.02.01.16</t>
  </si>
  <si>
    <t>Spatbordplank (ovaal)</t>
  </si>
  <si>
    <t>8715839033489</t>
  </si>
  <si>
    <t>50.02.01.17</t>
  </si>
  <si>
    <t>Spatbordplank (per stuk)</t>
  </si>
  <si>
    <t>8715839033496</t>
  </si>
  <si>
    <t>50.06.19.01</t>
  </si>
  <si>
    <t>Zijschot</t>
  </si>
  <si>
    <t>8715839033502</t>
  </si>
  <si>
    <t>50.06.19.02</t>
  </si>
  <si>
    <t>Voorschot</t>
  </si>
  <si>
    <t>8715839033519</t>
  </si>
  <si>
    <t>50.06.19.03</t>
  </si>
  <si>
    <t>Bodemplank</t>
  </si>
  <si>
    <t>8715839012347</t>
  </si>
  <si>
    <t>50.06.19.04</t>
  </si>
  <si>
    <t>Achterschot Kipkar</t>
  </si>
  <si>
    <t>8715839033526</t>
  </si>
  <si>
    <t>50.06.90.50</t>
  </si>
  <si>
    <t>Hoekstuk voor zeilhuif</t>
  </si>
  <si>
    <t>8715839033533</t>
  </si>
  <si>
    <t>50.06.91.01</t>
  </si>
  <si>
    <t>Western Huif - los</t>
  </si>
  <si>
    <t>8715839050875</t>
  </si>
  <si>
    <t>50.07.00.00</t>
  </si>
  <si>
    <t>BOX Chairplate; Mud. Carrier; 460 tire; 71degr.</t>
  </si>
  <si>
    <t>8715839050882</t>
  </si>
  <si>
    <t>50.07.00.01</t>
  </si>
  <si>
    <t>BOX Chairplate; Mud. Carrier; 400 tire; 71degr.</t>
  </si>
  <si>
    <t>8715839050899</t>
  </si>
  <si>
    <t>50.07.00.02</t>
  </si>
  <si>
    <t>BOX Chairplate; Mud. Carrier; 400 tire; 90degr.</t>
  </si>
  <si>
    <t>8715839050905</t>
  </si>
  <si>
    <t>50.07.00.03</t>
  </si>
  <si>
    <t>BOX Chairplate; mud. Carrier; 400 tire;</t>
  </si>
  <si>
    <t>8715839061932</t>
  </si>
  <si>
    <t>50.07.00.05</t>
  </si>
  <si>
    <t>BOX; Chairplate; Fasteners; Duo Chopper Theme</t>
  </si>
  <si>
    <t>8715839033540</t>
  </si>
  <si>
    <t>50.07.10.01</t>
  </si>
  <si>
    <t>8715839033557</t>
  </si>
  <si>
    <t>50.07.10.02</t>
  </si>
  <si>
    <t>8715839033564</t>
  </si>
  <si>
    <t>50.07.10.03</t>
  </si>
  <si>
    <t>Voor- / achterschot</t>
  </si>
  <si>
    <t>8715839045284</t>
  </si>
  <si>
    <t>50.07.10.04</t>
  </si>
  <si>
    <t>Bottompanel Mod. Beach W. L</t>
  </si>
  <si>
    <t>8715839045277</t>
  </si>
  <si>
    <t>50.07.10.05</t>
  </si>
  <si>
    <t>Panel Mod. Beach W.XL+transf</t>
  </si>
  <si>
    <t>8715839045291</t>
  </si>
  <si>
    <t>50.07.10.06</t>
  </si>
  <si>
    <t>Sidepanel Mod. Beach W. L</t>
  </si>
  <si>
    <t>8715839045192</t>
  </si>
  <si>
    <t>50.07.10.07</t>
  </si>
  <si>
    <t>Mod. Beach Wagon Pack. Wood L</t>
  </si>
  <si>
    <t>8715839045185</t>
  </si>
  <si>
    <t>50.07.10.08</t>
  </si>
  <si>
    <t>Mod. Beach Wagon Pack. Frame</t>
  </si>
  <si>
    <t>8715839033571</t>
  </si>
  <si>
    <t>50.07.16.01</t>
  </si>
  <si>
    <t>(Bodemplank bkar XL)</t>
  </si>
  <si>
    <t>8715839033588</t>
  </si>
  <si>
    <t>50.07.16.02</t>
  </si>
  <si>
    <t>(Zijschot bkar XL)</t>
  </si>
  <si>
    <t>8715839033595</t>
  </si>
  <si>
    <t>50.07.16.03</t>
  </si>
  <si>
    <t>(Kopschot bkar XL)</t>
  </si>
  <si>
    <t>8715839045307</t>
  </si>
  <si>
    <t>50.07.16.04</t>
  </si>
  <si>
    <t>Bottompanel Mod. Beach W. XL</t>
  </si>
  <si>
    <t>8715839045314</t>
  </si>
  <si>
    <t>50.07.16.05</t>
  </si>
  <si>
    <t>Sidepanel Mod. Beach W. XL</t>
  </si>
  <si>
    <t>8715839045215</t>
  </si>
  <si>
    <t>50.07.17.01</t>
  </si>
  <si>
    <t>Mod. Beach Wagon Pack. Wood XL</t>
  </si>
  <si>
    <t>8715839045260</t>
  </si>
  <si>
    <t>50.07.17.05</t>
  </si>
  <si>
    <t>Panel Mod. Beach W. L + transf</t>
  </si>
  <si>
    <t>8715839033601</t>
  </si>
  <si>
    <t>50.07.91.01</t>
  </si>
  <si>
    <t>Western Huif  XL - los</t>
  </si>
  <si>
    <t>8715839033618</t>
  </si>
  <si>
    <t>50.14.11.00</t>
  </si>
  <si>
    <t>Rooster graver</t>
  </si>
  <si>
    <t>8715839059458</t>
  </si>
  <si>
    <t>50.18.00.00</t>
  </si>
  <si>
    <t>Large Trailer ex. wheels</t>
  </si>
  <si>
    <t>8715839033625</t>
  </si>
  <si>
    <t>50.20.11.00</t>
  </si>
  <si>
    <t>Veer standaard step</t>
  </si>
  <si>
    <t>8715839033632</t>
  </si>
  <si>
    <t>50.20.24.01</t>
  </si>
  <si>
    <t>Staplank</t>
  </si>
  <si>
    <t>8715839033649</t>
  </si>
  <si>
    <t>50.20.24.02</t>
  </si>
  <si>
    <t>Zitplank</t>
  </si>
  <si>
    <t>8715839033656</t>
  </si>
  <si>
    <t>50.21.22.01</t>
  </si>
  <si>
    <t>Plank kl step kunststof</t>
  </si>
  <si>
    <t>8715839046823</t>
  </si>
  <si>
    <t>50.25.10.03</t>
  </si>
  <si>
    <t>Frame Opbouwkart</t>
  </si>
  <si>
    <t>8715839033663</t>
  </si>
  <si>
    <t>50.28.20.00</t>
  </si>
  <si>
    <t>Plank tweezitter 04</t>
  </si>
  <si>
    <t>8715839033670</t>
  </si>
  <si>
    <t>50.28.23.00</t>
  </si>
  <si>
    <t>Set hout voor Tweezitter</t>
  </si>
  <si>
    <t>8715839046472</t>
  </si>
  <si>
    <t>50.29.00.00</t>
  </si>
  <si>
    <t>E-systeem naafsensor</t>
  </si>
  <si>
    <t>8715839046489</t>
  </si>
  <si>
    <t>50.29.00.01</t>
  </si>
  <si>
    <t>E-motorcontr. Rotatiesensor</t>
  </si>
  <si>
    <t>8715839046496</t>
  </si>
  <si>
    <t>50.29.00.02</t>
  </si>
  <si>
    <t>E-motor 350W</t>
  </si>
  <si>
    <t>8715839046502</t>
  </si>
  <si>
    <t>50.29.00.03</t>
  </si>
  <si>
    <t>E-gashendel</t>
  </si>
  <si>
    <t>8715839046519</t>
  </si>
  <si>
    <t>50.29.00.04</t>
  </si>
  <si>
    <t>E-rotatiesensor</t>
  </si>
  <si>
    <t>8715839046526</t>
  </si>
  <si>
    <t>50.29.00.05</t>
  </si>
  <si>
    <t>E-torsiesensor crank</t>
  </si>
  <si>
    <t>8715839046533</t>
  </si>
  <si>
    <t>50.29.00.06</t>
  </si>
  <si>
    <t>Accu 36V/15Ah</t>
  </si>
  <si>
    <t>8715839046540</t>
  </si>
  <si>
    <t>50.29.00.07</t>
  </si>
  <si>
    <t>Accu 36V/15Ah incl bevestiging</t>
  </si>
  <si>
    <t>8715839046557</t>
  </si>
  <si>
    <t>50.29.00.08</t>
  </si>
  <si>
    <t>Lader van accu 36V/15Ah</t>
  </si>
  <si>
    <t>8715839046366</t>
  </si>
  <si>
    <t>50.29.00.09</t>
  </si>
  <si>
    <t>E-torsiesensor naaf+M6schr</t>
  </si>
  <si>
    <t>8715839046373</t>
  </si>
  <si>
    <t>50.29.00.10</t>
  </si>
  <si>
    <t>E-CBSsensor+draad</t>
  </si>
  <si>
    <t>8715839046380</t>
  </si>
  <si>
    <t>50.29.00.11</t>
  </si>
  <si>
    <t>E-motorcontroller torsie naaf</t>
  </si>
  <si>
    <t>8715839046397</t>
  </si>
  <si>
    <t>50.29.00.12</t>
  </si>
  <si>
    <t>E-Display torsiesysteem naaf</t>
  </si>
  <si>
    <t>8715839046427</t>
  </si>
  <si>
    <t>50.29.00.13</t>
  </si>
  <si>
    <t>Torsiesensor crank</t>
  </si>
  <si>
    <t>8715839046434</t>
  </si>
  <si>
    <t>50.29.00.14</t>
  </si>
  <si>
    <t>trapas voor torsiesensor crank</t>
  </si>
  <si>
    <t>8715839046441</t>
  </si>
  <si>
    <t>50.29.00.15</t>
  </si>
  <si>
    <t>set cranks tbv torsiesns crank</t>
  </si>
  <si>
    <t>8715839046465</t>
  </si>
  <si>
    <t>50.29.00.16</t>
  </si>
  <si>
    <t>Torsiesensor crank (E-pakket)</t>
  </si>
  <si>
    <t>8715839046458</t>
  </si>
  <si>
    <t>50.29.00.17</t>
  </si>
  <si>
    <t>motorcontrol. torsiesens crank</t>
  </si>
  <si>
    <t>8715839043761</t>
  </si>
  <si>
    <t>50.30.01.10</t>
  </si>
  <si>
    <t>Veer Favorit (10x)</t>
  </si>
  <si>
    <t>8715839043778</t>
  </si>
  <si>
    <t>50.30.02.10</t>
  </si>
  <si>
    <t>Veer ""Gold Spring"" (10x)</t>
  </si>
  <si>
    <t>8715839027167</t>
  </si>
  <si>
    <t>50.30.03.09</t>
  </si>
  <si>
    <t>Springdoek GS 9ft (270)</t>
  </si>
  <si>
    <t>8715839027174</t>
  </si>
  <si>
    <t>50.30.03.11</t>
  </si>
  <si>
    <t>Springdoek GS 11ft (330)</t>
  </si>
  <si>
    <t>8715839027181</t>
  </si>
  <si>
    <t>50.30.03.12</t>
  </si>
  <si>
    <t>Springdoek GS 12,5ft (380)</t>
  </si>
  <si>
    <t>8715839027198</t>
  </si>
  <si>
    <t>50.30.03.14</t>
  </si>
  <si>
    <t>Springdoek GS 14ft (430)</t>
  </si>
  <si>
    <t>8715839043785</t>
  </si>
  <si>
    <t>50.30.03.34</t>
  </si>
  <si>
    <t>Springdoek GS 14ft (430)Tattoo</t>
  </si>
  <si>
    <t>8715839027211</t>
  </si>
  <si>
    <t>50.30.03.35</t>
  </si>
  <si>
    <t>Springdoek GS 15ft (460)Tattoo</t>
  </si>
  <si>
    <t>8715839043792</t>
  </si>
  <si>
    <t>50.30.03.58</t>
  </si>
  <si>
    <t>Springdoek GS EazyStore</t>
  </si>
  <si>
    <t>8715839029048</t>
  </si>
  <si>
    <t>50.30.04.11</t>
  </si>
  <si>
    <t>Springdoek JumpingStyles 330</t>
  </si>
  <si>
    <t>8715839029055</t>
  </si>
  <si>
    <t>50.30.04.14</t>
  </si>
  <si>
    <t>Springdoek JumpingStyles 430</t>
  </si>
  <si>
    <t>8715839033687</t>
  </si>
  <si>
    <t>50.30.06.00</t>
  </si>
  <si>
    <t>Springdoek 6ft (180)</t>
  </si>
  <si>
    <t>8715839027235</t>
  </si>
  <si>
    <t>50.30.06.27</t>
  </si>
  <si>
    <t>Beschermrand Favorit 180</t>
  </si>
  <si>
    <t>8715839043808</t>
  </si>
  <si>
    <t>50.30.09.01</t>
  </si>
  <si>
    <t>Beschermrand Favorit 270</t>
  </si>
  <si>
    <t>8715839026887</t>
  </si>
  <si>
    <t>50.30.09.02</t>
  </si>
  <si>
    <t>Springdoek Fav. 9ft (270)</t>
  </si>
  <si>
    <t>8715839029062</t>
  </si>
  <si>
    <t>50.30.09.21</t>
  </si>
  <si>
    <t>Beschermrand Champion 270</t>
  </si>
  <si>
    <t>8715839026771</t>
  </si>
  <si>
    <t>50.30.09.22</t>
  </si>
  <si>
    <t>8715839027068</t>
  </si>
  <si>
    <t>50.30.09.26</t>
  </si>
  <si>
    <t>Beschermrand InGround 270</t>
  </si>
  <si>
    <t>8715839033694</t>
  </si>
  <si>
    <t>50.30.09.27</t>
  </si>
  <si>
    <t>8715839042078</t>
  </si>
  <si>
    <t>50.30.09.47</t>
  </si>
  <si>
    <t>8715839033700</t>
  </si>
  <si>
    <t>50.30.11.00</t>
  </si>
  <si>
    <t>Springdoek 11ft (330) 70 veren</t>
  </si>
  <si>
    <t>8715839027259</t>
  </si>
  <si>
    <t>50.30.11.01</t>
  </si>
  <si>
    <t>Beschermrand Favorit 330</t>
  </si>
  <si>
    <t>8715839026894</t>
  </si>
  <si>
    <t>50.30.11.02</t>
  </si>
  <si>
    <t>Springdoek Fav. 11ft (330)</t>
  </si>
  <si>
    <t>8715839027266</t>
  </si>
  <si>
    <t>50.30.11.21</t>
  </si>
  <si>
    <t>Beschermrand Champion 330</t>
  </si>
  <si>
    <t>8715839043815</t>
  </si>
  <si>
    <t>50.30.11.22</t>
  </si>
  <si>
    <t>8715839030433</t>
  </si>
  <si>
    <t>50.30.11.26</t>
  </si>
  <si>
    <t>Beschermrand InGround 330</t>
  </si>
  <si>
    <t>8715839029079</t>
  </si>
  <si>
    <t>50.30.11.30</t>
  </si>
  <si>
    <t>Beschermrand Elite 330 Rood</t>
  </si>
  <si>
    <t>8715839029086</t>
  </si>
  <si>
    <t>50.30.11.37</t>
  </si>
  <si>
    <t>Beschermrand Elite 330 Groen</t>
  </si>
  <si>
    <t>8715839033717</t>
  </si>
  <si>
    <t>50.30.11.48</t>
  </si>
  <si>
    <t>Elastiek met twee bolletjes</t>
  </si>
  <si>
    <t>8715839025019</t>
  </si>
  <si>
    <t>50.30.11.51</t>
  </si>
  <si>
    <t>8715839025026</t>
  </si>
  <si>
    <t>50.30.11.57</t>
  </si>
  <si>
    <t>8715839033724</t>
  </si>
  <si>
    <t>50.30.11.61</t>
  </si>
  <si>
    <t>Springdoek 11ft (330) 72 veren</t>
  </si>
  <si>
    <t>8715839043822</t>
  </si>
  <si>
    <t>50.30.12.01</t>
  </si>
  <si>
    <t>Beschermrand Favorit 380</t>
  </si>
  <si>
    <t>8715839026900</t>
  </si>
  <si>
    <t>50.30.12.02</t>
  </si>
  <si>
    <t>Springdoek Fav. 12.5ft (380)</t>
  </si>
  <si>
    <t>8715839029093</t>
  </si>
  <si>
    <t>50.30.12.21</t>
  </si>
  <si>
    <t>Beschermrand Champion 380</t>
  </si>
  <si>
    <t>8715839043839</t>
  </si>
  <si>
    <t>50.30.12.22</t>
  </si>
  <si>
    <t>8715839030426</t>
  </si>
  <si>
    <t>50.30.12.26</t>
  </si>
  <si>
    <t>Beschermrand InGround 380</t>
  </si>
  <si>
    <t>8715839033731</t>
  </si>
  <si>
    <t>50.30.12.27</t>
  </si>
  <si>
    <t>8715839027273</t>
  </si>
  <si>
    <t>50.30.14.01</t>
  </si>
  <si>
    <t>Beschermrand Favorit 430</t>
  </si>
  <si>
    <t>8715839027280</t>
  </si>
  <si>
    <t>50.30.14.02</t>
  </si>
  <si>
    <t>Beschermrand Favorit Tattoo</t>
  </si>
  <si>
    <t>8715839026917</t>
  </si>
  <si>
    <t>50.30.14.04</t>
  </si>
  <si>
    <t>Springdoek Fav. 14ft (430)</t>
  </si>
  <si>
    <t>8715839043846</t>
  </si>
  <si>
    <t>50.30.14.13</t>
  </si>
  <si>
    <t>8715839029109</t>
  </si>
  <si>
    <t>50.30.14.21</t>
  </si>
  <si>
    <t>Beschermrand Champion 430</t>
  </si>
  <si>
    <t>8715839029116</t>
  </si>
  <si>
    <t>50.30.14.22</t>
  </si>
  <si>
    <t>Beschermrand Champ. 430 Tattoo</t>
  </si>
  <si>
    <t>8715839026801</t>
  </si>
  <si>
    <t>50.30.14.23</t>
  </si>
  <si>
    <t>8715839026818</t>
  </si>
  <si>
    <t>50.30.14.24</t>
  </si>
  <si>
    <t>Padding Champion 430 Tattoo</t>
  </si>
  <si>
    <t>8715839043853</t>
  </si>
  <si>
    <t>50.30.14.25</t>
  </si>
  <si>
    <t>8715839027297</t>
  </si>
  <si>
    <t>50.30.14.26</t>
  </si>
  <si>
    <t>Beschermrand InGround 430</t>
  </si>
  <si>
    <t>8715839033748</t>
  </si>
  <si>
    <t>50.30.14.28</t>
  </si>
  <si>
    <t>Beschermrand Tattoo F</t>
  </si>
  <si>
    <t>8715839029123</t>
  </si>
  <si>
    <t>50.30.14.31</t>
  </si>
  <si>
    <t>Beschermrand Elite 430 Rood</t>
  </si>
  <si>
    <t>8715839029130</t>
  </si>
  <si>
    <t>50.30.14.37</t>
  </si>
  <si>
    <t>Beschermrand Elite 430 groen</t>
  </si>
  <si>
    <t>8715839024500</t>
  </si>
  <si>
    <t>50.30.14.51</t>
  </si>
  <si>
    <t>8715839024517</t>
  </si>
  <si>
    <t>50.30.14.57</t>
  </si>
  <si>
    <t>Beschermrand Elite 430 Groen</t>
  </si>
  <si>
    <t>8715839043860</t>
  </si>
  <si>
    <t>50.30.15.78</t>
  </si>
  <si>
    <t>Beschermrand Tattoo 460 C</t>
  </si>
  <si>
    <t>8715839018721</t>
  </si>
  <si>
    <t>50.30.19.00</t>
  </si>
  <si>
    <t>8715839033755</t>
  </si>
  <si>
    <t>50.30.19.11</t>
  </si>
  <si>
    <t>Stalen poot Links v. trapje</t>
  </si>
  <si>
    <t>8715839033762</t>
  </si>
  <si>
    <t>50.30.19.12</t>
  </si>
  <si>
    <t>Stalen poot Rechts v. trapje</t>
  </si>
  <si>
    <t>8715839027839</t>
  </si>
  <si>
    <t>50.30.19.13</t>
  </si>
  <si>
    <t>Traptrede + opsluidoppen</t>
  </si>
  <si>
    <t>8715839033779</t>
  </si>
  <si>
    <t>50.30.19.15</t>
  </si>
  <si>
    <t>Foam trapje</t>
  </si>
  <si>
    <t>8715839028386</t>
  </si>
  <si>
    <t>50.30.20.00</t>
  </si>
  <si>
    <t>Spanhulp veren</t>
  </si>
  <si>
    <t>8715839020731</t>
  </si>
  <si>
    <t>50.30.21.02</t>
  </si>
  <si>
    <t>Springdoek 430 Tattoo</t>
  </si>
  <si>
    <t>8715839057522</t>
  </si>
  <si>
    <t>50.30.31.22</t>
  </si>
  <si>
    <t>Additional Elite+ Padding Sticker 330</t>
  </si>
  <si>
    <t>8715839057539</t>
  </si>
  <si>
    <t>50.30.31.23</t>
  </si>
  <si>
    <t>Additional Elite+ Padding Sticker 380</t>
  </si>
  <si>
    <t>8715839057546</t>
  </si>
  <si>
    <t>50.30.31.24</t>
  </si>
  <si>
    <t>Additional Elite+ Padding Sticker 430</t>
  </si>
  <si>
    <t>8715839033786</t>
  </si>
  <si>
    <t>50.30.41.00</t>
  </si>
  <si>
    <t>Springdoek 12,5ft (380)</t>
  </si>
  <si>
    <t>8715839022377</t>
  </si>
  <si>
    <t>50.30.41.61</t>
  </si>
  <si>
    <t>Beschermrand JS, 330 Zwart 2/2</t>
  </si>
  <si>
    <t>8715839022384</t>
  </si>
  <si>
    <t>50.30.41.62</t>
  </si>
  <si>
    <t>Beschermrand JS 330 Zilver 2/2</t>
  </si>
  <si>
    <t>8715839022391</t>
  </si>
  <si>
    <t>50.30.41.63</t>
  </si>
  <si>
    <t>Beschermrand JS, 330 Groen 2/2</t>
  </si>
  <si>
    <t>8715839023831</t>
  </si>
  <si>
    <t>50.30.41.64</t>
  </si>
  <si>
    <t>Beschermrand JS 330, 25 L.E.</t>
  </si>
  <si>
    <t>8715839045475</t>
  </si>
  <si>
    <t>50.30.41.65</t>
  </si>
  <si>
    <t>Foam Set JS 11ft (330) 13</t>
  </si>
  <si>
    <t>8715839022407</t>
  </si>
  <si>
    <t>50.30.44.61</t>
  </si>
  <si>
    <t>Beschermrand JS, 430 Zwart 2/2</t>
  </si>
  <si>
    <t>8715839022414</t>
  </si>
  <si>
    <t>50.30.44.62</t>
  </si>
  <si>
    <t>Beschermrand JS 430 Zilver 2/2</t>
  </si>
  <si>
    <t>8715839022421</t>
  </si>
  <si>
    <t>50.30.44.63</t>
  </si>
  <si>
    <t>Beschermrand JS, 430 Groen 2/2</t>
  </si>
  <si>
    <t>8715839023848</t>
  </si>
  <si>
    <t>50.30.44.64</t>
  </si>
  <si>
    <t>Beschermrand JS 430, 25 L.E.</t>
  </si>
  <si>
    <t>8715839043877</t>
  </si>
  <si>
    <t>50.30.64.17</t>
  </si>
  <si>
    <t>Beschermrand EazyStore 330x220</t>
  </si>
  <si>
    <t>8715839033793</t>
  </si>
  <si>
    <t>50.30.71.15</t>
  </si>
  <si>
    <t>Net 460 los</t>
  </si>
  <si>
    <t>8715839033809</t>
  </si>
  <si>
    <t>50.30.71.51</t>
  </si>
  <si>
    <t>Afdekkegel Safety net, zwart</t>
  </si>
  <si>
    <t>8715839027327</t>
  </si>
  <si>
    <t>50.30.71.53</t>
  </si>
  <si>
    <t>Poot (boven) voor Safety Net</t>
  </si>
  <si>
    <t>8715839043884</t>
  </si>
  <si>
    <t>50.30.71.54</t>
  </si>
  <si>
    <t>Poot (onder) voor Safety Net</t>
  </si>
  <si>
    <t>8715839027846</t>
  </si>
  <si>
    <t>50.30.71.55</t>
  </si>
  <si>
    <t>Foam (120 cm) voor Safety Net</t>
  </si>
  <si>
    <t>8715839027341</t>
  </si>
  <si>
    <t>50.30.71.56</t>
  </si>
  <si>
    <t>Foam (60 cm) voor Safety Net</t>
  </si>
  <si>
    <t>8715839043891</t>
  </si>
  <si>
    <t>50.30.72.09</t>
  </si>
  <si>
    <t>Net  270 los JS</t>
  </si>
  <si>
    <t>8715839043907</t>
  </si>
  <si>
    <t>50.30.72.12</t>
  </si>
  <si>
    <t>Net 380 los JS</t>
  </si>
  <si>
    <t>8715839043914</t>
  </si>
  <si>
    <t>50.30.72.21</t>
  </si>
  <si>
    <t>Net 330 los JS</t>
  </si>
  <si>
    <t>8715839043921</t>
  </si>
  <si>
    <t>50.30.72.24</t>
  </si>
  <si>
    <t>Net 430 los JS</t>
  </si>
  <si>
    <t>8715839027372</t>
  </si>
  <si>
    <t>50.30.73.09</t>
  </si>
  <si>
    <t>Net 270 los</t>
  </si>
  <si>
    <t>8715839043938</t>
  </si>
  <si>
    <t>50.30.73.11</t>
  </si>
  <si>
    <t>Net 330 los</t>
  </si>
  <si>
    <t>8715839043945</t>
  </si>
  <si>
    <t>50.30.73.12</t>
  </si>
  <si>
    <t>Net 380 los</t>
  </si>
  <si>
    <t>8715839043952</t>
  </si>
  <si>
    <t>50.30.73.13</t>
  </si>
  <si>
    <t>Net 360 los</t>
  </si>
  <si>
    <t>8715839043969</t>
  </si>
  <si>
    <t>50.30.73.14</t>
  </si>
  <si>
    <t>Net 430 los</t>
  </si>
  <si>
    <t>8715839046663</t>
  </si>
  <si>
    <t>50.30.73.39</t>
  </si>
  <si>
    <t>Sleeve SN TS with safety band</t>
  </si>
  <si>
    <t>8715839046922</t>
  </si>
  <si>
    <t>50.30.73.55</t>
  </si>
  <si>
    <t>Sleeve SN DLX with safety band</t>
  </si>
  <si>
    <t>8715839033816</t>
  </si>
  <si>
    <t>50.30.99.44</t>
  </si>
  <si>
    <t>Net 380 los 2005</t>
  </si>
  <si>
    <t>8715839028669</t>
  </si>
  <si>
    <t>50.36.00.10</t>
  </si>
  <si>
    <t>Veer  ""Elfje"" (10x)</t>
  </si>
  <si>
    <t>8715839030402</t>
  </si>
  <si>
    <t>50.36.10.30</t>
  </si>
  <si>
    <t>Springdoek Elfje 300</t>
  </si>
  <si>
    <t>8715839043976</t>
  </si>
  <si>
    <t>50.36.10.36</t>
  </si>
  <si>
    <t>Springdoek Elfje 360</t>
  </si>
  <si>
    <t>8715839028010</t>
  </si>
  <si>
    <t>50.36.10.43</t>
  </si>
  <si>
    <t>Springdoek Elfje 430</t>
  </si>
  <si>
    <t>8715839043983</t>
  </si>
  <si>
    <t>50.36.10.44</t>
  </si>
  <si>
    <t>8715839030372</t>
  </si>
  <si>
    <t>50.36.10.62</t>
  </si>
  <si>
    <t>Springdoek Elfje Hawaï 3.3</t>
  </si>
  <si>
    <t>8715839027426</t>
  </si>
  <si>
    <t>50.36.20.30</t>
  </si>
  <si>
    <t>Beschermrand Medium 300</t>
  </si>
  <si>
    <t>8715839043990</t>
  </si>
  <si>
    <t>50.36.20.36</t>
  </si>
  <si>
    <t>Beschermrand Medium 360</t>
  </si>
  <si>
    <t>8715839027440</t>
  </si>
  <si>
    <t>50.36.20.43</t>
  </si>
  <si>
    <t>Beschermrand Medium 430</t>
  </si>
  <si>
    <t>8715839033823</t>
  </si>
  <si>
    <t>50.36.27.30</t>
  </si>
  <si>
    <t>Beschermrand Extra 300</t>
  </si>
  <si>
    <t>8715839033830</t>
  </si>
  <si>
    <t>50.36.27.36</t>
  </si>
  <si>
    <t>Beschermrand Extra 360</t>
  </si>
  <si>
    <t>8715839033847</t>
  </si>
  <si>
    <t>50.36.27.43</t>
  </si>
  <si>
    <t>Beschermrand Extra 430</t>
  </si>
  <si>
    <t>8715839033854</t>
  </si>
  <si>
    <t>50.36.27.62</t>
  </si>
  <si>
    <t>Beschermrand Elfje Hawaï</t>
  </si>
  <si>
    <t>8715839033861</t>
  </si>
  <si>
    <t>50.36.27.83</t>
  </si>
  <si>
    <t>Elastiek afdekrand Elfje Hawaï</t>
  </si>
  <si>
    <t>8715839033878</t>
  </si>
  <si>
    <t>50.36.32.30</t>
  </si>
  <si>
    <t>Elfje 3.0 Extra</t>
  </si>
  <si>
    <t>8715839028768</t>
  </si>
  <si>
    <t>50.36.32.36</t>
  </si>
  <si>
    <t>Elfje 3.6 Extra</t>
  </si>
  <si>
    <t>8715839033885</t>
  </si>
  <si>
    <t>50.36.32.43</t>
  </si>
  <si>
    <t>Elfje 4.3 Extra</t>
  </si>
  <si>
    <t>8715839033892</t>
  </si>
  <si>
    <t>50.36.32.62</t>
  </si>
  <si>
    <t>Elfje Hawaï (zonder afdekrand)</t>
  </si>
  <si>
    <t>8715839033908</t>
  </si>
  <si>
    <t>50.39.21.04</t>
  </si>
  <si>
    <t>8715839053654</t>
  </si>
  <si>
    <t>50.45.10.13</t>
  </si>
  <si>
    <t>Frame Package Passenger Seat</t>
  </si>
  <si>
    <t>8715839033915</t>
  </si>
  <si>
    <t>50.46.01.00</t>
  </si>
  <si>
    <t>Zeilhuif voor Sunroof Go-Kart</t>
  </si>
  <si>
    <t>8715839033922</t>
  </si>
  <si>
    <t>50.46.02.00</t>
  </si>
  <si>
    <t>Tentstokkenset Sunroof skelter</t>
  </si>
  <si>
    <t>8715839033939</t>
  </si>
  <si>
    <t>50.47.00.15</t>
  </si>
  <si>
    <t>Freewheel BF-3/-7 met adapter</t>
  </si>
  <si>
    <t>8715839033946</t>
  </si>
  <si>
    <t>50.47.00.21</t>
  </si>
  <si>
    <t>Huis naaf BF-7 gelast</t>
  </si>
  <si>
    <t>8715839033953</t>
  </si>
  <si>
    <t>50.47.74.85</t>
  </si>
  <si>
    <t>O-ring voor buis 22 (boordcomp</t>
  </si>
  <si>
    <t>8715839033960</t>
  </si>
  <si>
    <t>50.47.74.86</t>
  </si>
  <si>
    <t>O-ring voor buis 40 (boordcomp</t>
  </si>
  <si>
    <t>8715839033977</t>
  </si>
  <si>
    <t>50.47.74.89</t>
  </si>
  <si>
    <t>Houder boordcomputer draaibaar</t>
  </si>
  <si>
    <t>8715839033984</t>
  </si>
  <si>
    <t>50.47.75.81</t>
  </si>
  <si>
    <t>Koplamp spoiler 2004</t>
  </si>
  <si>
    <t>8715839033991</t>
  </si>
  <si>
    <t>50.48.00.03</t>
  </si>
  <si>
    <t>Plank Pablo</t>
  </si>
  <si>
    <t>8715839034004</t>
  </si>
  <si>
    <t>50.48.31.01</t>
  </si>
  <si>
    <t>Plankje Lorry</t>
  </si>
  <si>
    <t>8715839034011</t>
  </si>
  <si>
    <t>50.48.35.00</t>
  </si>
  <si>
    <t>Plankje Taxi</t>
  </si>
  <si>
    <t>8715839027457</t>
  </si>
  <si>
    <t>50.50.03.20</t>
  </si>
  <si>
    <t>Steer protection foam</t>
  </si>
  <si>
    <t>8715839034028</t>
  </si>
  <si>
    <t>50.52.19.01</t>
  </si>
  <si>
    <t>Zijschot Vario</t>
  </si>
  <si>
    <t>8715839034035</t>
  </si>
  <si>
    <t>50.52.19.03</t>
  </si>
  <si>
    <t>Bodemplank Vario</t>
  </si>
  <si>
    <t>8715839034042</t>
  </si>
  <si>
    <t>50.53.07.01</t>
  </si>
  <si>
    <t>Bodemplank locomotief</t>
  </si>
  <si>
    <t>8715839034059</t>
  </si>
  <si>
    <t>50.53.08.00</t>
  </si>
  <si>
    <t>Gordel</t>
  </si>
  <si>
    <t>8715839034066</t>
  </si>
  <si>
    <t>50.53.11.01</t>
  </si>
  <si>
    <t>Stootblok</t>
  </si>
  <si>
    <t>8715839034073</t>
  </si>
  <si>
    <t>50.53.42.04</t>
  </si>
  <si>
    <t>Bodemplank Clipper</t>
  </si>
  <si>
    <t>8715839027464</t>
  </si>
  <si>
    <t>50.53.57.00</t>
  </si>
  <si>
    <t>8715839026306</t>
  </si>
  <si>
    <t>50.53.57.10</t>
  </si>
  <si>
    <t>Sunroof zonder frame</t>
  </si>
  <si>
    <t>8715839041255</t>
  </si>
  <si>
    <t>50.53.57.20</t>
  </si>
  <si>
    <t>8715839027471</t>
  </si>
  <si>
    <t>50.53.60.00</t>
  </si>
  <si>
    <t>Sunroof for Wagon</t>
  </si>
  <si>
    <t>8715839026825</t>
  </si>
  <si>
    <t>50.53.60.10</t>
  </si>
  <si>
    <t>Sunroof Wagon GranTour Orange</t>
  </si>
  <si>
    <t>8715839045154</t>
  </si>
  <si>
    <t>50.53.70.03</t>
  </si>
  <si>
    <t>Bus achtertandwiel spiebaan</t>
  </si>
  <si>
    <t>8715839046847</t>
  </si>
  <si>
    <t>50.53.81.19</t>
  </si>
  <si>
    <t>Vloerplaat GranTour</t>
  </si>
  <si>
    <t>8715839044812</t>
  </si>
  <si>
    <t>50.54.00.12</t>
  </si>
  <si>
    <t>Moer BF SW15 m.kraag</t>
  </si>
  <si>
    <t>8715839034097</t>
  </si>
  <si>
    <t>50.54.00.31</t>
  </si>
  <si>
    <t>Gripshift BF-3 + Kabel</t>
  </si>
  <si>
    <t>8715839034103</t>
  </si>
  <si>
    <t>50.54.00.36</t>
  </si>
  <si>
    <t>Moer BF-3/BF-7</t>
  </si>
  <si>
    <t>8715839034110</t>
  </si>
  <si>
    <t>50.54.00.37</t>
  </si>
  <si>
    <t>Borgplaatje BF-3/BF-7</t>
  </si>
  <si>
    <t>8715839034127</t>
  </si>
  <si>
    <t>50.54.00.39</t>
  </si>
  <si>
    <t>Kabelset gripshift BF-3</t>
  </si>
  <si>
    <t>8715839041743</t>
  </si>
  <si>
    <t>50.54.00.40</t>
  </si>
  <si>
    <t>8715839041750</t>
  </si>
  <si>
    <t>50.54.00.41</t>
  </si>
  <si>
    <t>8715839046410</t>
  </si>
  <si>
    <t>50.54.25.70</t>
  </si>
  <si>
    <t>Naaf BF-1 + beugel voor Esyst</t>
  </si>
  <si>
    <t>8715839046403</t>
  </si>
  <si>
    <t>50.54.25.80</t>
  </si>
  <si>
    <t>NaafBF-1+beugel+E-sensor gem.</t>
  </si>
  <si>
    <t>8715839034134</t>
  </si>
  <si>
    <t>50.56.00.11</t>
  </si>
  <si>
    <t>Gripshift BF-7</t>
  </si>
  <si>
    <t>8715839034141</t>
  </si>
  <si>
    <t>50.56.00.12</t>
  </si>
  <si>
    <t>Kabelset gripshift BF-7</t>
  </si>
  <si>
    <t>8715839041767</t>
  </si>
  <si>
    <t>50.59.00.01</t>
  </si>
  <si>
    <t>Plaatje kettingkast Balanzbike</t>
  </si>
  <si>
    <t>8715839034158</t>
  </si>
  <si>
    <t>50.60.64.01</t>
  </si>
  <si>
    <t>Rubber strip voor Schuif</t>
  </si>
  <si>
    <t>8715839046878</t>
  </si>
  <si>
    <t>50.60.64.02</t>
  </si>
  <si>
    <t>8715839041477</t>
  </si>
  <si>
    <t>50.62.00.10</t>
  </si>
  <si>
    <t>Buddy wielkappenset zwart</t>
  </si>
  <si>
    <t>8715839041484</t>
  </si>
  <si>
    <t>50.62.00.11</t>
  </si>
  <si>
    <t>Set wieldoppen Buddy, Rose</t>
  </si>
  <si>
    <t>8715839041491</t>
  </si>
  <si>
    <t>50.62.00.12</t>
  </si>
  <si>
    <t>Set wieldoppen Buddy, Geel</t>
  </si>
  <si>
    <t>8715839050929</t>
  </si>
  <si>
    <t>50.62.00.13</t>
  </si>
  <si>
    <t>Parking brake button Rally</t>
  </si>
  <si>
    <t>8715839024401</t>
  </si>
  <si>
    <t>50.62.01.01</t>
  </si>
  <si>
    <t>Kettingkast SW-760S</t>
  </si>
  <si>
    <t>8715839024418</t>
  </si>
  <si>
    <t>50.62.21.00</t>
  </si>
  <si>
    <t>Set BF-R incl. remanker</t>
  </si>
  <si>
    <t>8715839044829</t>
  </si>
  <si>
    <t>50.62.21.01</t>
  </si>
  <si>
    <t>8715839046335</t>
  </si>
  <si>
    <t>50.62.30.24</t>
  </si>
  <si>
    <t>Spoiler Buddy black no print</t>
  </si>
  <si>
    <t>8715839046342</t>
  </si>
  <si>
    <t>50.62.30.25</t>
  </si>
  <si>
    <t>Spoiler Buddy yellow no print</t>
  </si>
  <si>
    <t>8715839058611</t>
  </si>
  <si>
    <t>50.62.30.26</t>
  </si>
  <si>
    <t>Spoiler Buddy Case</t>
  </si>
  <si>
    <t>8715839028409</t>
  </si>
  <si>
    <t>50.63.20.01</t>
  </si>
  <si>
    <t>Afdekhoes Reservewiel 400</t>
  </si>
  <si>
    <t>8715839028393</t>
  </si>
  <si>
    <t>50.63.20.02</t>
  </si>
  <si>
    <t>Afdekhoes Reservewiel 460</t>
  </si>
  <si>
    <t>8715839044003</t>
  </si>
  <si>
    <t>50.63.20.11</t>
  </si>
  <si>
    <t>Afdekhoes Reservewiel JEEP</t>
  </si>
  <si>
    <t>8715839046687</t>
  </si>
  <si>
    <t>50.64.01.05</t>
  </si>
  <si>
    <t>Board 3C</t>
  </si>
  <si>
    <t>8715839046694</t>
  </si>
  <si>
    <t>50.64.01.06</t>
  </si>
  <si>
    <t>Board 4C</t>
  </si>
  <si>
    <t>8715839046700</t>
  </si>
  <si>
    <t>50.64.02.04</t>
  </si>
  <si>
    <t>Board 3S</t>
  </si>
  <si>
    <t>8715839046717</t>
  </si>
  <si>
    <t>50.64.02.06</t>
  </si>
  <si>
    <t>Board 5S</t>
  </si>
  <si>
    <t>8715839034165</t>
  </si>
  <si>
    <t>50.64.31.01</t>
  </si>
  <si>
    <t>Backrest Foam</t>
  </si>
  <si>
    <t>8715839034172</t>
  </si>
  <si>
    <t>50.64.32.01</t>
  </si>
  <si>
    <t>Seat Foam</t>
  </si>
  <si>
    <t>8715839034189</t>
  </si>
  <si>
    <t>50.64.33.01</t>
  </si>
  <si>
    <t>Spoiler Foam</t>
  </si>
  <si>
    <t>8715839034196</t>
  </si>
  <si>
    <t>50.64.43.01</t>
  </si>
  <si>
    <t>Handle</t>
  </si>
  <si>
    <t>8715839044867</t>
  </si>
  <si>
    <t>50.64.61.01</t>
  </si>
  <si>
    <t>Moov diplomablokje</t>
  </si>
  <si>
    <t>8715839034202</t>
  </si>
  <si>
    <t>50.65.00.06</t>
  </si>
  <si>
    <t>Sportstoel Comfort Ferrari</t>
  </si>
  <si>
    <t>8715839028720</t>
  </si>
  <si>
    <t>50.65.00.08</t>
  </si>
  <si>
    <t>Veiligheidsgordel Ferrari rood</t>
  </si>
  <si>
    <t>8715839029338</t>
  </si>
  <si>
    <t>50.66.02.01</t>
  </si>
  <si>
    <t>Logo bord 3-in-1 display</t>
  </si>
  <si>
    <t>8715839034219</t>
  </si>
  <si>
    <t>50.91.20.53</t>
  </si>
  <si>
    <t>Dynamo</t>
  </si>
  <si>
    <t>8715839034226</t>
  </si>
  <si>
    <t>50.91.20.55</t>
  </si>
  <si>
    <t>Achterlicht</t>
  </si>
  <si>
    <t>8715839057768</t>
  </si>
  <si>
    <t>50.92.00.09</t>
  </si>
  <si>
    <t>Sticker Shipping Mark</t>
  </si>
  <si>
    <t>8715839030167</t>
  </si>
  <si>
    <t>50.92.00.14</t>
  </si>
  <si>
    <t>Stickerset LED Spatbord</t>
  </si>
  <si>
    <t>8715839030174</t>
  </si>
  <si>
    <t>50.92.00.21</t>
  </si>
  <si>
    <t>Stickerset dashboard</t>
  </si>
  <si>
    <t>8715839030181</t>
  </si>
  <si>
    <t>50.92.00.22</t>
  </si>
  <si>
    <t>Sticker stoel Black Edit.</t>
  </si>
  <si>
    <t>8715839030198</t>
  </si>
  <si>
    <t>50.92.00.23</t>
  </si>
  <si>
    <t>Transfer logo 08 dark grey</t>
  </si>
  <si>
    <t>8715839045079</t>
  </si>
  <si>
    <t>50.92.00.42</t>
  </si>
  <si>
    <t>Zwaailamp blauw</t>
  </si>
  <si>
    <t>8715839045956</t>
  </si>
  <si>
    <t>50.92.00.50</t>
  </si>
  <si>
    <t>Sticker set Buddy Hot Rod</t>
  </si>
  <si>
    <t>8715839034233</t>
  </si>
  <si>
    <t>50.92.01.40</t>
  </si>
  <si>
    <t>Transfer logo BERG wit groot</t>
  </si>
  <si>
    <t>8715839034240</t>
  </si>
  <si>
    <t>50.92.01.41</t>
  </si>
  <si>
    <t>Transfer logo BERG zwart groot</t>
  </si>
  <si>
    <t>8715839034257</t>
  </si>
  <si>
    <t>50.92.01.63</t>
  </si>
  <si>
    <t>Badge alu rond BERG zw</t>
  </si>
  <si>
    <t>8715839034264</t>
  </si>
  <si>
    <t>50.92.02.10</t>
  </si>
  <si>
    <t>Stickerset stoel Binky</t>
  </si>
  <si>
    <t>8715839034271</t>
  </si>
  <si>
    <t>50.92.02.11</t>
  </si>
  <si>
    <t>Stickerset stoel Delta</t>
  </si>
  <si>
    <t>8715839034288</t>
  </si>
  <si>
    <t>50.92.02.31</t>
  </si>
  <si>
    <t>Sticset sportst zw/ge</t>
  </si>
  <si>
    <t>8715839034295</t>
  </si>
  <si>
    <t>50.92.02.32</t>
  </si>
  <si>
    <t>Sticker stoel ADAC</t>
  </si>
  <si>
    <t>8715839045543</t>
  </si>
  <si>
    <t>50.92.02.35</t>
  </si>
  <si>
    <t>Sticker stoel Route 66</t>
  </si>
  <si>
    <t>8715839041774</t>
  </si>
  <si>
    <t>50.92.02.61</t>
  </si>
  <si>
    <t>Sticker stoel Gold</t>
  </si>
  <si>
    <t>8715839034301</t>
  </si>
  <si>
    <t>50.92.02.63</t>
  </si>
  <si>
    <t>Stickerset sportstoel blauw</t>
  </si>
  <si>
    <t>8715839034318</t>
  </si>
  <si>
    <t>50.92.02.64</t>
  </si>
  <si>
    <t>Stickerset sportstoel oranje</t>
  </si>
  <si>
    <t>8715839034325</t>
  </si>
  <si>
    <t>50.92.02.66</t>
  </si>
  <si>
    <t>Sticker stoel X-Plorer</t>
  </si>
  <si>
    <t>8715839034332</t>
  </si>
  <si>
    <t>50.92.02.67</t>
  </si>
  <si>
    <t>Sticker stoel Racing</t>
  </si>
  <si>
    <t>8715839034349</t>
  </si>
  <si>
    <t>50.92.02.71</t>
  </si>
  <si>
    <t>Sticset sportst zw/zi</t>
  </si>
  <si>
    <t>8715839034356</t>
  </si>
  <si>
    <t>50.92.02.72</t>
  </si>
  <si>
    <t>Sticset sportst ro/zi</t>
  </si>
  <si>
    <t>8715839034363</t>
  </si>
  <si>
    <t>50.92.04.31</t>
  </si>
  <si>
    <t>Sticker kettkast Binky</t>
  </si>
  <si>
    <t>8715839034370</t>
  </si>
  <si>
    <t>50.92.04.32</t>
  </si>
  <si>
    <t>Sticker Spoiler Binky</t>
  </si>
  <si>
    <t>8715839053166</t>
  </si>
  <si>
    <t>50.92.07.69</t>
  </si>
  <si>
    <t>Sticker; License plate; John Deere</t>
  </si>
  <si>
    <t>8715839053173</t>
  </si>
  <si>
    <t>50.92.07.70</t>
  </si>
  <si>
    <t>Sticker; License plate; Fendt</t>
  </si>
  <si>
    <t>8715839053180</t>
  </si>
  <si>
    <t>50.92.07.71</t>
  </si>
  <si>
    <t>Sticker; License plate; Deutz Fahr</t>
  </si>
  <si>
    <t>8715839053197</t>
  </si>
  <si>
    <t>50.92.07.72</t>
  </si>
  <si>
    <t>Sticker; License plate; New Holland</t>
  </si>
  <si>
    <t>8715839053203</t>
  </si>
  <si>
    <t>50.92.07.75</t>
  </si>
  <si>
    <t>Sticker; License plate; Safari</t>
  </si>
  <si>
    <t>8715839046649</t>
  </si>
  <si>
    <t>50.92.10.31</t>
  </si>
  <si>
    <t>SP Stickerset Rally Orange</t>
  </si>
  <si>
    <t>8715839034387</t>
  </si>
  <si>
    <t>50.92.17.00</t>
  </si>
  <si>
    <t>Stickerset Dempy</t>
  </si>
  <si>
    <t>8715839034394</t>
  </si>
  <si>
    <t>50.92.31.01</t>
  </si>
  <si>
    <t>Sticset spoiler 7  ro/zi</t>
  </si>
  <si>
    <t>8715839034400</t>
  </si>
  <si>
    <t>50.92.31.02</t>
  </si>
  <si>
    <t>Sticset spoiler 7 zw/ge</t>
  </si>
  <si>
    <t>8715839034417</t>
  </si>
  <si>
    <t>50.92.31.03</t>
  </si>
  <si>
    <t>Stickset spoiler 7 zw/zi</t>
  </si>
  <si>
    <t>8715839034424</t>
  </si>
  <si>
    <t>50.92.31.04</t>
  </si>
  <si>
    <t>Sticset spoiler 7 rood/wit</t>
  </si>
  <si>
    <t>8715839034431</t>
  </si>
  <si>
    <t>50.92.31.14</t>
  </si>
  <si>
    <t>Sticset spoiler Monaco (5)</t>
  </si>
  <si>
    <t>8715839034448</t>
  </si>
  <si>
    <t>50.92.31.15</t>
  </si>
  <si>
    <t>Sticset spoiler 4x4 (5)</t>
  </si>
  <si>
    <t>8715839034455</t>
  </si>
  <si>
    <t>50.92.31.21</t>
  </si>
  <si>
    <t>Sticset spoiler politie (4)</t>
  </si>
  <si>
    <t>8715839034462</t>
  </si>
  <si>
    <t>50.92.31.24</t>
  </si>
  <si>
    <t>Stickerset spoiler Traxx</t>
  </si>
  <si>
    <t>8715839054040</t>
  </si>
  <si>
    <t>50.92.31.31</t>
  </si>
  <si>
    <t>Stick.set; Spoiler; Fendt</t>
  </si>
  <si>
    <t>8715839034479</t>
  </si>
  <si>
    <t>50.92.31.34</t>
  </si>
  <si>
    <t>Stickerset spoiler X-Plorer</t>
  </si>
  <si>
    <t>8715839054057</t>
  </si>
  <si>
    <t>50.92.31.35</t>
  </si>
  <si>
    <t>Stick.set; Spoiler; BERG John Deere</t>
  </si>
  <si>
    <t>8715839034486</t>
  </si>
  <si>
    <t>50.92.31.36</t>
  </si>
  <si>
    <t>Stickerset spoiler Construxx</t>
  </si>
  <si>
    <t>8715839034493</t>
  </si>
  <si>
    <t>50.92.31.37</t>
  </si>
  <si>
    <t>Sticset spoiler Case-IH (4)</t>
  </si>
  <si>
    <t>8715839054064</t>
  </si>
  <si>
    <t>50.92.31.41</t>
  </si>
  <si>
    <t>Stick.set; Spoiler; New Holland</t>
  </si>
  <si>
    <t>8715839054071</t>
  </si>
  <si>
    <t>50.92.31.45</t>
  </si>
  <si>
    <t>Sticset spoiler JEEP Exp.</t>
  </si>
  <si>
    <t>8715839034509</t>
  </si>
  <si>
    <t>50.92.31.49</t>
  </si>
  <si>
    <t>Sticker dashboard</t>
  </si>
  <si>
    <t>8715839034516</t>
  </si>
  <si>
    <t>50.92.31.82</t>
  </si>
  <si>
    <t>Transfer Safari</t>
  </si>
  <si>
    <t>8715839034523</t>
  </si>
  <si>
    <t>50.92.31.88</t>
  </si>
  <si>
    <t>Transfer Racing GTX-treme</t>
  </si>
  <si>
    <t>8715839034530</t>
  </si>
  <si>
    <t>50.92.39.47</t>
  </si>
  <si>
    <t>Sticker 142</t>
  </si>
  <si>
    <t>8715839044904</t>
  </si>
  <si>
    <t>50.92.39.49</t>
  </si>
  <si>
    <t>Sticset Route 66 voorkant</t>
  </si>
  <si>
    <t>8715839034547</t>
  </si>
  <si>
    <t>50.92.47.76</t>
  </si>
  <si>
    <t>Stickerset spoiler Racing</t>
  </si>
  <si>
    <t>8715839034554</t>
  </si>
  <si>
    <t>50.92.47.79</t>
  </si>
  <si>
    <t>Sticker dashboard spoiler04 bl</t>
  </si>
  <si>
    <t>8715839053616</t>
  </si>
  <si>
    <t>50.92.53.02</t>
  </si>
  <si>
    <t>Boxsticker; GT OffRoad 4seats</t>
  </si>
  <si>
    <t>8715839053623</t>
  </si>
  <si>
    <t>50.92.53.03</t>
  </si>
  <si>
    <t>Boxsticker; GT OffRoad 2seats</t>
  </si>
  <si>
    <t>50.92.53.04</t>
  </si>
  <si>
    <t>Boxsticker; GT Racer 4seats</t>
  </si>
  <si>
    <t>50.92.53.05</t>
  </si>
  <si>
    <t>Boxsticker; GT Racer 2seats</t>
  </si>
  <si>
    <t>8715839046946</t>
  </si>
  <si>
    <t>50.92.54.62</t>
  </si>
  <si>
    <t>Stickerset spatbord Reflex</t>
  </si>
  <si>
    <t>8715839034561</t>
  </si>
  <si>
    <t>50.92.60.02</t>
  </si>
  <si>
    <t>Sticker frame frontloader</t>
  </si>
  <si>
    <t>8715839034578</t>
  </si>
  <si>
    <t>50.92.60.03</t>
  </si>
  <si>
    <t>Sticker hendel frontloader</t>
  </si>
  <si>
    <t>8715839034585</t>
  </si>
  <si>
    <t>50.92.61.51</t>
  </si>
  <si>
    <t>Stickerset dashboard Compact</t>
  </si>
  <si>
    <t>8715839034592</t>
  </si>
  <si>
    <t>50.92.61.52</t>
  </si>
  <si>
    <t>Stickerset ""01"" Compact</t>
  </si>
  <si>
    <t>8715839041781</t>
  </si>
  <si>
    <t>50.92.61.54</t>
  </si>
  <si>
    <t>Sticker spoiler Gold</t>
  </si>
  <si>
    <t>8715839024562</t>
  </si>
  <si>
    <t>50.92.62.01</t>
  </si>
  <si>
    <t>Stickerset Triggy (3)</t>
  </si>
  <si>
    <t>8715839024777</t>
  </si>
  <si>
    <t>50.92.62.02</t>
  </si>
  <si>
    <t>Stickerset Buddy (2)</t>
  </si>
  <si>
    <t>8715839045963</t>
  </si>
  <si>
    <t>50.92.62.06</t>
  </si>
  <si>
    <t>Transfer logo JD Triggy</t>
  </si>
  <si>
    <t>8715839045567</t>
  </si>
  <si>
    <t>50.92.62.07</t>
  </si>
  <si>
    <t>Stickerset JD Triggy (2)</t>
  </si>
  <si>
    <t>8715839034608</t>
  </si>
  <si>
    <t>50.92.62.08</t>
  </si>
  <si>
    <t>Transfer Jeep Buddy</t>
  </si>
  <si>
    <t>8715839034615</t>
  </si>
  <si>
    <t>50.92.62.18</t>
  </si>
  <si>
    <t>Transfer frame Buddy Orange</t>
  </si>
  <si>
    <t>8715839034622</t>
  </si>
  <si>
    <t>50.92.62.21</t>
  </si>
  <si>
    <t>Transfer frame Buddy White</t>
  </si>
  <si>
    <t>8715839027754</t>
  </si>
  <si>
    <t>50.92.62.51</t>
  </si>
  <si>
    <t>Artwork Biky Grey</t>
  </si>
  <si>
    <t>8715839027761</t>
  </si>
  <si>
    <t>50.92.62.52</t>
  </si>
  <si>
    <t>Artwork Biky White</t>
  </si>
  <si>
    <t>8715839055894</t>
  </si>
  <si>
    <t>50.92.63.03</t>
  </si>
  <si>
    <t>Boxsticker Spare Wheels</t>
  </si>
  <si>
    <t>8715839057577</t>
  </si>
  <si>
    <t>50.92.99.47</t>
  </si>
  <si>
    <t>Label 38.1x70 mm blank</t>
  </si>
  <si>
    <t>8715839034639</t>
  </si>
  <si>
    <t>50.99.05.20</t>
  </si>
  <si>
    <t>Glijlager 20x24x15</t>
  </si>
  <si>
    <t>8715839034646</t>
  </si>
  <si>
    <t>50.99.06.20</t>
  </si>
  <si>
    <t>Glycodur 20</t>
  </si>
  <si>
    <t>8715839034653</t>
  </si>
  <si>
    <t>50.99.15.08</t>
  </si>
  <si>
    <t>Inslagdop 27 mm</t>
  </si>
  <si>
    <t>8715839016482</t>
  </si>
  <si>
    <t>50.99.15.12</t>
  </si>
  <si>
    <t>Inslagdop 40 mm</t>
  </si>
  <si>
    <t>8715839034660</t>
  </si>
  <si>
    <t>50.99.16.19</t>
  </si>
  <si>
    <t>Inslagdop buis 22x2</t>
  </si>
  <si>
    <t>8715839034677</t>
  </si>
  <si>
    <t>50.99.20.21</t>
  </si>
  <si>
    <t>Ring nylon 21x34x1.5</t>
  </si>
  <si>
    <t>8715839034684</t>
  </si>
  <si>
    <t>50.99.28.05</t>
  </si>
  <si>
    <t>Seegerring</t>
  </si>
  <si>
    <t>8715839016444</t>
  </si>
  <si>
    <t>50.99.32.15</t>
  </si>
  <si>
    <t>Stuur Big Trike z/stuurpen</t>
  </si>
  <si>
    <t>8715839034691</t>
  </si>
  <si>
    <t>50.99.32.21</t>
  </si>
  <si>
    <t>Stuurpen twister</t>
  </si>
  <si>
    <t>8715839016529</t>
  </si>
  <si>
    <t>50.99.42.00</t>
  </si>
  <si>
    <t>Veiligheidsvlag BERG</t>
  </si>
  <si>
    <t>8715839047141</t>
  </si>
  <si>
    <t>BERG vlag</t>
  </si>
  <si>
    <t>8715839034707</t>
  </si>
  <si>
    <t>50.99.44.00</t>
  </si>
  <si>
    <t>Veiligheidsvlag Pirato</t>
  </si>
  <si>
    <t>8715839034714</t>
  </si>
  <si>
    <t>50.99.45.06</t>
  </si>
  <si>
    <t>Handvat 22x95 mm</t>
  </si>
  <si>
    <t>8715839034721</t>
  </si>
  <si>
    <t>50.99.45.10</t>
  </si>
  <si>
    <t>Handvat voor kruiwagen</t>
  </si>
  <si>
    <t>8715839034738</t>
  </si>
  <si>
    <t>50.99.45.15</t>
  </si>
  <si>
    <t>Handvat</t>
  </si>
  <si>
    <t>8715839045741</t>
  </si>
  <si>
    <t>50.99.45.16</t>
  </si>
  <si>
    <t>Handvat Trike rond 40</t>
  </si>
  <si>
    <t>8715839034745</t>
  </si>
  <si>
    <t>50.99.45.22</t>
  </si>
  <si>
    <t>Remhandvat</t>
  </si>
  <si>
    <t>8715839034752</t>
  </si>
  <si>
    <t>50.99.45.27</t>
  </si>
  <si>
    <t>Handvat rond 27, Driewielers</t>
  </si>
  <si>
    <t>8715839034769</t>
  </si>
  <si>
    <t>50.99.60.26</t>
  </si>
  <si>
    <t>Koord Takel</t>
  </si>
  <si>
    <t>8715839034776</t>
  </si>
  <si>
    <t>50.99.65.05</t>
  </si>
  <si>
    <t>Windwerk takel</t>
  </si>
  <si>
    <t>8715839034783</t>
  </si>
  <si>
    <t>50.99.65.06</t>
  </si>
  <si>
    <t>Slinger Takel</t>
  </si>
  <si>
    <t>8715839034790</t>
  </si>
  <si>
    <t>50.99.65.15</t>
  </si>
  <si>
    <t>Looprol Takel</t>
  </si>
  <si>
    <t>8715839034806</t>
  </si>
  <si>
    <t>50.99.89.55</t>
  </si>
  <si>
    <t>Reflector oranje</t>
  </si>
  <si>
    <t>8715839034813</t>
  </si>
  <si>
    <t>50.99.89.56</t>
  </si>
  <si>
    <t>Reflector Wit Rond</t>
  </si>
  <si>
    <t>8715839045437</t>
  </si>
  <si>
    <t>51.00.00.00</t>
  </si>
  <si>
    <t>SP Junior bucket groen+stick</t>
  </si>
  <si>
    <t>8715839045444</t>
  </si>
  <si>
    <t>51.00.00.01</t>
  </si>
  <si>
    <t>SP Sticker set BERG Dempy</t>
  </si>
  <si>
    <t>8715839061963</t>
  </si>
  <si>
    <t>51.00.00.02</t>
  </si>
  <si>
    <t>Dempy - Frame</t>
  </si>
  <si>
    <t>8715839045451</t>
  </si>
  <si>
    <t>51.00.00.03</t>
  </si>
  <si>
    <t>SP handvat set</t>
  </si>
  <si>
    <t>8715839050035</t>
  </si>
  <si>
    <t>51.07.00.01</t>
  </si>
  <si>
    <t>SP Mod. Rear Frame BFR Hub</t>
  </si>
  <si>
    <t>8715839050042</t>
  </si>
  <si>
    <t>51.07.00.02</t>
  </si>
  <si>
    <t>SP Compact Sport Spoiler</t>
  </si>
  <si>
    <t>8715839050059</t>
  </si>
  <si>
    <t>51.07.00.03</t>
  </si>
  <si>
    <t>SP Compact Pink Spoiler</t>
  </si>
  <si>
    <t>8715839050066</t>
  </si>
  <si>
    <t>51.07.00.04</t>
  </si>
  <si>
    <t>SP Mod. Rear frame Crank L+R</t>
  </si>
  <si>
    <t>8715839050073</t>
  </si>
  <si>
    <t>51.07.00.05</t>
  </si>
  <si>
    <t>SP Compact Sport Chair</t>
  </si>
  <si>
    <t>8715839050080</t>
  </si>
  <si>
    <t>51.07.00.06</t>
  </si>
  <si>
    <t>SP Compact Pink Chair</t>
  </si>
  <si>
    <t>8715839050097</t>
  </si>
  <si>
    <t>51.07.00.07</t>
  </si>
  <si>
    <t>SP Mod. Rear frame Chain 120s&amp;44s thin incl.ss</t>
  </si>
  <si>
    <t>8715839050103</t>
  </si>
  <si>
    <t>51.07.00.08</t>
  </si>
  <si>
    <t>SP Compact Sport Stickerset</t>
  </si>
  <si>
    <t>8715839050110</t>
  </si>
  <si>
    <t>51.07.00.09</t>
  </si>
  <si>
    <t>SP Compact Pink Stickerset</t>
  </si>
  <si>
    <t>8715839050127</t>
  </si>
  <si>
    <t>51.07.00.10</t>
  </si>
  <si>
    <t>SP Mod. Rear Frame Chainguard</t>
  </si>
  <si>
    <t>8715839050134</t>
  </si>
  <si>
    <t>51.07.00.11</t>
  </si>
  <si>
    <t>SP Mod. Rear Frame Crank assy</t>
  </si>
  <si>
    <t>8715839050141</t>
  </si>
  <si>
    <t>51.07.00.12</t>
  </si>
  <si>
    <t>SP Mod. Rear Frame</t>
  </si>
  <si>
    <t>8715839050158</t>
  </si>
  <si>
    <t>51.07.00.13</t>
  </si>
  <si>
    <t>SP Mod. Rear Frame Brake bar D350mm</t>
  </si>
  <si>
    <t>8715839050165</t>
  </si>
  <si>
    <t>51.07.00.14</t>
  </si>
  <si>
    <t>SP Compact Chair frame</t>
  </si>
  <si>
    <t>8715839050172</t>
  </si>
  <si>
    <t>51.07.00.15</t>
  </si>
  <si>
    <t>SP Compact Front frame</t>
  </si>
  <si>
    <t>8715839050189</t>
  </si>
  <si>
    <t>51.07.00.16</t>
  </si>
  <si>
    <t>SP Compact Steering parts</t>
  </si>
  <si>
    <t>8715839050196</t>
  </si>
  <si>
    <t>51.07.00.17</t>
  </si>
  <si>
    <t>SP Mod. Rear Frame Rear axle outer set</t>
  </si>
  <si>
    <t>8715839050202</t>
  </si>
  <si>
    <t>51.07.00.18</t>
  </si>
  <si>
    <t>SP Mod. Rear Frame Rear axle inner set</t>
  </si>
  <si>
    <t>8715839050219</t>
  </si>
  <si>
    <t>51.07.00.19</t>
  </si>
  <si>
    <t>SP Fastener bag Mod. Rear Frame</t>
  </si>
  <si>
    <t>8715839050226</t>
  </si>
  <si>
    <t>51.07.00.20</t>
  </si>
  <si>
    <t>SP fastener bag compact THEME</t>
  </si>
  <si>
    <t>8715839051650</t>
  </si>
  <si>
    <t>51.07.00.21</t>
  </si>
  <si>
    <t>SP XL frame brake bar assembly</t>
  </si>
  <si>
    <t>8715839051667</t>
  </si>
  <si>
    <t>51.07.00.22</t>
  </si>
  <si>
    <t>SP XL Frame Mudguard Carrier 71 degr. and 460 Tire</t>
  </si>
  <si>
    <t>8715839051674</t>
  </si>
  <si>
    <t>51.07.00.23</t>
  </si>
  <si>
    <t>SP XL Frame Mudguard Carrier 71 degr. and 400 Tire</t>
  </si>
  <si>
    <t>8715839051681</t>
  </si>
  <si>
    <t>51.07.00.24</t>
  </si>
  <si>
    <t>SP XL Frame Mudguard Carrier 90 degr. and 400 Tire</t>
  </si>
  <si>
    <t>8715839051698</t>
  </si>
  <si>
    <t>51.07.00.25</t>
  </si>
  <si>
    <t>SP XL Frame Mudguard Carrier straight and 400 Tire</t>
  </si>
  <si>
    <t>8715839051704</t>
  </si>
  <si>
    <t>51.07.00.26</t>
  </si>
  <si>
    <t>SP XL Frame adjustable steeringbars</t>
  </si>
  <si>
    <t>8715839051711</t>
  </si>
  <si>
    <t>51.07.00.27</t>
  </si>
  <si>
    <t>SP XL frame Rear axle fasteners</t>
  </si>
  <si>
    <t>8715839051728</t>
  </si>
  <si>
    <t>51.07.00.28</t>
  </si>
  <si>
    <t>SP XL Frame Steering bar support</t>
  </si>
  <si>
    <t>8715839051735</t>
  </si>
  <si>
    <t>51.07.00.29</t>
  </si>
  <si>
    <t>SP XL Frame Steering tube</t>
  </si>
  <si>
    <t>8715839051742</t>
  </si>
  <si>
    <t>51.07.00.30</t>
  </si>
  <si>
    <t>SP XL/Compact Frame Chains (front and rear)</t>
  </si>
  <si>
    <t>8715839051759</t>
  </si>
  <si>
    <t>51.07.00.31</t>
  </si>
  <si>
    <t>SP XL/Compact Frame Crank assembly (total package)</t>
  </si>
  <si>
    <t>8715839051766</t>
  </si>
  <si>
    <t>51.07.00.32</t>
  </si>
  <si>
    <t>SP XL/Compact frame Cranks 140 36T</t>
  </si>
  <si>
    <t>8715839051773</t>
  </si>
  <si>
    <t>51.07.00.33</t>
  </si>
  <si>
    <t>SP XL Frame Chair frame for models with 400 tires at the bac</t>
  </si>
  <si>
    <t>8715839051780</t>
  </si>
  <si>
    <t>51.07.00.34</t>
  </si>
  <si>
    <t>SP XL Frame Chair frame for models with 460 tires at the bac</t>
  </si>
  <si>
    <t>8715839051797</t>
  </si>
  <si>
    <t>51.07.00.35</t>
  </si>
  <si>
    <t>SP XL Frame Fastener bag</t>
  </si>
  <si>
    <t>8715839051803</t>
  </si>
  <si>
    <t>51.07.00.36</t>
  </si>
  <si>
    <t>SP XL Frame plastic parts</t>
  </si>
  <si>
    <t>8715839051810</t>
  </si>
  <si>
    <t>51.07.00.37</t>
  </si>
  <si>
    <t>8715839051827</t>
  </si>
  <si>
    <t>51.07.00.38</t>
  </si>
  <si>
    <t>SP XL Frame Remaining fasteners</t>
  </si>
  <si>
    <t>8715839051834</t>
  </si>
  <si>
    <t>51.07.00.39</t>
  </si>
  <si>
    <t>SP XL/Compact Frame Sturmey Gripshift incl. Cable</t>
  </si>
  <si>
    <t>8715839051841</t>
  </si>
  <si>
    <t>51.07.00.40</t>
  </si>
  <si>
    <t>SP XL/Compact Frame Sturmey Archer hub (excl. gripshift)</t>
  </si>
  <si>
    <t>8715839051858</t>
  </si>
  <si>
    <t>51.07.00.41</t>
  </si>
  <si>
    <t>SP XL/Compact Frame BFR Hub</t>
  </si>
  <si>
    <t>8715839051865</t>
  </si>
  <si>
    <t>51.07.00.42</t>
  </si>
  <si>
    <t>SP BERG Steering Wheel</t>
  </si>
  <si>
    <t>8715839051872</t>
  </si>
  <si>
    <t>51.07.00.43</t>
  </si>
  <si>
    <t>SP XL/Compact Frame Pedals</t>
  </si>
  <si>
    <t>8715839053760</t>
  </si>
  <si>
    <t>51.07.00.44</t>
  </si>
  <si>
    <t>SP Tap M8</t>
  </si>
  <si>
    <t>8715839054200</t>
  </si>
  <si>
    <t>51.07.00.46</t>
  </si>
  <si>
    <t>SP Chainguard back</t>
  </si>
  <si>
    <t>8715839054217</t>
  </si>
  <si>
    <t>51.07.00.47</t>
  </si>
  <si>
    <t>SP Chainguard front</t>
  </si>
  <si>
    <t>8715839056785</t>
  </si>
  <si>
    <t>51.07.00.48</t>
  </si>
  <si>
    <t>SP Mudguard Carrier 360, 180 degr.</t>
  </si>
  <si>
    <t>8715839056792</t>
  </si>
  <si>
    <t>51.07.00.49</t>
  </si>
  <si>
    <t>SP Compact Bracing Rod and  Steering Tube</t>
  </si>
  <si>
    <t>8715839056808</t>
  </si>
  <si>
    <t>51.07.00.50</t>
  </si>
  <si>
    <t>SP Compact frame brake bar assembly</t>
  </si>
  <si>
    <t>8715839056815</t>
  </si>
  <si>
    <t>51.07.00.51</t>
  </si>
  <si>
    <t>SP Assembly Set (Compact Frame Boxes)</t>
  </si>
  <si>
    <t>8715839056884</t>
  </si>
  <si>
    <t>51.07.00.52</t>
  </si>
  <si>
    <t>SP Plastic Parts</t>
  </si>
  <si>
    <t>8715839056822</t>
  </si>
  <si>
    <t>51.07.00.53</t>
  </si>
  <si>
    <t>SP Chainset 122/118s and 44s</t>
  </si>
  <si>
    <t>8715839056778</t>
  </si>
  <si>
    <t>51.07.00.54</t>
  </si>
  <si>
    <t>8715839056839</t>
  </si>
  <si>
    <t>51.07.00.55</t>
  </si>
  <si>
    <t>SP Sturmey Archer (replacement for I-motion hub))</t>
  </si>
  <si>
    <t>8715839056945</t>
  </si>
  <si>
    <t>51.07.00.56</t>
  </si>
  <si>
    <t>SP route 66 front steer</t>
  </si>
  <si>
    <t>8715839056952</t>
  </si>
  <si>
    <t>51.07.00.57</t>
  </si>
  <si>
    <t>SP Mudguard Front route 66</t>
  </si>
  <si>
    <t>8715839056969</t>
  </si>
  <si>
    <t>51.07.00.58</t>
  </si>
  <si>
    <t>Plastic caps Route 66</t>
  </si>
  <si>
    <t>8715839056976</t>
  </si>
  <si>
    <t>51.07.00.59</t>
  </si>
  <si>
    <t>SP  Fastener bag Mod. Chopper theme</t>
  </si>
  <si>
    <t>8715839057584</t>
  </si>
  <si>
    <t>51.07.00.60</t>
  </si>
  <si>
    <t>SP Stub Axle Set Compact</t>
  </si>
  <si>
    <t>8715839057751</t>
  </si>
  <si>
    <t>51.07.00.61</t>
  </si>
  <si>
    <t>SP Steering bar Compact</t>
  </si>
  <si>
    <t>8715839057782</t>
  </si>
  <si>
    <t>51.07.00.62</t>
  </si>
  <si>
    <t>BERG Rear Axle Heavy Duty</t>
  </si>
  <si>
    <t>8715839057850</t>
  </si>
  <si>
    <t>51.07.00.63</t>
  </si>
  <si>
    <t>SP Rear axle Right</t>
  </si>
  <si>
    <t>8715839058260</t>
  </si>
  <si>
    <t>51.07.00.64</t>
  </si>
  <si>
    <t>SP Steering bearing + End cone</t>
  </si>
  <si>
    <t>8715839058338</t>
  </si>
  <si>
    <t>51.07.00.65</t>
  </si>
  <si>
    <t>SP Bearing Fitting Washer</t>
  </si>
  <si>
    <t>8715839059397</t>
  </si>
  <si>
    <t>51.07.00.66</t>
  </si>
  <si>
    <t>SP Suspension rear axle XL</t>
  </si>
  <si>
    <t>8715839059403</t>
  </si>
  <si>
    <t>51.07.00.67</t>
  </si>
  <si>
    <t>SP Rear outer left axle</t>
  </si>
  <si>
    <t>8715839059410</t>
  </si>
  <si>
    <t>51.07.00.68</t>
  </si>
  <si>
    <t>SP Rear outer right axle</t>
  </si>
  <si>
    <t>8715839061659</t>
  </si>
  <si>
    <t>51.07.00.69</t>
  </si>
  <si>
    <t>XL Frame - Rear left axle solid</t>
  </si>
  <si>
    <t>8715839061666</t>
  </si>
  <si>
    <t>51.07.00.70</t>
  </si>
  <si>
    <t>XL Frame - Rear right axle solid</t>
  </si>
  <si>
    <t>8715839061673</t>
  </si>
  <si>
    <t>51.07.00.71</t>
  </si>
  <si>
    <t>XL Frame - Rear axle center set</t>
  </si>
  <si>
    <t>8715839061789</t>
  </si>
  <si>
    <t>51.07.00.72</t>
  </si>
  <si>
    <t>XL Frame - Rear axle left Duo Chopper</t>
  </si>
  <si>
    <t>8715839061796</t>
  </si>
  <si>
    <t>51.07.00.73</t>
  </si>
  <si>
    <t>XL Frame - Assembly set Duo Chopper frame</t>
  </si>
  <si>
    <t>8715839061802</t>
  </si>
  <si>
    <t>51.07.00.74</t>
  </si>
  <si>
    <t>XL Frame - Mudguard Sidecar Duo Chopper</t>
  </si>
  <si>
    <t>8715839061819</t>
  </si>
  <si>
    <t>51.07.00.75</t>
  </si>
  <si>
    <t>8715839061826</t>
  </si>
  <si>
    <t>51.07.00.76</t>
  </si>
  <si>
    <t>XL Frame - Brake bar + parking brake Duo Chopper</t>
  </si>
  <si>
    <t>8715839061833</t>
  </si>
  <si>
    <t>51.07.00.77</t>
  </si>
  <si>
    <t>XL Frame - Protection foam Sidecar Duo Chopper</t>
  </si>
  <si>
    <t>8715839061840</t>
  </si>
  <si>
    <t>51.07.00.78</t>
  </si>
  <si>
    <t>XL Frame - Hub BF</t>
  </si>
  <si>
    <t>8715839062922</t>
  </si>
  <si>
    <t>51.07.00.79</t>
  </si>
  <si>
    <t>XL Frame – small chain BFR-3 hub</t>
  </si>
  <si>
    <t>8715839049893</t>
  </si>
  <si>
    <t>51.07.10.00</t>
  </si>
  <si>
    <t>Spareprts Mod. Beach Wag.Frame</t>
  </si>
  <si>
    <t>8715839056921</t>
  </si>
  <si>
    <t>51.07.10.01</t>
  </si>
  <si>
    <t>SP Asssembly set Beach Wagon</t>
  </si>
  <si>
    <t>8715839058550</t>
  </si>
  <si>
    <t>51.07.10.02</t>
  </si>
  <si>
    <t>SP Front/backpanel Beachwagon</t>
  </si>
  <si>
    <t>8715839054361</t>
  </si>
  <si>
    <t>51.15.00.00</t>
  </si>
  <si>
    <t>SP Spoiler Extra Sport</t>
  </si>
  <si>
    <t>8715839054378</t>
  </si>
  <si>
    <t>51.15.00.01</t>
  </si>
  <si>
    <t>SP Spoiler X-Cross</t>
  </si>
  <si>
    <t>8715839054095</t>
  </si>
  <si>
    <t>51.15.00.02</t>
  </si>
  <si>
    <t>SP Spoiler Black Edition</t>
  </si>
  <si>
    <t>8715839054224</t>
  </si>
  <si>
    <t>51.15.00.03</t>
  </si>
  <si>
    <t>SP Spoiler X-plore</t>
  </si>
  <si>
    <t>8715839054231</t>
  </si>
  <si>
    <t>51.15.00.04</t>
  </si>
  <si>
    <t>SP Spoiler Race</t>
  </si>
  <si>
    <t>8715839054385</t>
  </si>
  <si>
    <t>51.15.00.05</t>
  </si>
  <si>
    <t>SP Spoiler Jeep Revolution</t>
  </si>
  <si>
    <t>8715839054392</t>
  </si>
  <si>
    <t>51.15.00.06</t>
  </si>
  <si>
    <t>SP Spoiler Safari</t>
  </si>
  <si>
    <t>8715839054408</t>
  </si>
  <si>
    <t>51.15.00.07</t>
  </si>
  <si>
    <t>SP Spoiler John Deere</t>
  </si>
  <si>
    <t>8715839054415</t>
  </si>
  <si>
    <t>51.15.00.08</t>
  </si>
  <si>
    <t>SP Spoiler Fendt</t>
  </si>
  <si>
    <t>8715839054248</t>
  </si>
  <si>
    <t>51.15.00.09</t>
  </si>
  <si>
    <t>SP Spoiler Deutz Fahr</t>
  </si>
  <si>
    <t>8715839054255</t>
  </si>
  <si>
    <t>51.15.00.10</t>
  </si>
  <si>
    <t>SP Spoiler CLAAS</t>
  </si>
  <si>
    <t>8715839054262</t>
  </si>
  <si>
    <t>51.15.00.11</t>
  </si>
  <si>
    <t>SP Spoiler New Holland</t>
  </si>
  <si>
    <t>8715839054422</t>
  </si>
  <si>
    <t>51.15.00.12</t>
  </si>
  <si>
    <t>SP Spoiler Case-IH</t>
  </si>
  <si>
    <t>8715839054439</t>
  </si>
  <si>
    <t>51.15.00.13</t>
  </si>
  <si>
    <t>SP Seat Blue</t>
  </si>
  <si>
    <t>8715839054101</t>
  </si>
  <si>
    <t>51.15.00.14</t>
  </si>
  <si>
    <t>SP Chair X-Cross</t>
  </si>
  <si>
    <t>8715839054118</t>
  </si>
  <si>
    <t>51.15.00.15</t>
  </si>
  <si>
    <t>SP Chair Black Edition</t>
  </si>
  <si>
    <t>8715839054446</t>
  </si>
  <si>
    <t>51.15.00.16</t>
  </si>
  <si>
    <t>SP Chair X-plore</t>
  </si>
  <si>
    <t>8715839054453</t>
  </si>
  <si>
    <t>51.15.00.17</t>
  </si>
  <si>
    <t>SP Chair Race</t>
  </si>
  <si>
    <t>8715839054460</t>
  </si>
  <si>
    <t>51.15.00.18</t>
  </si>
  <si>
    <t>SP Chair JEEP Revolution</t>
  </si>
  <si>
    <t>8715839054477</t>
  </si>
  <si>
    <t>51.15.00.19</t>
  </si>
  <si>
    <t>SP Chair Safari</t>
  </si>
  <si>
    <t>8715839054484</t>
  </si>
  <si>
    <t>51.15.00.20</t>
  </si>
  <si>
    <t>SP Chair John Deere</t>
  </si>
  <si>
    <t>8715839054491</t>
  </si>
  <si>
    <t>51.15.00.21</t>
  </si>
  <si>
    <t>SP Chair Fendt</t>
  </si>
  <si>
    <t>8715839054507</t>
  </si>
  <si>
    <t>51.15.00.22</t>
  </si>
  <si>
    <t>SP Chair Deutz Fahr</t>
  </si>
  <si>
    <t>8715839054514</t>
  </si>
  <si>
    <t>51.15.00.23</t>
  </si>
  <si>
    <t>SP Chair Claas</t>
  </si>
  <si>
    <t>8715839054149</t>
  </si>
  <si>
    <t>51.15.00.24</t>
  </si>
  <si>
    <t>SP Chair New Holland</t>
  </si>
  <si>
    <t>8715839054521</t>
  </si>
  <si>
    <t>51.15.00.25</t>
  </si>
  <si>
    <t>SP Chair Case-IH</t>
  </si>
  <si>
    <t>8715839054538</t>
  </si>
  <si>
    <t>51.15.00.26</t>
  </si>
  <si>
    <t>SP Chair Route 66</t>
  </si>
  <si>
    <t>8715839054545</t>
  </si>
  <si>
    <t>51.15.00.27</t>
  </si>
  <si>
    <t>SP Front mudguards Black</t>
  </si>
  <si>
    <t>8715839054552</t>
  </si>
  <si>
    <t>51.15.00.28</t>
  </si>
  <si>
    <t>SP Front mudguards Race</t>
  </si>
  <si>
    <t>8715839054569</t>
  </si>
  <si>
    <t>51.15.00.29</t>
  </si>
  <si>
    <t>SP Front mudguards Green</t>
  </si>
  <si>
    <t>8715839054576</t>
  </si>
  <si>
    <t>51.15.00.30</t>
  </si>
  <si>
    <t>SP Rear Mudguards 90 Degr. Black</t>
  </si>
  <si>
    <t>8715839054583</t>
  </si>
  <si>
    <t>51.15.00.31</t>
  </si>
  <si>
    <t>SP Rear Mudguards 71 Degr. Black Edition</t>
  </si>
  <si>
    <t>8715839054590</t>
  </si>
  <si>
    <t>51.15.00.32</t>
  </si>
  <si>
    <t>SP Rear Mudguards 71 Degr. X-plore</t>
  </si>
  <si>
    <t>8715839054606</t>
  </si>
  <si>
    <t>51.15.00.33</t>
  </si>
  <si>
    <t>SP Rear Mudguards 71 Degr. Race</t>
  </si>
  <si>
    <t>8715839054613</t>
  </si>
  <si>
    <t>51.15.00.34</t>
  </si>
  <si>
    <t>SP Rear Mudguards 90 Degr. JEEP</t>
  </si>
  <si>
    <t>8715839054620</t>
  </si>
  <si>
    <t>51.15.00.35</t>
  </si>
  <si>
    <t>SP Rear Mudguards 71 Degr.  Black</t>
  </si>
  <si>
    <t>8715839054279</t>
  </si>
  <si>
    <t>51.15.00.36</t>
  </si>
  <si>
    <t>SP Rear Mudguards 71 Degr. John Deere</t>
  </si>
  <si>
    <t>8715839054286</t>
  </si>
  <si>
    <t>51.15.00.37</t>
  </si>
  <si>
    <t>SP Rear Mudguards 71 Degr.  Fendt</t>
  </si>
  <si>
    <t>8715839054293</t>
  </si>
  <si>
    <t>51.15.00.38</t>
  </si>
  <si>
    <t>SP Rear Mudguards 71 Degr. Deutz Fahr</t>
  </si>
  <si>
    <t>8715839054309</t>
  </si>
  <si>
    <t>51.15.00.39</t>
  </si>
  <si>
    <t>SP Rear Mudguards 71 Degr. Claas</t>
  </si>
  <si>
    <t>8715839054316</t>
  </si>
  <si>
    <t>51.15.00.40</t>
  </si>
  <si>
    <t>SP Rear Mudguards 71 Degr. New Holland</t>
  </si>
  <si>
    <t>8715839054637</t>
  </si>
  <si>
    <t>51.15.00.41</t>
  </si>
  <si>
    <t>SP Rear Mudguards 71 Degr. Case-IH</t>
  </si>
  <si>
    <t>8715839054644</t>
  </si>
  <si>
    <t>51.15.00.42</t>
  </si>
  <si>
    <t>SP Rear Mudguards 71 Degr. Route 66</t>
  </si>
  <si>
    <t>8715839056600</t>
  </si>
  <si>
    <t>51.15.00.43</t>
  </si>
  <si>
    <t>SP Sticker set Basic/Extra/Extra Sport</t>
  </si>
  <si>
    <t>8715839056617</t>
  </si>
  <si>
    <t>51.15.00.44</t>
  </si>
  <si>
    <t>SP Sticker set X-Cross</t>
  </si>
  <si>
    <t>8715839056624</t>
  </si>
  <si>
    <t>51.15.00.45</t>
  </si>
  <si>
    <t>SP Sticker set Black Edition</t>
  </si>
  <si>
    <t>8715839054323</t>
  </si>
  <si>
    <t>51.15.00.46</t>
  </si>
  <si>
    <t>SP Sticker set X-Plore</t>
  </si>
  <si>
    <t>8715839056631</t>
  </si>
  <si>
    <t>51.15.00.47</t>
  </si>
  <si>
    <t>SP Sticker set Race</t>
  </si>
  <si>
    <t>8715839056648</t>
  </si>
  <si>
    <t>51.15.00.48</t>
  </si>
  <si>
    <t>SP Sticker set Jeep Revolution</t>
  </si>
  <si>
    <t>8715839056655</t>
  </si>
  <si>
    <t>51.15.00.49</t>
  </si>
  <si>
    <t>SP Sticker set Safari</t>
  </si>
  <si>
    <t>8715839054743</t>
  </si>
  <si>
    <t>51.15.00.50</t>
  </si>
  <si>
    <t>SP Sticker set John Deere</t>
  </si>
  <si>
    <t>8715839056662</t>
  </si>
  <si>
    <t>51.15.00.51</t>
  </si>
  <si>
    <t>SP Sticker set Fendt</t>
  </si>
  <si>
    <t>8715839056679</t>
  </si>
  <si>
    <t>51.15.00.52</t>
  </si>
  <si>
    <t>SP Sticker set Deutz Fahr</t>
  </si>
  <si>
    <t>8715839056686</t>
  </si>
  <si>
    <t>51.15.00.53</t>
  </si>
  <si>
    <t>SP Sticker set CLAAS</t>
  </si>
  <si>
    <t>8715839056693</t>
  </si>
  <si>
    <t>51.15.00.54</t>
  </si>
  <si>
    <t>SP Sticker set New Holland</t>
  </si>
  <si>
    <t>8715839056709</t>
  </si>
  <si>
    <t>51.15.00.55</t>
  </si>
  <si>
    <t>SP Sticker set Case-IH</t>
  </si>
  <si>
    <t>8715839056716</t>
  </si>
  <si>
    <t>51.15.00.56</t>
  </si>
  <si>
    <t>SP Sticker set Route 66</t>
  </si>
  <si>
    <t>8715839061765</t>
  </si>
  <si>
    <t>51.15.00.57</t>
  </si>
  <si>
    <t>XL Frame - Seat Duo Chopper</t>
  </si>
  <si>
    <t>8715839061772</t>
  </si>
  <si>
    <t>51.15.00.58</t>
  </si>
  <si>
    <t>XL Frame - Sticker set Duo Chopper</t>
  </si>
  <si>
    <t>8715839056983</t>
  </si>
  <si>
    <t>51.16.00.00</t>
  </si>
  <si>
    <t>SP Package Bulldozer Blade</t>
  </si>
  <si>
    <t>8715839056006</t>
  </si>
  <si>
    <t>51.16.00.01</t>
  </si>
  <si>
    <t>SP Flashing orange light</t>
  </si>
  <si>
    <t>8715839054194</t>
  </si>
  <si>
    <t>51.16.00.02</t>
  </si>
  <si>
    <t>Fastener bag + clamp base</t>
  </si>
  <si>
    <t>8715839056891</t>
  </si>
  <si>
    <t>51.16.00.03</t>
  </si>
  <si>
    <t>SP Fasteners Trailer Frame</t>
  </si>
  <si>
    <t>8715839056907</t>
  </si>
  <si>
    <t>51.16.00.05</t>
  </si>
  <si>
    <t>SP Fasteners Front Lift</t>
  </si>
  <si>
    <t>8715839056914</t>
  </si>
  <si>
    <t>51.16.00.06</t>
  </si>
  <si>
    <t>SP Rear Lift Assembly set</t>
  </si>
  <si>
    <t>8715839057041</t>
  </si>
  <si>
    <t>51.16.00.07</t>
  </si>
  <si>
    <t>SP Spare Wheel frame</t>
  </si>
  <si>
    <t>8715839057058</t>
  </si>
  <si>
    <t>51.16.00.08</t>
  </si>
  <si>
    <t>SP Side skirts plastic L+R</t>
  </si>
  <si>
    <t>8715839057065</t>
  </si>
  <si>
    <t>51.16.00.09</t>
  </si>
  <si>
    <t>SP Fasteners Side skirts</t>
  </si>
  <si>
    <t>8715839057072</t>
  </si>
  <si>
    <t>51.16.00.10</t>
  </si>
  <si>
    <t>SP Fasteners Passenger seat</t>
  </si>
  <si>
    <t>8715839055733</t>
  </si>
  <si>
    <t>51.18.00.00</t>
  </si>
  <si>
    <t>SP Large Trailer Hook</t>
  </si>
  <si>
    <t>8715839055740</t>
  </si>
  <si>
    <t>51.18.00.01</t>
  </si>
  <si>
    <t>SP Large Trailer Posts</t>
  </si>
  <si>
    <t>8715839055757</t>
  </si>
  <si>
    <t>51.18.00.02</t>
  </si>
  <si>
    <t>SP Large Trailer Bucket</t>
  </si>
  <si>
    <t>8715839055764</t>
  </si>
  <si>
    <t>51.18.00.03</t>
  </si>
  <si>
    <t>SP Large Trailer Rear Cover</t>
  </si>
  <si>
    <t>8715839055771</t>
  </si>
  <si>
    <t>51.18.00.04</t>
  </si>
  <si>
    <t>SP Large Trailer Wheel Caps</t>
  </si>
  <si>
    <t>8715839055788</t>
  </si>
  <si>
    <t>51.18.00.06</t>
  </si>
  <si>
    <t>SP Large Trailer All Fasteners</t>
  </si>
  <si>
    <t>8715839055795</t>
  </si>
  <si>
    <t>51.18.00.07</t>
  </si>
  <si>
    <t>SP Stickersheet Large Trailer</t>
  </si>
  <si>
    <t>8715839056853</t>
  </si>
  <si>
    <t>51.24.00.00</t>
  </si>
  <si>
    <t>Crank legs 1sprocket 2pedals</t>
  </si>
  <si>
    <t>8715839057157</t>
  </si>
  <si>
    <t>51.24.10.01</t>
  </si>
  <si>
    <t>SP Handle Right Street-X</t>
  </si>
  <si>
    <t>8715839057164</t>
  </si>
  <si>
    <t>51.24.10.02</t>
  </si>
  <si>
    <t>SP Handle Left Street-X</t>
  </si>
  <si>
    <t>8715839057171</t>
  </si>
  <si>
    <t>51.24.10.03</t>
  </si>
  <si>
    <t>SP Mudguard Complete Left Street-X</t>
  </si>
  <si>
    <t>8715839057188</t>
  </si>
  <si>
    <t>51.24.10.04</t>
  </si>
  <si>
    <t>SP Mudguard Plastic Left Street-X</t>
  </si>
  <si>
    <t>8715839057195</t>
  </si>
  <si>
    <t>51.24.10.05</t>
  </si>
  <si>
    <t>SP Mudguard Complete Right Street-X</t>
  </si>
  <si>
    <t>8715839057201</t>
  </si>
  <si>
    <t>51.24.10.06</t>
  </si>
  <si>
    <t>SP Mudguard Plastic Right Street-X</t>
  </si>
  <si>
    <t>8715839057218</t>
  </si>
  <si>
    <t>51.24.10.07</t>
  </si>
  <si>
    <t>SP Plastic Chainguard Street-X</t>
  </si>
  <si>
    <t>8715839057225</t>
  </si>
  <si>
    <t>51.24.10.08</t>
  </si>
  <si>
    <t>SP Chain 1/2x1/8 HV40 Street-X</t>
  </si>
  <si>
    <t>8715839057232</t>
  </si>
  <si>
    <t>51.24.10.09</t>
  </si>
  <si>
    <t>SP Gear+Crank Street-X</t>
  </si>
  <si>
    <t>8715839057249</t>
  </si>
  <si>
    <t>51.24.10.10</t>
  </si>
  <si>
    <t>SP Crank Street-X</t>
  </si>
  <si>
    <t>8715839057294</t>
  </si>
  <si>
    <t>51.24.10.11</t>
  </si>
  <si>
    <t>SP Front Wheel Street-X</t>
  </si>
  <si>
    <t>8715839057256</t>
  </si>
  <si>
    <t>51.24.10.12</t>
  </si>
  <si>
    <t>SP Chair Street-X</t>
  </si>
  <si>
    <t>8715839057300</t>
  </si>
  <si>
    <t>51.24.10.13</t>
  </si>
  <si>
    <t>SP Rear Wheel Street-X</t>
  </si>
  <si>
    <t>8715839057263</t>
  </si>
  <si>
    <t>51.24.10.14</t>
  </si>
  <si>
    <t>SP Fasteners Street-X</t>
  </si>
  <si>
    <t>8715839057270</t>
  </si>
  <si>
    <t>51.24.10.15</t>
  </si>
  <si>
    <t>SP Small Plastics Street-X</t>
  </si>
  <si>
    <t>8715839057287</t>
  </si>
  <si>
    <t>51.24.10.16</t>
  </si>
  <si>
    <t>SP Sticker Sheet Street-X</t>
  </si>
  <si>
    <t>8715839062175</t>
  </si>
  <si>
    <t>51.24.10.17</t>
  </si>
  <si>
    <t>Street-X - Chain guard green</t>
  </si>
  <si>
    <t>8715839062182</t>
  </si>
  <si>
    <t>51.24.10.18</t>
  </si>
  <si>
    <t>Wheel  black 12.5x2.25-8 slick + BFR-Hub</t>
  </si>
  <si>
    <t>8715839057621</t>
  </si>
  <si>
    <t>51.24.15.00</t>
  </si>
  <si>
    <t>SP Choppy Handgrip</t>
  </si>
  <si>
    <t>8715839057638</t>
  </si>
  <si>
    <t>51.24.15.01</t>
  </si>
  <si>
    <t>SP Steer assembly  Choppy</t>
  </si>
  <si>
    <t>8715839059595</t>
  </si>
  <si>
    <t>51.24.15.02</t>
  </si>
  <si>
    <t>Choppy - Assemblyset + Steer connector</t>
  </si>
  <si>
    <t>8715839057591</t>
  </si>
  <si>
    <t>51.24.20.00</t>
  </si>
  <si>
    <t>Chainguard Buddy (black)</t>
  </si>
  <si>
    <t>8715839057607</t>
  </si>
  <si>
    <t>51.24.20.01</t>
  </si>
  <si>
    <t>Chainguard Buddy (2 parts)</t>
  </si>
  <si>
    <t>8715839057836</t>
  </si>
  <si>
    <t>51.24.20.02</t>
  </si>
  <si>
    <t>SP Chaing. + Spoiler stickers Jeep Adv.</t>
  </si>
  <si>
    <t>8715839057898</t>
  </si>
  <si>
    <t>51.24.20.03</t>
  </si>
  <si>
    <t>SP Chainguard Black/Blue</t>
  </si>
  <si>
    <t>8715839057904</t>
  </si>
  <si>
    <t>51.24.20.04</t>
  </si>
  <si>
    <t>SP Assembly set Buddy</t>
  </si>
  <si>
    <t>8715839057911</t>
  </si>
  <si>
    <t>51.24.20.05</t>
  </si>
  <si>
    <t>SP BMW small plastics</t>
  </si>
  <si>
    <t>8715839057928</t>
  </si>
  <si>
    <t>51.24.20.06</t>
  </si>
  <si>
    <t>SP BMW front spoiler plastics</t>
  </si>
  <si>
    <t>8715839057935</t>
  </si>
  <si>
    <t>51.24.20.07</t>
  </si>
  <si>
    <t>SP BMW rear spoiler plastics</t>
  </si>
  <si>
    <t>8715839057942</t>
  </si>
  <si>
    <t>51.24.20.08</t>
  </si>
  <si>
    <t>SP Fastners Buddy BMW plastics</t>
  </si>
  <si>
    <t>8715839058604</t>
  </si>
  <si>
    <t>51.24.20.09</t>
  </si>
  <si>
    <t>SP BF-R incl. Fixation</t>
  </si>
  <si>
    <t>8715839059069</t>
  </si>
  <si>
    <t>51.24.20.20</t>
  </si>
  <si>
    <t>SP Junior Trailer badly running wheels</t>
  </si>
  <si>
    <t>8715839059663</t>
  </si>
  <si>
    <t>51.24.20.21</t>
  </si>
  <si>
    <t>Buddy - Ball bearing traction wheel</t>
  </si>
  <si>
    <t>8715839060126</t>
  </si>
  <si>
    <t>51.24.20.22</t>
  </si>
  <si>
    <t>Buddy - Steering Tube Black</t>
  </si>
  <si>
    <t>8715839064230</t>
  </si>
  <si>
    <t>51.24.40.00</t>
  </si>
  <si>
    <t>Rally - Parking brake</t>
  </si>
  <si>
    <t>8715839055931</t>
  </si>
  <si>
    <t>51.28.00.00</t>
  </si>
  <si>
    <t>SP Steering rods Buddy PRO</t>
  </si>
  <si>
    <t>8715839055948</t>
  </si>
  <si>
    <t>51.28.00.01</t>
  </si>
  <si>
    <t>SP Fusee L &amp; R Buddy PRO</t>
  </si>
  <si>
    <t>8715839055955</t>
  </si>
  <si>
    <t>51.28.00.02</t>
  </si>
  <si>
    <t>SP Spoiler Buddy PRO</t>
  </si>
  <si>
    <t>8715839055962</t>
  </si>
  <si>
    <t>51.28.00.03</t>
  </si>
  <si>
    <t>SP Artwork Buddy PRO</t>
  </si>
  <si>
    <t>8715839055979</t>
  </si>
  <si>
    <t>51.28.00.04</t>
  </si>
  <si>
    <t>SP Buddy PRO seat</t>
  </si>
  <si>
    <t>8715839055986</t>
  </si>
  <si>
    <t>51.28.00.05</t>
  </si>
  <si>
    <t>SP Buddy PRO wheel caps</t>
  </si>
  <si>
    <t>8715839050707</t>
  </si>
  <si>
    <t>51.29.00.00</t>
  </si>
  <si>
    <t>Battery lock</t>
  </si>
  <si>
    <t>8715839055801</t>
  </si>
  <si>
    <t>51.29.00.01</t>
  </si>
  <si>
    <t>Battery SP E-GT</t>
  </si>
  <si>
    <t>8715839055818</t>
  </si>
  <si>
    <t>51.29.00.02</t>
  </si>
  <si>
    <t>Charger SP of E-GT battery</t>
  </si>
  <si>
    <t>8715839055825</t>
  </si>
  <si>
    <t>51.29.00.03</t>
  </si>
  <si>
    <t>Battery mounting parts SP E-GT</t>
  </si>
  <si>
    <t>8715839055832</t>
  </si>
  <si>
    <t>51.29.00.04</t>
  </si>
  <si>
    <t>E-sensor SP E-GT</t>
  </si>
  <si>
    <t>8715839055849</t>
  </si>
  <si>
    <t>51.29.00.05</t>
  </si>
  <si>
    <t>E-controller SP E-GT</t>
  </si>
  <si>
    <t>8715839055856</t>
  </si>
  <si>
    <t>51.29.00.06</t>
  </si>
  <si>
    <t>E-motor SP E-GT</t>
  </si>
  <si>
    <t>8715839055863</t>
  </si>
  <si>
    <t>51.29.00.07</t>
  </si>
  <si>
    <t>Motor sprocket SP E-GT</t>
  </si>
  <si>
    <t>8715839055870</t>
  </si>
  <si>
    <t>51.29.00.08</t>
  </si>
  <si>
    <t>Rear left axle SP E-GT</t>
  </si>
  <si>
    <t>8715839055887</t>
  </si>
  <si>
    <t>51.29.00.09</t>
  </si>
  <si>
    <t>Crankaxle assembly E-GT SP</t>
  </si>
  <si>
    <t>8715839056020</t>
  </si>
  <si>
    <t>51.29.00.10</t>
  </si>
  <si>
    <t>Brake system SP</t>
  </si>
  <si>
    <t>8715839056037</t>
  </si>
  <si>
    <t>51.29.00.11</t>
  </si>
  <si>
    <t>Fenderset front + back SP</t>
  </si>
  <si>
    <t>8715839056044</t>
  </si>
  <si>
    <t>51.29.00.12</t>
  </si>
  <si>
    <t>8715839056051</t>
  </si>
  <si>
    <t>51.29.00.13</t>
  </si>
  <si>
    <t>8715839056068</t>
  </si>
  <si>
    <t>51.29.00.14</t>
  </si>
  <si>
    <t>Chain 142 links</t>
  </si>
  <si>
    <t>8715839056112</t>
  </si>
  <si>
    <t>51.29.00.15</t>
  </si>
  <si>
    <t>Seatbelt GranTour SP</t>
  </si>
  <si>
    <t>8715839056129</t>
  </si>
  <si>
    <t>51.29.00.16</t>
  </si>
  <si>
    <t>Stickersets SP</t>
  </si>
  <si>
    <t>8715839056136</t>
  </si>
  <si>
    <t>51.29.00.17</t>
  </si>
  <si>
    <t>SP chair GranTour</t>
  </si>
  <si>
    <t>8715839056143</t>
  </si>
  <si>
    <t>51.29.00.18</t>
  </si>
  <si>
    <t>chainguard + stickers  SP</t>
  </si>
  <si>
    <t>8715839056150</t>
  </si>
  <si>
    <t>51.29.00.19</t>
  </si>
  <si>
    <t>Fixtures SP</t>
  </si>
  <si>
    <t>8715839056167</t>
  </si>
  <si>
    <t>51.29.00.20</t>
  </si>
  <si>
    <t>Steering rods SP</t>
  </si>
  <si>
    <t>8715839056174</t>
  </si>
  <si>
    <t>51.29.00.21</t>
  </si>
  <si>
    <t>Spare Caps GranTour</t>
  </si>
  <si>
    <t>8715839056181</t>
  </si>
  <si>
    <t>51.29.00.22</t>
  </si>
  <si>
    <t>Fusee as GT links SP</t>
  </si>
  <si>
    <t>8715839056198</t>
  </si>
  <si>
    <t>51.29.00.23</t>
  </si>
  <si>
    <t>Fusee as GT rechts SP</t>
  </si>
  <si>
    <t>8715839056204</t>
  </si>
  <si>
    <t>51.29.00.24</t>
  </si>
  <si>
    <t>Replaceable rear axle Left</t>
  </si>
  <si>
    <t>8715839056211</t>
  </si>
  <si>
    <t>51.29.00.25</t>
  </si>
  <si>
    <t>Replaceable rear axle right</t>
  </si>
  <si>
    <t>8715839056228</t>
  </si>
  <si>
    <t>51.29.00.26</t>
  </si>
  <si>
    <t>Trapas samenstelling 28T</t>
  </si>
  <si>
    <t>8715839056235</t>
  </si>
  <si>
    <t>51.29.00.27</t>
  </si>
  <si>
    <t>stuurwiel SP</t>
  </si>
  <si>
    <t>8715839056242</t>
  </si>
  <si>
    <t>51.29.00.28</t>
  </si>
  <si>
    <t>rear seatframe SP</t>
  </si>
  <si>
    <t>8715839056259</t>
  </si>
  <si>
    <t>51.29.00.29</t>
  </si>
  <si>
    <t>SP Freewheel + Bus</t>
  </si>
  <si>
    <t>8715839056266</t>
  </si>
  <si>
    <t>51.29.00.30</t>
  </si>
  <si>
    <t>Bearing set SP</t>
  </si>
  <si>
    <t>8715839056280</t>
  </si>
  <si>
    <t>51.29.00.31</t>
  </si>
  <si>
    <t>Transmission parts GT</t>
  </si>
  <si>
    <t>8715839057775</t>
  </si>
  <si>
    <t>51.29.00.32</t>
  </si>
  <si>
    <t>SP Sprocket 32T E-GT</t>
  </si>
  <si>
    <t>8715839059441</t>
  </si>
  <si>
    <t>51.29.00.33</t>
  </si>
  <si>
    <t>SP E-Controller Gauged Temp and Power</t>
  </si>
  <si>
    <t>8715839059670</t>
  </si>
  <si>
    <t>51.29.00.34</t>
  </si>
  <si>
    <t>E-GT - 2nd-Choice Battery</t>
  </si>
  <si>
    <t>8715839059656</t>
  </si>
  <si>
    <t>51.29.00.35</t>
  </si>
  <si>
    <t>E-Gran Tour motor incl cooling fins</t>
  </si>
  <si>
    <t>8715839056860</t>
  </si>
  <si>
    <t>51.29.40.00</t>
  </si>
  <si>
    <t>Sunroof tarpaulin (cloth only)</t>
  </si>
  <si>
    <t>8715839056877</t>
  </si>
  <si>
    <t>51.29.40.01</t>
  </si>
  <si>
    <t>Sunroof fixtures</t>
  </si>
  <si>
    <t>8715839045574</t>
  </si>
  <si>
    <t>51.30.01.00</t>
  </si>
  <si>
    <t>8715839049152</t>
  </si>
  <si>
    <t>51.30.01.01</t>
  </si>
  <si>
    <t>Favorit Spring SP 10 pcs (14)</t>
  </si>
  <si>
    <t>8715839055535</t>
  </si>
  <si>
    <t>51.30.01.02</t>
  </si>
  <si>
    <t>Top rail 11ft TS SP (14)</t>
  </si>
  <si>
    <t>8715839049787</t>
  </si>
  <si>
    <t>51.30.01.03</t>
  </si>
  <si>
    <t>Top rail 12,5ft TS SP (14)</t>
  </si>
  <si>
    <t>8715839049794</t>
  </si>
  <si>
    <t>51.30.01.04</t>
  </si>
  <si>
    <t>Top rail 14ft TS SP (14)</t>
  </si>
  <si>
    <t>8715839049817</t>
  </si>
  <si>
    <t>51.30.01.06</t>
  </si>
  <si>
    <t>T-section SP (14)</t>
  </si>
  <si>
    <t>8715839062298</t>
  </si>
  <si>
    <t>51.30.01.08</t>
  </si>
  <si>
    <t>T-Series - W-Leg 380 (12,5ft)</t>
  </si>
  <si>
    <t>8715839055542</t>
  </si>
  <si>
    <t>51.30.01.11</t>
  </si>
  <si>
    <t>Straight leg TS 11ft SP (14)</t>
  </si>
  <si>
    <t>8715839049800</t>
  </si>
  <si>
    <t>51.30.01.12</t>
  </si>
  <si>
    <t>Tube insert for TS SP (14)</t>
  </si>
  <si>
    <t>8715839055559</t>
  </si>
  <si>
    <t>51.30.01.13</t>
  </si>
  <si>
    <t>Straight leg TS 12-14ft SP(14)</t>
  </si>
  <si>
    <t>8715839054750</t>
  </si>
  <si>
    <t>51.30.01.14</t>
  </si>
  <si>
    <t>Triangle for TwinSpring Gold (10 pcs)</t>
  </si>
  <si>
    <t>8715839054767</t>
  </si>
  <si>
    <t>51.30.01.15</t>
  </si>
  <si>
    <t>TwinSpring Gold (10 pcs)</t>
  </si>
  <si>
    <t>8715839054774</t>
  </si>
  <si>
    <t>51.30.01.16</t>
  </si>
  <si>
    <t>Fasteners for T-section SP</t>
  </si>
  <si>
    <t>8715839054781</t>
  </si>
  <si>
    <t>51.30.01.17</t>
  </si>
  <si>
    <t>Straight leg Champion (Black)</t>
  </si>
  <si>
    <t>8715839053753</t>
  </si>
  <si>
    <t>51.30.01.18</t>
  </si>
  <si>
    <t>Triangle for TwinSpring Gold Elite+ (10 pcs)</t>
  </si>
  <si>
    <t>8715839049169</t>
  </si>
  <si>
    <t>51.30.01.20</t>
  </si>
  <si>
    <t>Straight leg Favorit SP (14)</t>
  </si>
  <si>
    <t>8715839059267</t>
  </si>
  <si>
    <t>51.30.01.21</t>
  </si>
  <si>
    <t>BERG Ladder S-M-L - Fasteners (1x)</t>
  </si>
  <si>
    <t>8715839059359</t>
  </si>
  <si>
    <t>51.30.01.22</t>
  </si>
  <si>
    <t>BERG Leisure Kit for Safety Net T-series</t>
  </si>
  <si>
    <t>8715839061444</t>
  </si>
  <si>
    <t>51.30.01.23</t>
  </si>
  <si>
    <t>Elastic band + ball (145 mm) (10x)</t>
  </si>
  <si>
    <t>8715839051469</t>
  </si>
  <si>
    <t>51.30.02.00</t>
  </si>
  <si>
    <t>Favorit Spring SP 10 pcs (15)</t>
  </si>
  <si>
    <t>8715839047295</t>
  </si>
  <si>
    <t>51.30.03.60</t>
  </si>
  <si>
    <t>Springdoek 270 SP</t>
  </si>
  <si>
    <t>8715839047325</t>
  </si>
  <si>
    <t>51.30.03.62</t>
  </si>
  <si>
    <t>Springdoek 380 SP</t>
  </si>
  <si>
    <t>8715839047332</t>
  </si>
  <si>
    <t>51.30.03.63</t>
  </si>
  <si>
    <t>Springdoek 430 SP</t>
  </si>
  <si>
    <t>8715839047349</t>
  </si>
  <si>
    <t>51.30.03.64</t>
  </si>
  <si>
    <t>Springdoek 430 Tattoo SP</t>
  </si>
  <si>
    <t>8715839049206</t>
  </si>
  <si>
    <t>51.30.08.01</t>
  </si>
  <si>
    <t>Toprail Fav weld SP 9ft (14)</t>
  </si>
  <si>
    <t>8715839049213</t>
  </si>
  <si>
    <t>51.30.08.02</t>
  </si>
  <si>
    <t>Toprail Fav InGr SP 9ft (14)</t>
  </si>
  <si>
    <t>8715839049190</t>
  </si>
  <si>
    <t>51.30.08.22</t>
  </si>
  <si>
    <t>W-Leg Favorit SP 9ft (14)</t>
  </si>
  <si>
    <t>8715839054798</t>
  </si>
  <si>
    <t>51.30.09.00</t>
  </si>
  <si>
    <t>W-Leg Champion 270 (Black)</t>
  </si>
  <si>
    <t>8715839054804</t>
  </si>
  <si>
    <t>51.30.09.01</t>
  </si>
  <si>
    <t>Top rail Regular Champion 270 (NEW)</t>
  </si>
  <si>
    <t>8715839054811</t>
  </si>
  <si>
    <t>51.30.09.02</t>
  </si>
  <si>
    <t>Top rail InGround Champion 270 (NEW)</t>
  </si>
  <si>
    <t>8715839054828</t>
  </si>
  <si>
    <t>51.30.09.07</t>
  </si>
  <si>
    <t>Padding Champion SP 270</t>
  </si>
  <si>
    <t>8715839054835</t>
  </si>
  <si>
    <t>51.30.09.08</t>
  </si>
  <si>
    <t>Jump mat Champion 270</t>
  </si>
  <si>
    <t>8715839049220</t>
  </si>
  <si>
    <t>51.30.09.09</t>
  </si>
  <si>
    <t>Padding Fav InGr SP 9ft (14)</t>
  </si>
  <si>
    <t>8715839054842</t>
  </si>
  <si>
    <t>51.30.09.10</t>
  </si>
  <si>
    <t>Padding InGround Champion SP 270</t>
  </si>
  <si>
    <t>8715839049183</t>
  </si>
  <si>
    <t>51.30.09.15</t>
  </si>
  <si>
    <t>Padding Favorit SP 9ft (14)</t>
  </si>
  <si>
    <t>8715839051452</t>
  </si>
  <si>
    <t>51.30.09.17</t>
  </si>
  <si>
    <t>Padding Favorit SP 270 (9ft)</t>
  </si>
  <si>
    <t>8715839051476</t>
  </si>
  <si>
    <t>51.30.09.18</t>
  </si>
  <si>
    <t>Padding InGroud Favorit SP 270 (9ft)</t>
  </si>
  <si>
    <t>8715839051483</t>
  </si>
  <si>
    <t>51.30.09.19</t>
  </si>
  <si>
    <t>Jump Mat Favorit 270 (9ft)</t>
  </si>
  <si>
    <t>8715839047479</t>
  </si>
  <si>
    <t>51.30.09.28</t>
  </si>
  <si>
    <t>8715839064292</t>
  </si>
  <si>
    <t>51.30.09.30</t>
  </si>
  <si>
    <t>Champion - Jump mat 270 (9ft) (TwinSpring, AIRFLOW)</t>
  </si>
  <si>
    <t>8715839047493</t>
  </si>
  <si>
    <t>51.30.09.33</t>
  </si>
  <si>
    <t>Padding Champ InGr SP 270</t>
  </si>
  <si>
    <t>8715839054859</t>
  </si>
  <si>
    <t>51.30.11.00</t>
  </si>
  <si>
    <t>Top rail 11ft TS SP (Black)</t>
  </si>
  <si>
    <t>8715839054866</t>
  </si>
  <si>
    <t>51.30.11.01</t>
  </si>
  <si>
    <t>W-leg T-series 11ft SP (Black)</t>
  </si>
  <si>
    <t>8715839054873</t>
  </si>
  <si>
    <t>51.30.11.02</t>
  </si>
  <si>
    <t>Straight leg TS 11ft SP (Black)</t>
  </si>
  <si>
    <t>8715839054880</t>
  </si>
  <si>
    <t>51.30.11.03</t>
  </si>
  <si>
    <t>Jump mat TS 11ft SP (NEW)</t>
  </si>
  <si>
    <t>8715839054897</t>
  </si>
  <si>
    <t>51.30.11.04</t>
  </si>
  <si>
    <t>W-Leg Champion 330 (Black)</t>
  </si>
  <si>
    <t>8715839054903</t>
  </si>
  <si>
    <t>51.30.11.05</t>
  </si>
  <si>
    <t>Top rail welded Champion 330 (NEW)</t>
  </si>
  <si>
    <t>8715839054910</t>
  </si>
  <si>
    <t>51.30.11.06</t>
  </si>
  <si>
    <t>Top rail not-welded Champion 330 (NEW)</t>
  </si>
  <si>
    <t>8715839054927</t>
  </si>
  <si>
    <t>51.30.11.07</t>
  </si>
  <si>
    <t>Padding Champion SP 330</t>
  </si>
  <si>
    <t>8715839054934</t>
  </si>
  <si>
    <t>51.30.11.08</t>
  </si>
  <si>
    <t>Jump mat Champion 330</t>
  </si>
  <si>
    <t>8715839054941</t>
  </si>
  <si>
    <t>51.30.11.10</t>
  </si>
  <si>
    <t>Padding InGround Champion SP 330</t>
  </si>
  <si>
    <t>8715839049282</t>
  </si>
  <si>
    <t>51.30.11.15</t>
  </si>
  <si>
    <t>Padding Fav InGr SP 11ft (14)</t>
  </si>
  <si>
    <t>8715839049268</t>
  </si>
  <si>
    <t>51.30.11.16</t>
  </si>
  <si>
    <t>Padding Favorit SP 11ft (14)</t>
  </si>
  <si>
    <t>8715839051490</t>
  </si>
  <si>
    <t>51.30.11.17</t>
  </si>
  <si>
    <t>Padding Favorit SP 330 (11ft)</t>
  </si>
  <si>
    <t>8715839051506</t>
  </si>
  <si>
    <t>51.30.11.18</t>
  </si>
  <si>
    <t>Padding InGround Favorit SP 330 (11ft)</t>
  </si>
  <si>
    <t>8715839051513</t>
  </si>
  <si>
    <t>51.30.11.19</t>
  </si>
  <si>
    <t>Jump Mat Favorit 330 (11ft)</t>
  </si>
  <si>
    <t>8715839058420</t>
  </si>
  <si>
    <t>51.30.11.20</t>
  </si>
  <si>
    <t>InGround Champion - Padding Grey 330 (1x)</t>
  </si>
  <si>
    <t>8715839060133</t>
  </si>
  <si>
    <t>51.30.11.21</t>
  </si>
  <si>
    <t>Champion - Padding Grey 11ft</t>
  </si>
  <si>
    <t>51.30.11.25</t>
  </si>
  <si>
    <t>Favorit - Padding Grey 330 (11ft)</t>
  </si>
  <si>
    <t>51.30.11.26</t>
  </si>
  <si>
    <t>InGround Favorit - Padding Grey 330 (11ft)</t>
  </si>
  <si>
    <t>8715839047486</t>
  </si>
  <si>
    <t>51.30.11.28</t>
  </si>
  <si>
    <t>51.30.11.30</t>
  </si>
  <si>
    <t>Champion - Jump mat 330 (11ft) (TwinSpring, AIRFLOW)</t>
  </si>
  <si>
    <t>8715839054958</t>
  </si>
  <si>
    <t>51.30.12.00</t>
  </si>
  <si>
    <t>Top rail 12,5ft TS SP (Black)</t>
  </si>
  <si>
    <t>8715839054965</t>
  </si>
  <si>
    <t>51.30.12.01</t>
  </si>
  <si>
    <t>W-leg TS 12.5ft SP (Black)</t>
  </si>
  <si>
    <t>8715839054972</t>
  </si>
  <si>
    <t>51.30.12.02</t>
  </si>
  <si>
    <t>Straight leg TS 12-14ft SP (Black)</t>
  </si>
  <si>
    <t>8715839054989</t>
  </si>
  <si>
    <t>51.30.12.03</t>
  </si>
  <si>
    <t>Jump mat TS 12.5ft SP (NEW)</t>
  </si>
  <si>
    <t>8715839054996</t>
  </si>
  <si>
    <t>51.30.12.04</t>
  </si>
  <si>
    <t>W-Leg Champion 380 (Black)</t>
  </si>
  <si>
    <t>8715839055009</t>
  </si>
  <si>
    <t>51.30.12.05</t>
  </si>
  <si>
    <t>Top rail welded Champion 380 (NEW)</t>
  </si>
  <si>
    <t>8715839055016</t>
  </si>
  <si>
    <t>51.30.12.06</t>
  </si>
  <si>
    <t>Top rail not-welded Champion 380 (NEW)</t>
  </si>
  <si>
    <t>8715839055023</t>
  </si>
  <si>
    <t>51.30.12.07</t>
  </si>
  <si>
    <t>Padding Champion SP 380</t>
  </si>
  <si>
    <t>8715839055030</t>
  </si>
  <si>
    <t>51.30.12.08</t>
  </si>
  <si>
    <t>Jump mat Champion 380</t>
  </si>
  <si>
    <t>8715839049343</t>
  </si>
  <si>
    <t>51.30.12.09</t>
  </si>
  <si>
    <t>Padding Fav InGr SP 12,5ft(14)</t>
  </si>
  <si>
    <t>8715839055047</t>
  </si>
  <si>
    <t>51.30.12.10</t>
  </si>
  <si>
    <t>Padding InGround Champion SP 380</t>
  </si>
  <si>
    <t>8715839049329</t>
  </si>
  <si>
    <t>51.30.12.15</t>
  </si>
  <si>
    <t>Padding Favorit SP 12,5ft (14)</t>
  </si>
  <si>
    <t>8715839051520</t>
  </si>
  <si>
    <t>51.30.12.17</t>
  </si>
  <si>
    <t>Padding Favorit SP 380 (12,5ft)</t>
  </si>
  <si>
    <t>8715839051537</t>
  </si>
  <si>
    <t>51.30.12.18</t>
  </si>
  <si>
    <t>Padding InGround Favorit SP 380 (12,5ft)</t>
  </si>
  <si>
    <t>8715839051544</t>
  </si>
  <si>
    <t>51.30.12.19</t>
  </si>
  <si>
    <t>Jump Mat Favorit 380 (12,5ft)</t>
  </si>
  <si>
    <t>8715839058437</t>
  </si>
  <si>
    <t>51.30.12.20</t>
  </si>
  <si>
    <t>InGround Champion - Padding Grey 380 (1x)</t>
  </si>
  <si>
    <t>8715839060140</t>
  </si>
  <si>
    <t>51.30.12.21</t>
  </si>
  <si>
    <t>Champion - Padding Grey 12,5ft</t>
  </si>
  <si>
    <t>51.30.12.25</t>
  </si>
  <si>
    <t>Favorit - Padding Grey 380 (12,5ft)</t>
  </si>
  <si>
    <t>51.30.12.26</t>
  </si>
  <si>
    <t>InGround Favorit - Padding Grey 380 (12,5ft)</t>
  </si>
  <si>
    <t>8715839047301</t>
  </si>
  <si>
    <t>51.30.12.28</t>
  </si>
  <si>
    <t>Padding Champion 380 SP</t>
  </si>
  <si>
    <t>51.30.12.30</t>
  </si>
  <si>
    <t>Champion - Jump mat 380 (12,5ft) (TwinSpring, AIRFLOW)</t>
  </si>
  <si>
    <t>8715839055054</t>
  </si>
  <si>
    <t>51.30.14.00</t>
  </si>
  <si>
    <t>Top rail 14ft TS SP (Black)</t>
  </si>
  <si>
    <t>8715839055061</t>
  </si>
  <si>
    <t>51.30.14.01</t>
  </si>
  <si>
    <t>W-leg T-Series 14ft SP (Black)</t>
  </si>
  <si>
    <t>8715839055078</t>
  </si>
  <si>
    <t>Jump mat TS 14ft TATTOO SP (NEW)</t>
  </si>
  <si>
    <t>8715839055085</t>
  </si>
  <si>
    <t>51.30.14.03</t>
  </si>
  <si>
    <t>Jump mat TS 14ft SP (NEW)</t>
  </si>
  <si>
    <t>8715839055092</t>
  </si>
  <si>
    <t>51.30.14.04</t>
  </si>
  <si>
    <t>W-Leg Champion 430 (Black)</t>
  </si>
  <si>
    <t>8715839055108</t>
  </si>
  <si>
    <t>51.30.14.05</t>
  </si>
  <si>
    <t>Top rail welded Champion 430 (NEW)</t>
  </si>
  <si>
    <t>8715839055115</t>
  </si>
  <si>
    <t>51.30.14.06</t>
  </si>
  <si>
    <t>Top rail not-welded Champion 430 (NEW)</t>
  </si>
  <si>
    <t>8715839055122</t>
  </si>
  <si>
    <t>51.30.14.07</t>
  </si>
  <si>
    <t>Padding Champion SP 430</t>
  </si>
  <si>
    <t>8715839055139</t>
  </si>
  <si>
    <t>51.30.14.08</t>
  </si>
  <si>
    <t>Padding Champion SP 430 Tattoo</t>
  </si>
  <si>
    <t>8715839049404</t>
  </si>
  <si>
    <t>51.30.14.09</t>
  </si>
  <si>
    <t>Padding Fav InGr SP 14ft (14)</t>
  </si>
  <si>
    <t>8715839055146</t>
  </si>
  <si>
    <t>51.30.14.10</t>
  </si>
  <si>
    <t>Padding InGround Champion SP 430</t>
  </si>
  <si>
    <t>8715839055153</t>
  </si>
  <si>
    <t>51.30.14.11</t>
  </si>
  <si>
    <t>Jump mat Champion 430</t>
  </si>
  <si>
    <t>8715839055160</t>
  </si>
  <si>
    <t>Jump mat Champion Tattoo 430</t>
  </si>
  <si>
    <t>8715839049381</t>
  </si>
  <si>
    <t>51.30.14.15</t>
  </si>
  <si>
    <t>Padding Favorit SP 14ft (14)</t>
  </si>
  <si>
    <t>8715839049398</t>
  </si>
  <si>
    <t>51.30.14.16</t>
  </si>
  <si>
    <t>Padding Fav Tatt SP 14ft (14)</t>
  </si>
  <si>
    <t>8715839053302</t>
  </si>
  <si>
    <t>51.30.14.17</t>
  </si>
  <si>
    <t>Favorit - Padding 14ft (1x)</t>
  </si>
  <si>
    <t>8715839053319</t>
  </si>
  <si>
    <t>51.30.14.18</t>
  </si>
  <si>
    <t>InGround Favorit - Padding 14ft (1x)</t>
  </si>
  <si>
    <t>8715839051551</t>
  </si>
  <si>
    <t>51.30.14.19</t>
  </si>
  <si>
    <t>Jump Mat Favorit 430 (14ft)</t>
  </si>
  <si>
    <t>8715839058444</t>
  </si>
  <si>
    <t>51.30.14.20</t>
  </si>
  <si>
    <t>InGround Champion - Padding Grey 430 (1x)</t>
  </si>
  <si>
    <t>8715839060157</t>
  </si>
  <si>
    <t>51.30.14.21</t>
  </si>
  <si>
    <t>Champion - Padding Grey 14ft</t>
  </si>
  <si>
    <t>51.30.14.25</t>
  </si>
  <si>
    <t>Favorit - Padding Grey 430 (14ft)</t>
  </si>
  <si>
    <t>51.30.14.26</t>
  </si>
  <si>
    <t>InGround Favorit - Padding Grey 430 (14ft)</t>
  </si>
  <si>
    <t>8715839053326</t>
  </si>
  <si>
    <t>51.30.14.27</t>
  </si>
  <si>
    <t>Favorit - Padding Tattoo 14ft (1x)</t>
  </si>
  <si>
    <t>8715839051568</t>
  </si>
  <si>
    <t>Jump Mat Favorit 430 (14ft) Tattoo</t>
  </si>
  <si>
    <t>51.30.14.30</t>
  </si>
  <si>
    <t>Champion - Jump mat 430 (14ft) (TwinSpring, AIRFLOW)</t>
  </si>
  <si>
    <t>51.30.14.31</t>
  </si>
  <si>
    <t>Champion - Jump mat Tattoo 430 (14ft) (TwinSpring, AIRFLOW)</t>
  </si>
  <si>
    <t>8715839050691</t>
  </si>
  <si>
    <t>51.30.14.34</t>
  </si>
  <si>
    <t>Padding Champion 430 SP</t>
  </si>
  <si>
    <t>8715839047318</t>
  </si>
  <si>
    <t>51.30.14.35</t>
  </si>
  <si>
    <t>Padding Champion 430 Tattoo SP</t>
  </si>
  <si>
    <t>8715839055177</t>
  </si>
  <si>
    <t>51.30.18.00</t>
  </si>
  <si>
    <t>EazyFit  - Regular Padding (1x)</t>
  </si>
  <si>
    <t>8715839055184</t>
  </si>
  <si>
    <t>51.30.18.01</t>
  </si>
  <si>
    <t>EazyFit  - Jump mat for TwinSpring (1x)</t>
  </si>
  <si>
    <t>8715839055191</t>
  </si>
  <si>
    <t>51.30.18.02</t>
  </si>
  <si>
    <t>EazyFit - Top rail long for TwinSpring (1x)</t>
  </si>
  <si>
    <t>8715839055207</t>
  </si>
  <si>
    <t>51.30.18.03</t>
  </si>
  <si>
    <t>EazyFit - Top rail short for TwinSpring (1x)</t>
  </si>
  <si>
    <t>8715839055214</t>
  </si>
  <si>
    <t>51.30.18.04</t>
  </si>
  <si>
    <t>EazyFit - Top rail corner R for TwinSpring (1x)</t>
  </si>
  <si>
    <t>8715839055221</t>
  </si>
  <si>
    <t>51.30.18.05</t>
  </si>
  <si>
    <t>EazyFit - Top rail corner L for TwinSpring (1x)</t>
  </si>
  <si>
    <t>8715839055238</t>
  </si>
  <si>
    <t>51.30.18.06</t>
  </si>
  <si>
    <t>EazyFit - Straight Leg (Black) (1x)</t>
  </si>
  <si>
    <t>8715839055245</t>
  </si>
  <si>
    <t>51.30.18.07</t>
  </si>
  <si>
    <t>EazyFit - W-Leg (Black) (1x)</t>
  </si>
  <si>
    <t>8715839055252</t>
  </si>
  <si>
    <t>51.30.18.08</t>
  </si>
  <si>
    <t>EazyFit - Fasteners (1x)</t>
  </si>
  <si>
    <t>8715839059342</t>
  </si>
  <si>
    <t>51.30.18.09</t>
  </si>
  <si>
    <t>InGround EazyFit - Padding (1x)</t>
  </si>
  <si>
    <t>8715839060225</t>
  </si>
  <si>
    <t>51.30.18.20</t>
  </si>
  <si>
    <t>InGround EazyFit - Padding Grey</t>
  </si>
  <si>
    <t>51.30.18.30</t>
  </si>
  <si>
    <t>EazyFit - Jump mat (TwinSpring, AIRFLOW)</t>
  </si>
  <si>
    <t>8715839053937</t>
  </si>
  <si>
    <t>51.30.19.00</t>
  </si>
  <si>
    <t>Grand Champion - Beschermrand (1x)</t>
  </si>
  <si>
    <t>8715839053944</t>
  </si>
  <si>
    <t>51.30.19.01</t>
  </si>
  <si>
    <t>InGround Grand Champion - Beschermrand (1x)</t>
  </si>
  <si>
    <t>8715839053951</t>
  </si>
  <si>
    <t>51.30.19.02</t>
  </si>
  <si>
    <t>Grand Champion - springdoek (1x)</t>
  </si>
  <si>
    <t>8715839053968</t>
  </si>
  <si>
    <t>51.30.19.03</t>
  </si>
  <si>
    <t>Grand Champion - toprail lang gelast (1x)</t>
  </si>
  <si>
    <t>8715839053975</t>
  </si>
  <si>
    <t>51.30.19.04</t>
  </si>
  <si>
    <t>Grand Champion - toprail kort gelast (1x)</t>
  </si>
  <si>
    <t>8715839053982</t>
  </si>
  <si>
    <t>51.30.19.05</t>
  </si>
  <si>
    <t>Grand Champion - toprail kort ongelast (1x)</t>
  </si>
  <si>
    <t>8715839053999</t>
  </si>
  <si>
    <t>51.30.19.06</t>
  </si>
  <si>
    <t>Grand Champion - Tussen poot (zwart) (1x)</t>
  </si>
  <si>
    <t>8715839054002</t>
  </si>
  <si>
    <t>51.30.19.07</t>
  </si>
  <si>
    <t>Grand Champion - w-poot (zwart) (1x)</t>
  </si>
  <si>
    <t>8715839054019</t>
  </si>
  <si>
    <t>51.30.19.08</t>
  </si>
  <si>
    <t>Grand Champion - Bevestigingsmiddelen</t>
  </si>
  <si>
    <t>51.30.19.09</t>
  </si>
  <si>
    <t>Grand Champion - Padding grey</t>
  </si>
  <si>
    <t>51.30.19.10</t>
  </si>
  <si>
    <t>InGround Grand Champion - Padding grey</t>
  </si>
  <si>
    <t>51.30.19.11</t>
  </si>
  <si>
    <t>Grand Champion - Jump mat AIRFLOW</t>
  </si>
  <si>
    <t>8715839058659</t>
  </si>
  <si>
    <t>51.30.20.00</t>
  </si>
  <si>
    <t>Talent - Padding 180 (1x)</t>
  </si>
  <si>
    <t>8715839058666</t>
  </si>
  <si>
    <t>51.30.20.01</t>
  </si>
  <si>
    <t>InGround Talent - Padding 180 (1x)</t>
  </si>
  <si>
    <t>8715839058673</t>
  </si>
  <si>
    <t>51.30.20.02</t>
  </si>
  <si>
    <t>Talent - Jumpmat 180 (1x)</t>
  </si>
  <si>
    <t>8715839058680</t>
  </si>
  <si>
    <t>51.30.20.03</t>
  </si>
  <si>
    <t>Talent - Toprail 180 welded (1x)</t>
  </si>
  <si>
    <t>8715839058697</t>
  </si>
  <si>
    <t>51.30.20.04</t>
  </si>
  <si>
    <t>Talent - Toprail 180 (1x)</t>
  </si>
  <si>
    <t>8715839058703</t>
  </si>
  <si>
    <t>51.30.20.05</t>
  </si>
  <si>
    <t>Talent - Straight leg 180 (1x)</t>
  </si>
  <si>
    <t>8715839058710</t>
  </si>
  <si>
    <t>51.30.20.06</t>
  </si>
  <si>
    <t>Talent - W-leg 180 +spring brackets (1x)</t>
  </si>
  <si>
    <t>8715839058727</t>
  </si>
  <si>
    <t>51.30.20.07</t>
  </si>
  <si>
    <t>InGround Talent - InGround leg 180+240</t>
  </si>
  <si>
    <t>8715839058734</t>
  </si>
  <si>
    <t>51.30.20.08</t>
  </si>
  <si>
    <t>Safety Net Comfort - Lower tube 180+240 +spring bracket (1x)</t>
  </si>
  <si>
    <t>8715839058741</t>
  </si>
  <si>
    <t>51.30.20.09</t>
  </si>
  <si>
    <t>Safety Net Comfort - Upper tube 180+240+300 (1x)</t>
  </si>
  <si>
    <t>8715839058758</t>
  </si>
  <si>
    <t>51.30.20.10</t>
  </si>
  <si>
    <t>Safety Net Comfort - Foam set 180+240 (6x upper; 6x lower)</t>
  </si>
  <si>
    <t>8715839058765</t>
  </si>
  <si>
    <t>51.30.20.11</t>
  </si>
  <si>
    <t>Safety Net Comfort - set sleeves 180+240 (6x)</t>
  </si>
  <si>
    <t>8715839058772</t>
  </si>
  <si>
    <t>51.30.20.12</t>
  </si>
  <si>
    <t>Safety Net Comfort - Separate netting 180 (1x)</t>
  </si>
  <si>
    <t>8715839058789</t>
  </si>
  <si>
    <t>51.30.20.13</t>
  </si>
  <si>
    <t>Talent - Talent spring (10x)</t>
  </si>
  <si>
    <t>8715839058796</t>
  </si>
  <si>
    <t>51.30.20.14</t>
  </si>
  <si>
    <t>Safety Net Comfort - Clamp+fasteners for 1 tube</t>
  </si>
  <si>
    <t>8715839058802</t>
  </si>
  <si>
    <t>51.30.20.15</t>
  </si>
  <si>
    <t>InGround Talent - Fasteners</t>
  </si>
  <si>
    <t>8715839058819</t>
  </si>
  <si>
    <t>51.30.21.00</t>
  </si>
  <si>
    <t>Talent - Padding 240 (1x)</t>
  </si>
  <si>
    <t>8715839058826</t>
  </si>
  <si>
    <t>51.30.21.01</t>
  </si>
  <si>
    <t>InGround Talent - Padding 240 (1x)</t>
  </si>
  <si>
    <t>8715839058833</t>
  </si>
  <si>
    <t>51.30.21.02</t>
  </si>
  <si>
    <t>Talent - Jumpmat 240 (1x)</t>
  </si>
  <si>
    <t>8715839058840</t>
  </si>
  <si>
    <t>51.30.21.03</t>
  </si>
  <si>
    <t>Talent - Toprail 240 welded (1x)</t>
  </si>
  <si>
    <t>8715839058857</t>
  </si>
  <si>
    <t>51.30.21.04</t>
  </si>
  <si>
    <t>Talent - Toprail 240 (1x)</t>
  </si>
  <si>
    <t>8715839058864</t>
  </si>
  <si>
    <t>51.30.21.05</t>
  </si>
  <si>
    <t>Talent - Straight leg 240 (1x)</t>
  </si>
  <si>
    <t>8715839058871</t>
  </si>
  <si>
    <t>51.30.21.06</t>
  </si>
  <si>
    <t>Talent - W-leg 240 +spring brackets (1x)</t>
  </si>
  <si>
    <t>8715839058888</t>
  </si>
  <si>
    <t>51.30.21.07</t>
  </si>
  <si>
    <t>Safety Net Comfort - Separate netting 240 (1x)</t>
  </si>
  <si>
    <t>8715839058895</t>
  </si>
  <si>
    <t>51.30.22.00</t>
  </si>
  <si>
    <t>Talent - Padding 300 (1x)</t>
  </si>
  <si>
    <t>8715839058901</t>
  </si>
  <si>
    <t>51.30.22.01</t>
  </si>
  <si>
    <t>InGround Talent - Padding 300 (1x)</t>
  </si>
  <si>
    <t>8715839058918</t>
  </si>
  <si>
    <t>51.30.22.02</t>
  </si>
  <si>
    <t>Talent - Jumpmat 300 (1x)</t>
  </si>
  <si>
    <t>8715839058925</t>
  </si>
  <si>
    <t>51.30.22.03</t>
  </si>
  <si>
    <t>Talent - Toprail 300 welded (1x)</t>
  </si>
  <si>
    <t>8715839058932</t>
  </si>
  <si>
    <t>51.30.22.04</t>
  </si>
  <si>
    <t>Talent - Toprail 300 (1x)</t>
  </si>
  <si>
    <t>8715839058949</t>
  </si>
  <si>
    <t>51.30.22.05</t>
  </si>
  <si>
    <t>Talent - Straight leg 300 (1x)</t>
  </si>
  <si>
    <t>8715839058956</t>
  </si>
  <si>
    <t>51.30.22.06</t>
  </si>
  <si>
    <t>Talent - W-leg 300 +spring brackets (1x)</t>
  </si>
  <si>
    <t>8715839058963</t>
  </si>
  <si>
    <t>51.30.22.07</t>
  </si>
  <si>
    <t>InGround Talent - InGround leg 300</t>
  </si>
  <si>
    <t>8715839058970</t>
  </si>
  <si>
    <t>51.30.22.08</t>
  </si>
  <si>
    <t>Safety Net Comfort - Lower tube 300 +spring bracket (1x)</t>
  </si>
  <si>
    <t>8715839058987</t>
  </si>
  <si>
    <t>51.30.22.09</t>
  </si>
  <si>
    <t>Safety Net Comfort - Separate netting 300 (1x)</t>
  </si>
  <si>
    <t>8715839058994</t>
  </si>
  <si>
    <t>51.30.22.10</t>
  </si>
  <si>
    <t>Safety Net Comfort - Foam set 300 (6x upper; 6x lower)</t>
  </si>
  <si>
    <t>8715839059007</t>
  </si>
  <si>
    <t>51.30.22.11</t>
  </si>
  <si>
    <t>Safety Net Comfort - set sleeves 300 (6x)</t>
  </si>
  <si>
    <t>51.30.22.12</t>
  </si>
  <si>
    <t>Talent - Toprail welded 300 (10ft)</t>
  </si>
  <si>
    <t>51.30.22.13</t>
  </si>
  <si>
    <t>Talent - Toprail 300 (10ft)</t>
  </si>
  <si>
    <t>8715839049374</t>
  </si>
  <si>
    <t>51.30.28.03</t>
  </si>
  <si>
    <t>Toprail Fav weld SP 14ft (14)</t>
  </si>
  <si>
    <t>8715839049367</t>
  </si>
  <si>
    <t>51.30.28.07</t>
  </si>
  <si>
    <t>Toprail Favorit SP 14ft (14)</t>
  </si>
  <si>
    <t>8715839049350</t>
  </si>
  <si>
    <t>51.30.29.22</t>
  </si>
  <si>
    <t>W-Leg Favorit SP 14ft (14)</t>
  </si>
  <si>
    <t>8715839049244</t>
  </si>
  <si>
    <t>51.30.38.01</t>
  </si>
  <si>
    <t>Toprail Fav weld SP 11ft (14)</t>
  </si>
  <si>
    <t>8715839049251</t>
  </si>
  <si>
    <t>51.30.38.02</t>
  </si>
  <si>
    <t>Toprail Favorit SP 11ft (14)</t>
  </si>
  <si>
    <t>8715839049237</t>
  </si>
  <si>
    <t>51.30.39.22</t>
  </si>
  <si>
    <t>W-Leg Favorit SP 11ft (14)</t>
  </si>
  <si>
    <t>8715839049312</t>
  </si>
  <si>
    <t>51.30.48.01</t>
  </si>
  <si>
    <t>Toprail Fav weld SP 12,5ft(14)</t>
  </si>
  <si>
    <t>8715839049305</t>
  </si>
  <si>
    <t>51.30.48.03</t>
  </si>
  <si>
    <t>Toprail Favorit SP 12,5ft (14)</t>
  </si>
  <si>
    <t>8715839049299</t>
  </si>
  <si>
    <t>51.30.49.22</t>
  </si>
  <si>
    <t>W-Leg Favorit SP 12,5ft (14)</t>
  </si>
  <si>
    <t>8715839047288</t>
  </si>
  <si>
    <t>51.30.64.18</t>
  </si>
  <si>
    <t>Padding EazyStore SP</t>
  </si>
  <si>
    <t>8715839055269</t>
  </si>
  <si>
    <t>51.30.72.00</t>
  </si>
  <si>
    <t>SN DLX - Pole sleeves (NEW) (8x)</t>
  </si>
  <si>
    <t>8715839055276</t>
  </si>
  <si>
    <t>51.30.72.01</t>
  </si>
  <si>
    <t>SN DLX - Foam set (NEW) (8x upper; 8x lower)</t>
  </si>
  <si>
    <t>8715839055283</t>
  </si>
  <si>
    <t>51.30.72.02</t>
  </si>
  <si>
    <t>SN DLX - Tube up (NEW) 1x</t>
  </si>
  <si>
    <t>8715839055290</t>
  </si>
  <si>
    <t>51.30.72.03</t>
  </si>
  <si>
    <t>SN DLX - Lower tube (NEW) 8x</t>
  </si>
  <si>
    <t>8715839055306</t>
  </si>
  <si>
    <t>51.30.72.04</t>
  </si>
  <si>
    <t>SN DLX - Set tentubes for 270 (9ft)</t>
  </si>
  <si>
    <t>8715839055313</t>
  </si>
  <si>
    <t>51.30.72.05</t>
  </si>
  <si>
    <t>SN DLX - Set tentubes for 330 (11ft)</t>
  </si>
  <si>
    <t>8715839055320</t>
  </si>
  <si>
    <t>51.30.72.06</t>
  </si>
  <si>
    <t>SN DLX - Set tentubes for 380 (12,5ft)</t>
  </si>
  <si>
    <t>8715839055337</t>
  </si>
  <si>
    <t>51.30.72.07</t>
  </si>
  <si>
    <t>SN DLX - Set tentubes for 430 (14ft)</t>
  </si>
  <si>
    <t>8715839055344</t>
  </si>
  <si>
    <t>51.30.72.08</t>
  </si>
  <si>
    <t>SN DLX - Set tentubes for EazyFit</t>
  </si>
  <si>
    <t>8715839054026</t>
  </si>
  <si>
    <t>51.30.72.09</t>
  </si>
  <si>
    <t>Safety Net DLX - Hoepelset voor Grand Champion</t>
  </si>
  <si>
    <t>8715839055351</t>
  </si>
  <si>
    <t>51.30.72.10</t>
  </si>
  <si>
    <t>SN DLX - Netting for 270 (9ft)</t>
  </si>
  <si>
    <t>8715839055368</t>
  </si>
  <si>
    <t>51.30.72.11</t>
  </si>
  <si>
    <t>SN DLX - Netting for 330 (11ft)</t>
  </si>
  <si>
    <t>8715839055375</t>
  </si>
  <si>
    <t>51.30.72.12</t>
  </si>
  <si>
    <t>SN DLX - Netting for 380 (12,5ft)</t>
  </si>
  <si>
    <t>8715839055382</t>
  </si>
  <si>
    <t>51.30.72.13</t>
  </si>
  <si>
    <t>SN DLX - Netting for 430 (14ft)</t>
  </si>
  <si>
    <t>8715839055399</t>
  </si>
  <si>
    <t>51.30.72.14</t>
  </si>
  <si>
    <t>SN DLX - Netting for EazyFit</t>
  </si>
  <si>
    <t>8715839054033</t>
  </si>
  <si>
    <t>51.30.72.15</t>
  </si>
  <si>
    <t>Safety Net DLX - Los net voor Grand Champion</t>
  </si>
  <si>
    <t>8715839055405</t>
  </si>
  <si>
    <t>51.30.72.16</t>
  </si>
  <si>
    <t>SN DLX - Fasteners</t>
  </si>
  <si>
    <t>8715839055412</t>
  </si>
  <si>
    <t>51.30.72.17</t>
  </si>
  <si>
    <t>SN DLX - elastic bands for netting EazyFit</t>
  </si>
  <si>
    <t>8715839049770</t>
  </si>
  <si>
    <t>51.30.72.49</t>
  </si>
  <si>
    <t>SP Endcap SN tenttubes (10x)</t>
  </si>
  <si>
    <t>8715839047875</t>
  </si>
  <si>
    <t>51.30.72.51</t>
  </si>
  <si>
    <t>SP Top caps 8x Safety Net DLX</t>
  </si>
  <si>
    <t>8715839047851</t>
  </si>
  <si>
    <t>51.30.72.54</t>
  </si>
  <si>
    <t>SP Onderbuis Safety Net DLX</t>
  </si>
  <si>
    <t>8715839047868</t>
  </si>
  <si>
    <t>51.30.72.70</t>
  </si>
  <si>
    <t>SP Safety Net DLX 270</t>
  </si>
  <si>
    <t>8715839049725</t>
  </si>
  <si>
    <t>51.30.72.71</t>
  </si>
  <si>
    <t>SP Safety Net DLX 330</t>
  </si>
  <si>
    <t>8715839047905</t>
  </si>
  <si>
    <t>51.30.72.72</t>
  </si>
  <si>
    <t>SP Safety Net DLX 380</t>
  </si>
  <si>
    <t>8715839047912</t>
  </si>
  <si>
    <t>51.30.72.73</t>
  </si>
  <si>
    <t>SP Safety Net DLX 430</t>
  </si>
  <si>
    <t>8715839047899</t>
  </si>
  <si>
    <t>51.30.72.74</t>
  </si>
  <si>
    <t>SP Hoezen 8x Safety Net DLX</t>
  </si>
  <si>
    <t>8715839047844</t>
  </si>
  <si>
    <t>51.30.72.80</t>
  </si>
  <si>
    <t>SP Bovenbuis Safety Net DLX</t>
  </si>
  <si>
    <t>8715839055429</t>
  </si>
  <si>
    <t>51.30.73.00</t>
  </si>
  <si>
    <t>Safety Net T-series - Tenttubes for 330 (11ft)</t>
  </si>
  <si>
    <t>8715839055436</t>
  </si>
  <si>
    <t>51.30.73.01</t>
  </si>
  <si>
    <t>Safety Net T-series - Tenttubes for 380 (380ft)</t>
  </si>
  <si>
    <t>8715839055443</t>
  </si>
  <si>
    <t>51.30.73.02</t>
  </si>
  <si>
    <t>Safety Net T-series - Tenttubes for 430 (14ft)</t>
  </si>
  <si>
    <t>8715839055450</t>
  </si>
  <si>
    <t>51.30.73.03</t>
  </si>
  <si>
    <t>Safety Net T-series - Netting for 330 (11ft)</t>
  </si>
  <si>
    <t>8715839055467</t>
  </si>
  <si>
    <t>51.30.73.04</t>
  </si>
  <si>
    <t>Safety Net T-series - Netting for 380  (12,5ft)</t>
  </si>
  <si>
    <t>8715839055474</t>
  </si>
  <si>
    <t>51.30.73.05</t>
  </si>
  <si>
    <t>Safety Net T-series - Netting for 430 (14ft)</t>
  </si>
  <si>
    <t>8715839059366</t>
  </si>
  <si>
    <t>51.30.73.06</t>
  </si>
  <si>
    <t>Safety Net T-series - Netting for 11ft (1x)</t>
  </si>
  <si>
    <t>8715839059373</t>
  </si>
  <si>
    <t>51.30.73.07</t>
  </si>
  <si>
    <t>Safety Net T-series - Netting for 12,5ft (1x)</t>
  </si>
  <si>
    <t>8715839059380</t>
  </si>
  <si>
    <t>51.30.73.08</t>
  </si>
  <si>
    <t>Safety Net T-series - Netting for 14ft (1x)</t>
  </si>
  <si>
    <t>8715839049862</t>
  </si>
  <si>
    <t>51.30.73.29</t>
  </si>
  <si>
    <t>Set Sleeves SN T-series SP(14)</t>
  </si>
  <si>
    <t>8715839049824</t>
  </si>
  <si>
    <t>51.30.73.30</t>
  </si>
  <si>
    <t>Clamp for Safety net TS SP(14)</t>
  </si>
  <si>
    <t>8715839049848</t>
  </si>
  <si>
    <t>51.30.73.61</t>
  </si>
  <si>
    <t>Netting T-series 11ft SP (14)</t>
  </si>
  <si>
    <t>8715839049855</t>
  </si>
  <si>
    <t>51.30.73.62</t>
  </si>
  <si>
    <t>Netting T-series 12.5ft SP(14)</t>
  </si>
  <si>
    <t>8715839049831</t>
  </si>
  <si>
    <t>51.30.73.64</t>
  </si>
  <si>
    <t>Netting T-series 14ft SP (14)</t>
  </si>
  <si>
    <t>8715839053890</t>
  </si>
  <si>
    <t>51.30.74.00</t>
  </si>
  <si>
    <t>Safety Net Comfort (InGr) - paal onder (1x)</t>
  </si>
  <si>
    <t>8715839053906</t>
  </si>
  <si>
    <t>51.30.74.01</t>
  </si>
  <si>
    <t>Safety Net Comfort (InGr) - schuimdelen (8x boven; 8x onder)</t>
  </si>
  <si>
    <t>8715839053913</t>
  </si>
  <si>
    <t>51.30.74.02</t>
  </si>
  <si>
    <t>Safety Net Comfort (InGr) - set paalhoezen (8x)</t>
  </si>
  <si>
    <t>8715839053920</t>
  </si>
  <si>
    <t>51.30.74.03</t>
  </si>
  <si>
    <t>Safety Net Comfort (InGr)- klemmen + bevestiging voor 1 paal</t>
  </si>
  <si>
    <t>8715839057324</t>
  </si>
  <si>
    <t>51.30.74.04</t>
  </si>
  <si>
    <t>Safety Net Comfort – Spring brackets (20x)</t>
  </si>
  <si>
    <t>8715839062465</t>
  </si>
  <si>
    <t>51.30.74.05</t>
  </si>
  <si>
    <t>Safety Net Comfort - Side Release Buckles (8x)</t>
  </si>
  <si>
    <t>8715839064278</t>
  </si>
  <si>
    <t>51.30.74.06</t>
  </si>
  <si>
    <t>Safety Net Comfort - Foam set black</t>
  </si>
  <si>
    <t>51.30.74.07</t>
  </si>
  <si>
    <t>Safety Net Comfort - Upper Tube for springbracket</t>
  </si>
  <si>
    <t>51.30.74.08</t>
  </si>
  <si>
    <t>Safety Net Comfort - Lower tube + springbracket</t>
  </si>
  <si>
    <t>51.30.74.09</t>
  </si>
  <si>
    <t>Safety Net Comfort - Fasteners for 1 tube</t>
  </si>
  <si>
    <t>8715839049619</t>
  </si>
  <si>
    <t>51.30.74.30</t>
  </si>
  <si>
    <t>SP Upper Tube SNC</t>
  </si>
  <si>
    <t>8715839049671</t>
  </si>
  <si>
    <t>51.30.74.31</t>
  </si>
  <si>
    <t>SP Foam set SNC</t>
  </si>
  <si>
    <t>8715839057133</t>
  </si>
  <si>
    <t>51.30.74.32</t>
  </si>
  <si>
    <t xml:space="preserve">Safety Net Comfort - Upper tube for spring bracket (1x)
</t>
  </si>
  <si>
    <t>8715839057140</t>
  </si>
  <si>
    <t>51.30.74.33</t>
  </si>
  <si>
    <t xml:space="preserve">Safety Net Comfort - Lower tube + spring bracket (1x)
</t>
  </si>
  <si>
    <t>8715839049626</t>
  </si>
  <si>
    <t>51.30.74.34</t>
  </si>
  <si>
    <t>SP Lower Tube SNC</t>
  </si>
  <si>
    <t>8715839049688</t>
  </si>
  <si>
    <t>51.30.74.36</t>
  </si>
  <si>
    <t>SP Sleeve set SNC</t>
  </si>
  <si>
    <t>8715839049701</t>
  </si>
  <si>
    <t>51.30.74.40</t>
  </si>
  <si>
    <t>SP Buckles set SNC</t>
  </si>
  <si>
    <t>8715839051612</t>
  </si>
  <si>
    <t>51.30.74.41</t>
  </si>
  <si>
    <t>Safety Net Comfort (SP) - set side release buckles (8x)</t>
  </si>
  <si>
    <t>8715839051629</t>
  </si>
  <si>
    <t>51.30.74.42</t>
  </si>
  <si>
    <t>Safety Net Comfort (SP) - foam set (8x upper; 8x lower)</t>
  </si>
  <si>
    <t>8715839051575</t>
  </si>
  <si>
    <t>51.30.74.43</t>
  </si>
  <si>
    <t>Safety Net Comfort (SP) - Separate netting 270 (9ft) (1x)</t>
  </si>
  <si>
    <t>8715839051582</t>
  </si>
  <si>
    <t>51.30.74.44</t>
  </si>
  <si>
    <t>Safety Net Comfort (SP) - Seperate netting 330 (11ft) (1x)</t>
  </si>
  <si>
    <t>8715839051599</t>
  </si>
  <si>
    <t>51.30.74.45</t>
  </si>
  <si>
    <t>Safety Net Comfort (SP) - Seperate netting 380 (12,5ft) (1x)</t>
  </si>
  <si>
    <t>8715839051605</t>
  </si>
  <si>
    <t>51.30.74.46</t>
  </si>
  <si>
    <t>Safety Net Comfort (SP) - Seperate netting 430 (14ft) (1x)</t>
  </si>
  <si>
    <t>8715839049718</t>
  </si>
  <si>
    <t>51.30.74.49</t>
  </si>
  <si>
    <t>SP Topcap set SNC</t>
  </si>
  <si>
    <t>8715839049695</t>
  </si>
  <si>
    <t>51.30.74.52</t>
  </si>
  <si>
    <t>SP Fasteners set SNC</t>
  </si>
  <si>
    <t>8715839049633</t>
  </si>
  <si>
    <t>51.30.74.69</t>
  </si>
  <si>
    <t>SP SN Comfort 9ft</t>
  </si>
  <si>
    <t>8715839049640</t>
  </si>
  <si>
    <t>51.30.74.71</t>
  </si>
  <si>
    <t>SP SN Comfort 11ft</t>
  </si>
  <si>
    <t>8715839049657</t>
  </si>
  <si>
    <t>51.30.74.72</t>
  </si>
  <si>
    <t>SP SN Comfort 12.5ft</t>
  </si>
  <si>
    <t>8715839049664</t>
  </si>
  <si>
    <t>51.30.74.74</t>
  </si>
  <si>
    <t>SP SN Comfort  430/14ft</t>
  </si>
  <si>
    <t>8715839050646</t>
  </si>
  <si>
    <t>51.30.74.90</t>
  </si>
  <si>
    <t>SN Comfort opening band repair kit</t>
  </si>
  <si>
    <t>8715839055481</t>
  </si>
  <si>
    <t>51.30.80.00</t>
  </si>
  <si>
    <t>Frame net TS 11ft SP</t>
  </si>
  <si>
    <t>8715839055498</t>
  </si>
  <si>
    <t>51.30.80.01</t>
  </si>
  <si>
    <t>Frame net TS 12.5ft SP</t>
  </si>
  <si>
    <t>8715839055504</t>
  </si>
  <si>
    <t>51.30.80.02</t>
  </si>
  <si>
    <t>Frame net TS 14ft SP</t>
  </si>
  <si>
    <t>8715839049176</t>
  </si>
  <si>
    <t>51.30.82.01</t>
  </si>
  <si>
    <t>Foot Fav.InGr. 9+14ft SP (14)</t>
  </si>
  <si>
    <t>8715839049275</t>
  </si>
  <si>
    <t>51.30.82.02</t>
  </si>
  <si>
    <t>Foot Fav InGr 11ft SP (14)</t>
  </si>
  <si>
    <t>8715839049336</t>
  </si>
  <si>
    <t>51.30.82.03</t>
  </si>
  <si>
    <t>Foot Fav InGr 12,5ft SP (14)</t>
  </si>
  <si>
    <t>8715839060232</t>
  </si>
  <si>
    <t>51.30.90.00</t>
  </si>
  <si>
    <t>Ladder Platform – Shoebag (1x) + Elastics (3x)</t>
  </si>
  <si>
    <t>51.30.91.00</t>
  </si>
  <si>
    <t>Toprail Champion weld USA 330</t>
  </si>
  <si>
    <t>51.30.91.01</t>
  </si>
  <si>
    <t>Toprail Champion USA 330</t>
  </si>
  <si>
    <t>51.30.91.02</t>
  </si>
  <si>
    <t>Champion - Padding USA Green 330 (11ft)</t>
  </si>
  <si>
    <t>51.30.91.03</t>
  </si>
  <si>
    <t>InGround Champion - Padding USA Green 330 (11ft)</t>
  </si>
  <si>
    <t>51.30.94.00</t>
  </si>
  <si>
    <t>Toprail Champion weld USA 430</t>
  </si>
  <si>
    <t>51.30.94.01</t>
  </si>
  <si>
    <t>Toprail Champion USA 430</t>
  </si>
  <si>
    <t>51.30.94.02</t>
  </si>
  <si>
    <t>Champion - Padding USA Green 430 (14ft)</t>
  </si>
  <si>
    <t>51.30.94.03</t>
  </si>
  <si>
    <t>InGround Champion - Padding USA Green 430 (14ft)</t>
  </si>
  <si>
    <t>51.30.95.00</t>
  </si>
  <si>
    <t>InGround Leg USA</t>
  </si>
  <si>
    <t>51.30.95.01</t>
  </si>
  <si>
    <t>Instruction sign USA</t>
  </si>
  <si>
    <t>51.30.95.02</t>
  </si>
  <si>
    <t>Bag of fasteners Champion USA</t>
  </si>
  <si>
    <t>51.30.95.03</t>
  </si>
  <si>
    <t>Safety Net Deluxe - Netting USA 330 (11ft)</t>
  </si>
  <si>
    <t>51.30.95.04</t>
  </si>
  <si>
    <t>Safety Net Deluxe - Netting USA 430  (14ft)</t>
  </si>
  <si>
    <t>8715839045581</t>
  </si>
  <si>
    <t>51.31.01.00</t>
  </si>
  <si>
    <t>8715839053340</t>
  </si>
  <si>
    <t>51.31.01.50</t>
  </si>
  <si>
    <t>8715839045598</t>
  </si>
  <si>
    <t>51.32.01.00</t>
  </si>
  <si>
    <t>8715839045604</t>
  </si>
  <si>
    <t>51.33.02.00</t>
  </si>
  <si>
    <t>8715839053333</t>
  </si>
  <si>
    <t>51.34.01.00</t>
  </si>
  <si>
    <t>8715839061970</t>
  </si>
  <si>
    <t>51.34.02.00</t>
  </si>
  <si>
    <t>Inner tube 430/150-12</t>
  </si>
  <si>
    <t>8715839045611</t>
  </si>
  <si>
    <t>51.36.12.51</t>
  </si>
  <si>
    <t>8715839064308</t>
  </si>
  <si>
    <t>51.37.11.00</t>
  </si>
  <si>
    <t>Elite - Padding green 330</t>
  </si>
  <si>
    <t>51.37.11.01</t>
  </si>
  <si>
    <t>Elite - Padding red 330 (11 ft)</t>
  </si>
  <si>
    <t>51.37.11.02</t>
  </si>
  <si>
    <t>Elite - Padding grey 330 (11 ft)</t>
  </si>
  <si>
    <t>8715839064315</t>
  </si>
  <si>
    <t>51.37.11.03</t>
  </si>
  <si>
    <t>InGround Elite - Padding green 330 (11 ft)</t>
  </si>
  <si>
    <t>51.37.11.04</t>
  </si>
  <si>
    <t>InGround Elite - Padding red 330 (11 ft)</t>
  </si>
  <si>
    <t>51.37.11.05</t>
  </si>
  <si>
    <t>InGround Elite - Padding grey 330 (11 ft)</t>
  </si>
  <si>
    <t>51.37.12.00</t>
  </si>
  <si>
    <t>Elite - Padding green 380 (12,5 ft)</t>
  </si>
  <si>
    <t>51.37.12.01</t>
  </si>
  <si>
    <t>Elite - Padding red 380 (12,5 ft)</t>
  </si>
  <si>
    <t>51.37.12.02</t>
  </si>
  <si>
    <t>Elite - Padding grey 380 (12,5 ft)</t>
  </si>
  <si>
    <t>51.37.12.03</t>
  </si>
  <si>
    <t>InGround Elite - Padding green 380 (12,5 ft)</t>
  </si>
  <si>
    <t>51.37.12.04</t>
  </si>
  <si>
    <t>InGround Elite - Padding red 380 (12,5 ft)</t>
  </si>
  <si>
    <t>51.37.12.05</t>
  </si>
  <si>
    <t>InGround Elite - Padding grey 380 (12,5 ft)</t>
  </si>
  <si>
    <t>51.37.14.00</t>
  </si>
  <si>
    <t>Elite - Padding green 430 (14 ft)</t>
  </si>
  <si>
    <t>51.37.14.01</t>
  </si>
  <si>
    <t>Elite - Padding red 430 (14 ft)</t>
  </si>
  <si>
    <t>51.37.14.02</t>
  </si>
  <si>
    <t>Elite - Padding grey 430 (14 ft)</t>
  </si>
  <si>
    <t>51.37.14.03</t>
  </si>
  <si>
    <t>InGround Elite - Padding green 430 (14 ft)</t>
  </si>
  <si>
    <t>51.37.14.04</t>
  </si>
  <si>
    <t>InGround Elite - Padding red 430 (14 ft)</t>
  </si>
  <si>
    <t>51.37.14.05</t>
  </si>
  <si>
    <t>InGround Elite - Padding grey 430 (14 ft)</t>
  </si>
  <si>
    <t>8715839060430</t>
  </si>
  <si>
    <t>51.38.00.00</t>
  </si>
  <si>
    <t>Champion Flatground - Frame Tube (Toprail) 14 ft</t>
  </si>
  <si>
    <t>8715839060447</t>
  </si>
  <si>
    <t>51.38.00.01</t>
  </si>
  <si>
    <t>Champion Flatground - Jumpmat 14 ft</t>
  </si>
  <si>
    <t>8715839060454</t>
  </si>
  <si>
    <t>51.38.00.02</t>
  </si>
  <si>
    <t>Champion Flatground - Padding Band Spring (8x)</t>
  </si>
  <si>
    <t>8715839060461</t>
  </si>
  <si>
    <t>51.38.00.03</t>
  </si>
  <si>
    <t>Champion Flatground - Padding Band 14 ft</t>
  </si>
  <si>
    <t>8715839060478</t>
  </si>
  <si>
    <t>51.38.00.04</t>
  </si>
  <si>
    <t>Champion Flatground - Ruler 14 ft</t>
  </si>
  <si>
    <t>8715839060485</t>
  </si>
  <si>
    <t>51.38.00.05</t>
  </si>
  <si>
    <t>Champion Flatground - Fasteners</t>
  </si>
  <si>
    <t>51.38.11.00</t>
  </si>
  <si>
    <t>Flatground Champion - Frame Tube (Toprail) 330 (11ft)</t>
  </si>
  <si>
    <t>51.38.11.01</t>
  </si>
  <si>
    <t>Flatground Champion - Padding Band  330 (11ft)</t>
  </si>
  <si>
    <t>51.38.11.02</t>
  </si>
  <si>
    <t>Flatground Champion - Ruler 330 (11ft)</t>
  </si>
  <si>
    <t>51.38.12.00</t>
  </si>
  <si>
    <t>Flatground Champion - Frame Tube (Toprail) 380 (12,5ft)</t>
  </si>
  <si>
    <t>51.38.12.01</t>
  </si>
  <si>
    <t>Flatground Champion - Padding Band  380 (12,5ft)</t>
  </si>
  <si>
    <t>51.38.12.02</t>
  </si>
  <si>
    <t>Flatground Champion - Ruler 380 (12,5ft)</t>
  </si>
  <si>
    <t>8715839050332</t>
  </si>
  <si>
    <t>51.42.00.00</t>
  </si>
  <si>
    <t>SP 6" Radiall outer tire</t>
  </si>
  <si>
    <t>8715839050349</t>
  </si>
  <si>
    <t>51.42.00.01</t>
  </si>
  <si>
    <t>SP 6" Radiall tire completec</t>
  </si>
  <si>
    <t>8715839052176</t>
  </si>
  <si>
    <t>51.42.00.02</t>
  </si>
  <si>
    <t>SP 9" Junior tire Race</t>
  </si>
  <si>
    <t>8715839061994</t>
  </si>
  <si>
    <t>51.42.00.03</t>
  </si>
  <si>
    <t>Wheel  black 12.5x3.00-9 slick</t>
  </si>
  <si>
    <t>8715839052039</t>
  </si>
  <si>
    <t>51.42.00.04</t>
  </si>
  <si>
    <t>SP Inner tube 9" Junior Race</t>
  </si>
  <si>
    <t>8715839053159</t>
  </si>
  <si>
    <t>51.42.00.05</t>
  </si>
  <si>
    <t>SP Wiel 12,5x8 Zwart Slick no stripe</t>
  </si>
  <si>
    <t>8715839055900</t>
  </si>
  <si>
    <t>51.42.00.06</t>
  </si>
  <si>
    <t>SP tire Buddy PRO</t>
  </si>
  <si>
    <t>8715839055917</t>
  </si>
  <si>
    <t>51.42.00.07</t>
  </si>
  <si>
    <t>SP Wheel Buddy PRO</t>
  </si>
  <si>
    <t>8715839055924</t>
  </si>
  <si>
    <t>51.42.00.08</t>
  </si>
  <si>
    <t>SP Drive Wheel Buddy PRO</t>
  </si>
  <si>
    <t>8715839056013</t>
  </si>
  <si>
    <t>51.42.00.09</t>
  </si>
  <si>
    <t>SP Wheel Large Trailer</t>
  </si>
  <si>
    <t>8715839056075</t>
  </si>
  <si>
    <t>51.42.00.10</t>
  </si>
  <si>
    <t>Innertube Fam 2.75-17 SP</t>
  </si>
  <si>
    <t>8715839056082</t>
  </si>
  <si>
    <t>51.42.00.11</t>
  </si>
  <si>
    <t>outertube Fam 2.75-17 SP</t>
  </si>
  <si>
    <t>8715839057614</t>
  </si>
  <si>
    <t>51.42.00.12</t>
  </si>
  <si>
    <t>SP Wheel 12,5x8 Black Slick AA No Stripe</t>
  </si>
  <si>
    <t>8715839057874</t>
  </si>
  <si>
    <t>51.42.00.13</t>
  </si>
  <si>
    <t>SP Buddy BMW Drive Wheel</t>
  </si>
  <si>
    <t>8715839057881</t>
  </si>
  <si>
    <t>51.42.00.14</t>
  </si>
  <si>
    <t>SP Buddy BMW Wheel</t>
  </si>
  <si>
    <t>8715839059854</t>
  </si>
  <si>
    <t>51.42.00.15</t>
  </si>
  <si>
    <t>Wheel Red 300x4 Needle B.</t>
  </si>
  <si>
    <t>8715839053791</t>
  </si>
  <si>
    <t>51.53.00.00</t>
  </si>
  <si>
    <t>stoelframe Gran Tour voor</t>
  </si>
  <si>
    <t>8715839056754</t>
  </si>
  <si>
    <t>51.59.00.00</t>
  </si>
  <si>
    <t>SP Klem buis 22 (remanker Bal.) (2x)</t>
  </si>
  <si>
    <t>8715839057645</t>
  </si>
  <si>
    <t>51.67.00.00</t>
  </si>
  <si>
    <t>Buzzy SP Seat black</t>
  </si>
  <si>
    <t>8715839057652</t>
  </si>
  <si>
    <t>51.67.00.01</t>
  </si>
  <si>
    <t>Buzzy Racing SP Steering Wheel</t>
  </si>
  <si>
    <t>8715839057669</t>
  </si>
  <si>
    <t>51.67.00.02</t>
  </si>
  <si>
    <t>Buzzy Racing SP Wheel Front</t>
  </si>
  <si>
    <t>8715839057676</t>
  </si>
  <si>
    <t>51.67.00.03</t>
  </si>
  <si>
    <t>Buzzy Racing SP Wheel Rear</t>
  </si>
  <si>
    <t>8715839057683</t>
  </si>
  <si>
    <t>51.67.00.04</t>
  </si>
  <si>
    <t>Buzzy Racing SP Stickerset</t>
  </si>
  <si>
    <t>8715839057690</t>
  </si>
  <si>
    <t>51.67.00.05</t>
  </si>
  <si>
    <t>Buzzy Racing SP small plastics</t>
  </si>
  <si>
    <t>8715839057706</t>
  </si>
  <si>
    <t>51.67.00.06</t>
  </si>
  <si>
    <t>Buzzy Racing SP all fasteners</t>
  </si>
  <si>
    <t>8715839057713</t>
  </si>
  <si>
    <t>51.67.00.07</t>
  </si>
  <si>
    <t>Buzzy Racing SP Spoiler</t>
  </si>
  <si>
    <t>8715839057720</t>
  </si>
  <si>
    <t>51.67.00.08</t>
  </si>
  <si>
    <t>Buzzy SP Chainguard Black</t>
  </si>
  <si>
    <t>8715839059687</t>
  </si>
  <si>
    <t>51.67.00.09</t>
  </si>
  <si>
    <t>Buzzy Bloom SP Basket</t>
  </si>
  <si>
    <t>8715839059694</t>
  </si>
  <si>
    <t>51.67.00.10</t>
  </si>
  <si>
    <t>Buzzy Bloom SP Small plastics</t>
  </si>
  <si>
    <t>8715839059700</t>
  </si>
  <si>
    <t>51.67.00.11</t>
  </si>
  <si>
    <t>Buzzy bloom SP Steer tube</t>
  </si>
  <si>
    <t>8715839059717</t>
  </si>
  <si>
    <t>51.67.00.12</t>
  </si>
  <si>
    <t>Buzzy Bloom SP stickerset</t>
  </si>
  <si>
    <t>8715839059724</t>
  </si>
  <si>
    <t>51.67.00.13</t>
  </si>
  <si>
    <t>Buzzy Bloom SP Wheel front/rear</t>
  </si>
  <si>
    <t>8715839059731</t>
  </si>
  <si>
    <t>51.67.00.14</t>
  </si>
  <si>
    <t>Buzzy Nitro SP Chainguard</t>
  </si>
  <si>
    <t>8715839059861</t>
  </si>
  <si>
    <t>51.67.00.15</t>
  </si>
  <si>
    <t>Buzzy Nitro Seat</t>
  </si>
  <si>
    <t>8715839059878</t>
  </si>
  <si>
    <t>51.67.00.16</t>
  </si>
  <si>
    <t>Buzzy Nitro Small plastics</t>
  </si>
  <si>
    <t>8715839059885</t>
  </si>
  <si>
    <t>51.67.00.17</t>
  </si>
  <si>
    <t>Buzzy Nitro Spoiler</t>
  </si>
  <si>
    <t>8715839059892</t>
  </si>
  <si>
    <t>51.67.00.18</t>
  </si>
  <si>
    <t>Buzzy Nitro Spring set</t>
  </si>
  <si>
    <t>8715839059908</t>
  </si>
  <si>
    <t>51.67.00.19</t>
  </si>
  <si>
    <t>Buzzy Nitro Steer complete</t>
  </si>
  <si>
    <t>8715839059915</t>
  </si>
  <si>
    <t>51.67.00.20</t>
  </si>
  <si>
    <t>Buzzy Nitro Stickerset</t>
  </si>
  <si>
    <t>8715839059922</t>
  </si>
  <si>
    <t>51.67.00.21</t>
  </si>
  <si>
    <t>Buzzy Nitro Wheel left front/rear</t>
  </si>
  <si>
    <t>8715839059939</t>
  </si>
  <si>
    <t>51.67.00.22</t>
  </si>
  <si>
    <t>Buzzy Nitro Wheel right front/rear</t>
  </si>
  <si>
    <t>8715839061093</t>
  </si>
  <si>
    <t>51.67.11.00</t>
  </si>
  <si>
    <t>Buzzy John Deere small plastics</t>
  </si>
  <si>
    <t>8715839061109</t>
  </si>
  <si>
    <t>51.67.11.01</t>
  </si>
  <si>
    <t>Buzzy John Deere spoiler + insert</t>
  </si>
  <si>
    <t>8715839061116</t>
  </si>
  <si>
    <t>51.67.11.02</t>
  </si>
  <si>
    <t>8715839061123</t>
  </si>
  <si>
    <t>51.67.11.03</t>
  </si>
  <si>
    <t>8715839061130</t>
  </si>
  <si>
    <t>51.67.11.04</t>
  </si>
  <si>
    <t>Buzzy John Deere Wheel left front/rear</t>
  </si>
  <si>
    <t>8715839061147</t>
  </si>
  <si>
    <t>51.67.11.05</t>
  </si>
  <si>
    <t>Buzzy John Deere Wheel right front/rear</t>
  </si>
  <si>
    <t>8715839064353</t>
  </si>
  <si>
    <t>51.67.18.00</t>
  </si>
  <si>
    <t>Buzzy - Towbar</t>
  </si>
  <si>
    <t>51.67.18.01</t>
  </si>
  <si>
    <t>Wheel grey-black 9x2 left (yellow cover)</t>
  </si>
  <si>
    <t>51.67.18.02</t>
  </si>
  <si>
    <t>Wheel grey-black 9x2 right (red cover)</t>
  </si>
  <si>
    <t>51.67.18.03</t>
  </si>
  <si>
    <t>Buzzy - Assembly set for trailer</t>
  </si>
  <si>
    <t>51.67.18.04</t>
  </si>
  <si>
    <t>Buzzy - Sticker set for trailer</t>
  </si>
  <si>
    <t>8715839045468</t>
  </si>
  <si>
    <t>52.00.00.02</t>
  </si>
  <si>
    <t>Junior bucket black+stick.</t>
  </si>
  <si>
    <t>8715839046892</t>
  </si>
  <si>
    <t>52.01.11.01</t>
  </si>
  <si>
    <t>Stuur Compact</t>
  </si>
  <si>
    <t>8715839044836</t>
  </si>
  <si>
    <t>52.01.12.02</t>
  </si>
  <si>
    <t>Kunststof afdekdop stuur</t>
  </si>
  <si>
    <t>8715839034837</t>
  </si>
  <si>
    <t>52.01.14.01</t>
  </si>
  <si>
    <t>Stuurdop 2004 blanco zwart</t>
  </si>
  <si>
    <t>8715839041798</t>
  </si>
  <si>
    <t>52.01.22.07</t>
  </si>
  <si>
    <t>Afdekkap stuur metallic grijs</t>
  </si>
  <si>
    <t>8715839034844</t>
  </si>
  <si>
    <t>52.01.23.02</t>
  </si>
  <si>
    <t>Logoplaat sportstuur</t>
  </si>
  <si>
    <t>8715839016376</t>
  </si>
  <si>
    <t>52.01.25.01</t>
  </si>
  <si>
    <t>8715839030228</t>
  </si>
  <si>
    <t>52.02.00.00</t>
  </si>
  <si>
    <t>Sportstoel Black Edition</t>
  </si>
  <si>
    <t>8715839034851</t>
  </si>
  <si>
    <t>52.02.14.21</t>
  </si>
  <si>
    <t>Kuipstoel zwart los</t>
  </si>
  <si>
    <t>52.02.14.71</t>
  </si>
  <si>
    <t>8715839034875</t>
  </si>
  <si>
    <t>52.02.14.81</t>
  </si>
  <si>
    <t>Kuipstoel zwart Delta</t>
  </si>
  <si>
    <t>8715839029147</t>
  </si>
  <si>
    <t>52.02.15.00</t>
  </si>
  <si>
    <t>Achterkap kettingkast</t>
  </si>
  <si>
    <t>8715839034882</t>
  </si>
  <si>
    <t>52.02.15.08</t>
  </si>
  <si>
    <t>Achterkap kettingkast Groen</t>
  </si>
  <si>
    <t>8715839034899</t>
  </si>
  <si>
    <t>52.02.18.29</t>
  </si>
  <si>
    <t>Sportstoel zwart/zilver</t>
  </si>
  <si>
    <t>8715839034905</t>
  </si>
  <si>
    <t>52.02.18.31</t>
  </si>
  <si>
    <t>Sportstoel zwart/geel</t>
  </si>
  <si>
    <t>8715839045529</t>
  </si>
  <si>
    <t>52.02.18.32</t>
  </si>
  <si>
    <t>Sportstoel Route 66</t>
  </si>
  <si>
    <t>8715839029154</t>
  </si>
  <si>
    <t>52.02.18.41</t>
  </si>
  <si>
    <t>Sportstoel zwart sticker klein</t>
  </si>
  <si>
    <t>8715839025033</t>
  </si>
  <si>
    <t>52.02.18.42</t>
  </si>
  <si>
    <t>Sportstoel ro sticker klein</t>
  </si>
  <si>
    <t>8715839034912</t>
  </si>
  <si>
    <t>52.02.18.44</t>
  </si>
  <si>
    <t>Sportstoel oranje</t>
  </si>
  <si>
    <t>8715839034929</t>
  </si>
  <si>
    <t>52.02.18.45</t>
  </si>
  <si>
    <t>Sportstoel groen sticker klein</t>
  </si>
  <si>
    <t>8715839034936</t>
  </si>
  <si>
    <t>52.02.18.46</t>
  </si>
  <si>
    <t>Sportstoel NH Blauw</t>
  </si>
  <si>
    <t>8715839045970</t>
  </si>
  <si>
    <t>52.02.18.47</t>
  </si>
  <si>
    <t>Gran Tour stoel bestickerd</t>
  </si>
  <si>
    <t>8715839034943</t>
  </si>
  <si>
    <t>52.02.18.51</t>
  </si>
  <si>
    <t>Sportstoel Chopper</t>
  </si>
  <si>
    <t>8715839034950</t>
  </si>
  <si>
    <t>52.02.18.53</t>
  </si>
  <si>
    <t>Sportstoel Construxx</t>
  </si>
  <si>
    <t>8715839029413</t>
  </si>
  <si>
    <t>52.02.18.54</t>
  </si>
  <si>
    <t>Sportstoel JEEP</t>
  </si>
  <si>
    <t>8715839034967</t>
  </si>
  <si>
    <t>52.02.18.61</t>
  </si>
  <si>
    <t>Sportstoel Gold</t>
  </si>
  <si>
    <t>8715839034974</t>
  </si>
  <si>
    <t>52.02.18.63</t>
  </si>
  <si>
    <t>Sportstoel blauw</t>
  </si>
  <si>
    <t>8715839034981</t>
  </si>
  <si>
    <t>52.02.18.64</t>
  </si>
  <si>
    <t>52.02.18.68</t>
  </si>
  <si>
    <t>Sportstoel X-Plorer</t>
  </si>
  <si>
    <t>8715839034998</t>
  </si>
  <si>
    <t>52.02.18.69</t>
  </si>
  <si>
    <t>Sportstoel Racing</t>
  </si>
  <si>
    <t>8715839035001</t>
  </si>
  <si>
    <t>52.02.18.71</t>
  </si>
  <si>
    <t>Sportstoel Zwart</t>
  </si>
  <si>
    <t>8715839035018</t>
  </si>
  <si>
    <t>52.02.18.72</t>
  </si>
  <si>
    <t>Sportstoel rood</t>
  </si>
  <si>
    <t>8715839035025</t>
  </si>
  <si>
    <t>52.02.18.74</t>
  </si>
  <si>
    <t>Sportstoel Claas</t>
  </si>
  <si>
    <t>8715839035032</t>
  </si>
  <si>
    <t>52.02.18.76</t>
  </si>
  <si>
    <t>Sportstoel geel/zilver</t>
  </si>
  <si>
    <t>8715839035049</t>
  </si>
  <si>
    <t>52.02.18.77</t>
  </si>
  <si>
    <t>Sportstoel Safari</t>
  </si>
  <si>
    <t>8715839035056</t>
  </si>
  <si>
    <t>52.02.18.78</t>
  </si>
  <si>
    <t>Sportstoel New Holland</t>
  </si>
  <si>
    <t>8715839035063</t>
  </si>
  <si>
    <t>52.02.18.80</t>
  </si>
  <si>
    <t>Sportstoel Silver Race</t>
  </si>
  <si>
    <t>8715839035070</t>
  </si>
  <si>
    <t>52.02.18.81</t>
  </si>
  <si>
    <t>Sportstoel Ferrari</t>
  </si>
  <si>
    <t>8715839035087</t>
  </si>
  <si>
    <t>52.02.18.83</t>
  </si>
  <si>
    <t>Sportstoel blauw Roxy</t>
  </si>
  <si>
    <t>8715839035094</t>
  </si>
  <si>
    <t>52.02.18.84</t>
  </si>
  <si>
    <t>Sportstoel oranje Roxy</t>
  </si>
  <si>
    <t>8715839035100</t>
  </si>
  <si>
    <t>52.02.18.87</t>
  </si>
  <si>
    <t>Sportstoel Fire Fighter</t>
  </si>
  <si>
    <t>8715839035117</t>
  </si>
  <si>
    <t>52.02.21.01</t>
  </si>
  <si>
    <t>Achterkap kettingkast Compact</t>
  </si>
  <si>
    <t>8715839035124</t>
  </si>
  <si>
    <t>52.02.22.05</t>
  </si>
  <si>
    <t>Achterkap Kettingkast</t>
  </si>
  <si>
    <t>8715839035131</t>
  </si>
  <si>
    <t>52.04.08.01</t>
  </si>
  <si>
    <t>Kuipstoel Binky zwart</t>
  </si>
  <si>
    <t>8715839035148</t>
  </si>
  <si>
    <t>52.04.08.03</t>
  </si>
  <si>
    <t>Kuipstoel geel klein</t>
  </si>
  <si>
    <t>8715839035155</t>
  </si>
  <si>
    <t>52.04.08.21</t>
  </si>
  <si>
    <t>Kuipstoel Binky gestickerd</t>
  </si>
  <si>
    <t>8715839035162</t>
  </si>
  <si>
    <t>52.04.11.20</t>
  </si>
  <si>
    <t>Kettingkastdelen Binky</t>
  </si>
  <si>
    <t>8715839035179</t>
  </si>
  <si>
    <t>52.04.22.01</t>
  </si>
  <si>
    <t>Stuur Binky</t>
  </si>
  <si>
    <t>8715839041804</t>
  </si>
  <si>
    <t>52.07.10.04</t>
  </si>
  <si>
    <t>Opsluitdop in As Bolderkar</t>
  </si>
  <si>
    <t>8715839041156</t>
  </si>
  <si>
    <t>52.10.20.01</t>
  </si>
  <si>
    <t>Trekhaak BERG Rally</t>
  </si>
  <si>
    <t>8715839024296</t>
  </si>
  <si>
    <t>52.10.20.05</t>
  </si>
  <si>
    <t>Uitlaat Rally, grijs</t>
  </si>
  <si>
    <t>8715839044751</t>
  </si>
  <si>
    <t>52.10.44.00</t>
  </si>
  <si>
    <t>Voorbumper Jeep Adventure</t>
  </si>
  <si>
    <t>8715839030259</t>
  </si>
  <si>
    <t>52.17.15.01</t>
  </si>
  <si>
    <t>Kruiwagenbak 2000 zwart</t>
  </si>
  <si>
    <t>8715839035186</t>
  </si>
  <si>
    <t>52.17.15.02</t>
  </si>
  <si>
    <t>Kruiwagenbak rood</t>
  </si>
  <si>
    <t>8715839035193</t>
  </si>
  <si>
    <t>52.17.15.14</t>
  </si>
  <si>
    <t>Kruiwagenbak groen</t>
  </si>
  <si>
    <t>8715839035209</t>
  </si>
  <si>
    <t>52.31.00.00</t>
  </si>
  <si>
    <t>Spoiler  metaal Offroad</t>
  </si>
  <si>
    <t>8715839035216</t>
  </si>
  <si>
    <t>52.31.04.01</t>
  </si>
  <si>
    <t>Strip kettingkast 140, Zwart</t>
  </si>
  <si>
    <t>8715839035223</t>
  </si>
  <si>
    <t>52.31.04.08</t>
  </si>
  <si>
    <t>Strip kettingkast 140, Groen</t>
  </si>
  <si>
    <t>8715839029161</t>
  </si>
  <si>
    <t>52.31.06.01</t>
  </si>
  <si>
    <t>Kettingkastdelen zwart</t>
  </si>
  <si>
    <t>8715839035230</t>
  </si>
  <si>
    <t>52.31.06.03</t>
  </si>
  <si>
    <t>Kettingkastdelen geel</t>
  </si>
  <si>
    <t>8715839035247</t>
  </si>
  <si>
    <t>52.31.06.13</t>
  </si>
  <si>
    <t>Kettingkastdelen blauw</t>
  </si>
  <si>
    <t>8715839035254</t>
  </si>
  <si>
    <t>52.31.06.14</t>
  </si>
  <si>
    <t>Kettingkastdelen oranje</t>
  </si>
  <si>
    <t>8715839035261</t>
  </si>
  <si>
    <t>52.31.08.01</t>
  </si>
  <si>
    <t>Strip kkast m. bocht zwart</t>
  </si>
  <si>
    <t>8715839029178</t>
  </si>
  <si>
    <t>52.31.08.02</t>
  </si>
  <si>
    <t>Strip kettingkast rood</t>
  </si>
  <si>
    <t>8715839035278</t>
  </si>
  <si>
    <t>52.31.08.03</t>
  </si>
  <si>
    <t>Strip kettingkast geel bocht</t>
  </si>
  <si>
    <t>8715839035285</t>
  </si>
  <si>
    <t>52.31.08.04</t>
  </si>
  <si>
    <t>Strip kettingkast groen bocht</t>
  </si>
  <si>
    <t>8715839029185</t>
  </si>
  <si>
    <t>52.31.08.05</t>
  </si>
  <si>
    <t>Strip kettingkast grijs bocht</t>
  </si>
  <si>
    <t>8715839035292</t>
  </si>
  <si>
    <t>52.31.08.07</t>
  </si>
  <si>
    <t>Strip kettingkast bright green</t>
  </si>
  <si>
    <t>8715839035308</t>
  </si>
  <si>
    <t>52.31.08.09</t>
  </si>
  <si>
    <t>Strip kettingkast chroom</t>
  </si>
  <si>
    <t>8715839035315</t>
  </si>
  <si>
    <t>52.31.08.14</t>
  </si>
  <si>
    <t>Strip kettingkast oranje</t>
  </si>
  <si>
    <t>8715839035322</t>
  </si>
  <si>
    <t>52.31.08.15</t>
  </si>
  <si>
    <t>Strip kettingkast Wit</t>
  </si>
  <si>
    <t>8715839035339</t>
  </si>
  <si>
    <t>52.31.08.17</t>
  </si>
  <si>
    <t>Strip kkast m. bocht bruin</t>
  </si>
  <si>
    <t>8715839035346</t>
  </si>
  <si>
    <t>52.31.30.01</t>
  </si>
  <si>
    <t>Spoiler zwart kaal</t>
  </si>
  <si>
    <t>8715839035353</t>
  </si>
  <si>
    <t>52.31.30.12</t>
  </si>
  <si>
    <t>Spoiler zwart, ""7"" zilver</t>
  </si>
  <si>
    <t>8715839041576</t>
  </si>
  <si>
    <t>52.31.30.14</t>
  </si>
  <si>
    <t>Spoiler groen""7"" sticker zw/zi</t>
  </si>
  <si>
    <t>8715839048018</t>
  </si>
  <si>
    <t>52.31.30.16</t>
  </si>
  <si>
    <t>Spoiler JEEP Expedition</t>
  </si>
  <si>
    <t>8715839035360</t>
  </si>
  <si>
    <t>52.31.30.22</t>
  </si>
  <si>
    <t>Spoiler CLAAS</t>
  </si>
  <si>
    <t>8715839035377</t>
  </si>
  <si>
    <t>52.31.30.24</t>
  </si>
  <si>
    <t>Spoiler Traxx rood</t>
  </si>
  <si>
    <t>8715839044713</t>
  </si>
  <si>
    <t>52.31.30.25</t>
  </si>
  <si>
    <t>Spoiler CLAAS 13</t>
  </si>
  <si>
    <t>8715839035384</t>
  </si>
  <si>
    <t>52.31.30.28</t>
  </si>
  <si>
    <t>Spoiler X-tech</t>
  </si>
  <si>
    <t>8715839035391</t>
  </si>
  <si>
    <t>52.31.30.29</t>
  </si>
  <si>
    <t>Spoiler FENDT</t>
  </si>
  <si>
    <t>8715839047356</t>
  </si>
  <si>
    <t>52.31.30.32</t>
  </si>
  <si>
    <t>Spoiler DEUTZ</t>
  </si>
  <si>
    <t>8715839035407</t>
  </si>
  <si>
    <t>52.31.30.36</t>
  </si>
  <si>
    <t>Spoiler Traxx groen</t>
  </si>
  <si>
    <t>8715839035414</t>
  </si>
  <si>
    <t>52.31.30.37</t>
  </si>
  <si>
    <t>Spoiler Safari</t>
  </si>
  <si>
    <t>8715839035421</t>
  </si>
  <si>
    <t>52.31.30.38</t>
  </si>
  <si>
    <t>Spoiler John DEERE</t>
  </si>
  <si>
    <t>8715839035438</t>
  </si>
  <si>
    <t>52.31.30.41</t>
  </si>
  <si>
    <t>Spoiler Monaco</t>
  </si>
  <si>
    <t>8715839035445</t>
  </si>
  <si>
    <t>52.31.30.46</t>
  </si>
  <si>
    <t>Spoiler John Deere</t>
  </si>
  <si>
    <t>8715839035452</t>
  </si>
  <si>
    <t>52.31.30.47</t>
  </si>
  <si>
    <t>Spoiler X-Plorer</t>
  </si>
  <si>
    <t>8715839035469</t>
  </si>
  <si>
    <t>52.31.30.50</t>
  </si>
  <si>
    <t>Spoiler Case-IH</t>
  </si>
  <si>
    <t>8715839035476</t>
  </si>
  <si>
    <t>52.31.30.53</t>
  </si>
  <si>
    <t>Spoiler Construxx</t>
  </si>
  <si>
    <t>8715839029420</t>
  </si>
  <si>
    <t>52.31.30.54</t>
  </si>
  <si>
    <t>Spoiler JEEP</t>
  </si>
  <si>
    <t>8715839035483</t>
  </si>
  <si>
    <t>52.31.30.55</t>
  </si>
  <si>
    <t>Spoiler New Holland</t>
  </si>
  <si>
    <t>8715839028478</t>
  </si>
  <si>
    <t>52.31.30.56</t>
  </si>
  <si>
    <t>8716106025381</t>
  </si>
  <si>
    <t>52.31.32.01</t>
  </si>
  <si>
    <t>Spoiler zwart  - Kramp</t>
  </si>
  <si>
    <t>8715839035490</t>
  </si>
  <si>
    <t>52.31.60.22</t>
  </si>
  <si>
    <t>Onderspoiler Ferrari</t>
  </si>
  <si>
    <t>8715839035506</t>
  </si>
  <si>
    <t>52.31.61.22</t>
  </si>
  <si>
    <t>Achterspoiler Ferrari</t>
  </si>
  <si>
    <t>8715839035513</t>
  </si>
  <si>
    <t>52.31.62.22</t>
  </si>
  <si>
    <t>Side Skirt Ferrari links</t>
  </si>
  <si>
    <t>8715839035520</t>
  </si>
  <si>
    <t>52.31.63.22</t>
  </si>
  <si>
    <t>Side Skirt Ferrari rechts</t>
  </si>
  <si>
    <t>8715839035537</t>
  </si>
  <si>
    <t>52.32.01.00</t>
  </si>
  <si>
    <t>Kettingkastdelen 122 schakels</t>
  </si>
  <si>
    <t>8715839035544</t>
  </si>
  <si>
    <t>52.32.02.00</t>
  </si>
  <si>
    <t>Strip Kettingkast 122 Rood</t>
  </si>
  <si>
    <t>8715839035551</t>
  </si>
  <si>
    <t>52.32.04.01</t>
  </si>
  <si>
    <t>Strip Kettingkast 122 zwart</t>
  </si>
  <si>
    <t>8715839035568</t>
  </si>
  <si>
    <t>52.32.04.03</t>
  </si>
  <si>
    <t>Strip Kettingkast Geel</t>
  </si>
  <si>
    <t>8715839030204</t>
  </si>
  <si>
    <t>52.47.00.00</t>
  </si>
  <si>
    <t>Spoiler Black Edition</t>
  </si>
  <si>
    <t>8715839035575</t>
  </si>
  <si>
    <t>52.47.73.51</t>
  </si>
  <si>
    <t>Spoiler 06 Buster stic + kap</t>
  </si>
  <si>
    <t>8715839035582</t>
  </si>
  <si>
    <t>52.47.73.72</t>
  </si>
  <si>
    <t>Frontspoiler Ferrari ""5""</t>
  </si>
  <si>
    <t>8715839035599</t>
  </si>
  <si>
    <t>52.47.74.10</t>
  </si>
  <si>
    <t>Koplampglas</t>
  </si>
  <si>
    <t>8715839012972</t>
  </si>
  <si>
    <t>52.48.00.00</t>
  </si>
  <si>
    <t>Balhoofddop</t>
  </si>
  <si>
    <t>8715839012965</t>
  </si>
  <si>
    <t>52.48.00.04</t>
  </si>
  <si>
    <t>Kunststof wiellager driewieler</t>
  </si>
  <si>
    <t>8715839035605</t>
  </si>
  <si>
    <t>52.48.00.06</t>
  </si>
  <si>
    <t>Wiel 210</t>
  </si>
  <si>
    <t>8715839012958</t>
  </si>
  <si>
    <t>52.48.00.07</t>
  </si>
  <si>
    <t>Pedaal Driewieler</t>
  </si>
  <si>
    <t>8715839035612</t>
  </si>
  <si>
    <t>52.48.00.08</t>
  </si>
  <si>
    <t>Zitje driewieler</t>
  </si>
  <si>
    <t>8715839035629</t>
  </si>
  <si>
    <t>52.48.00.09</t>
  </si>
  <si>
    <t>Achterasdop</t>
  </si>
  <si>
    <t>8715839035636</t>
  </si>
  <si>
    <t>52.48.00.31</t>
  </si>
  <si>
    <t>Wiel 260 loop</t>
  </si>
  <si>
    <t>8715839035643</t>
  </si>
  <si>
    <t>52.48.10.11</t>
  </si>
  <si>
    <t>8715839035650</t>
  </si>
  <si>
    <t>52.50.01.21</t>
  </si>
  <si>
    <t>Buddy zit Freestyler</t>
  </si>
  <si>
    <t>8715839041811</t>
  </si>
  <si>
    <t>52.54.00.01</t>
  </si>
  <si>
    <t>Spatbordset luxe Zwart LED</t>
  </si>
  <si>
    <t>8715839035667</t>
  </si>
  <si>
    <t>52.54.71.23</t>
  </si>
  <si>
    <t>Spatbordset luxe Blauw</t>
  </si>
  <si>
    <t>8715839035674</t>
  </si>
  <si>
    <t>52.54.71.24</t>
  </si>
  <si>
    <t>Spatbordset 03 oranje street</t>
  </si>
  <si>
    <t>52.54.71.25</t>
  </si>
  <si>
    <t>Sparbordset Route 66 achter</t>
  </si>
  <si>
    <t>8715839053876</t>
  </si>
  <si>
    <t>52.54.71.50</t>
  </si>
  <si>
    <t>Rear mudguards; BERG GranTour</t>
  </si>
  <si>
    <t>8715839035681</t>
  </si>
  <si>
    <t>52.54.72.14</t>
  </si>
  <si>
    <t>Spatbord voor oranje</t>
  </si>
  <si>
    <t>8715839035698</t>
  </si>
  <si>
    <t>52.61.02.01</t>
  </si>
  <si>
    <t>Steun spoiler Compact</t>
  </si>
  <si>
    <t>8715839035704</t>
  </si>
  <si>
    <t>52.62.20.03</t>
  </si>
  <si>
    <t>Loader bucket Triggy</t>
  </si>
  <si>
    <t>8715839035711</t>
  </si>
  <si>
    <t>52.62.21.01</t>
  </si>
  <si>
    <t>Kettingkast Freestyler (3 st.)</t>
  </si>
  <si>
    <t>8715839024784</t>
  </si>
  <si>
    <t>52.62.21.03</t>
  </si>
  <si>
    <t>Kettingkast Buddy (Z/G)</t>
  </si>
  <si>
    <t>8715839024791</t>
  </si>
  <si>
    <t>52.62.23.03</t>
  </si>
  <si>
    <t>Kettingkast Buddy (2 delen)</t>
  </si>
  <si>
    <t>8715839030044</t>
  </si>
  <si>
    <t>52.62.24.20</t>
  </si>
  <si>
    <t>Kettingkast Buddy 150 It(4pcs)</t>
  </si>
  <si>
    <t>8715839024807</t>
  </si>
  <si>
    <t>52.62.24.21</t>
  </si>
  <si>
    <t>Kettingkast Buddy (JD)</t>
  </si>
  <si>
    <t>8715839024814</t>
  </si>
  <si>
    <t>52.62.24.22</t>
  </si>
  <si>
    <t>Kettingkast Buddy (zw/rd)</t>
  </si>
  <si>
    <t>8715839024425</t>
  </si>
  <si>
    <t>52.62.24.23</t>
  </si>
  <si>
    <t>Kettingkast Buddy (zwart)</t>
  </si>
  <si>
    <t>8715839027143</t>
  </si>
  <si>
    <t>52.62.24.24</t>
  </si>
  <si>
    <t>Kettingkast Zwart/Oranje</t>
  </si>
  <si>
    <t>8715839027150</t>
  </si>
  <si>
    <t>52.62.24.25</t>
  </si>
  <si>
    <t>Kettingkast Zwart/Roze</t>
  </si>
  <si>
    <t>8715839044881</t>
  </si>
  <si>
    <t>52.62.24.26</t>
  </si>
  <si>
    <t>Kettingkast Buddy Zwart/Rood</t>
  </si>
  <si>
    <t>8715839045987</t>
  </si>
  <si>
    <t>52.62.24.27</t>
  </si>
  <si>
    <t>Sparepart kettingkast Buddy HR</t>
  </si>
  <si>
    <t>8715839058642</t>
  </si>
  <si>
    <t>52.62.24.30</t>
  </si>
  <si>
    <t>Chainguard Buddy Black/Grey</t>
  </si>
  <si>
    <t>8715839024302</t>
  </si>
  <si>
    <t>52.62.71.01</t>
  </si>
  <si>
    <t>Stuur Buddy</t>
  </si>
  <si>
    <t>8715839030143</t>
  </si>
  <si>
    <t>52.62.72.00</t>
  </si>
  <si>
    <t>St.wheel cvr Buddy 150 It stc</t>
  </si>
  <si>
    <t>8715839024432</t>
  </si>
  <si>
    <t>52.62.72.21</t>
  </si>
  <si>
    <t>Stuurwielkap Buddy F1 / F150</t>
  </si>
  <si>
    <t>8715839035728</t>
  </si>
  <si>
    <t>52.64.22.00</t>
  </si>
  <si>
    <t>Spacer 3 mm</t>
  </si>
  <si>
    <t>8715839035735</t>
  </si>
  <si>
    <t>52.64.30.00</t>
  </si>
  <si>
    <t>Mudguard MOOV</t>
  </si>
  <si>
    <t>8715839052336</t>
  </si>
  <si>
    <t>53.07.00.45</t>
  </si>
  <si>
    <t>Vulpapier Themapakket</t>
  </si>
  <si>
    <t>8715839035742</t>
  </si>
  <si>
    <t>53.24.00.00</t>
  </si>
  <si>
    <t>Doos Verl.Skelter 1150x780x400</t>
  </si>
  <si>
    <t>8715839035759</t>
  </si>
  <si>
    <t>53.30.41.03</t>
  </si>
  <si>
    <t>Doos Tramp (onder) 08</t>
  </si>
  <si>
    <t>8715839035766</t>
  </si>
  <si>
    <t>53.30.41.04</t>
  </si>
  <si>
    <t>Deksel doos Tramp 08</t>
  </si>
  <si>
    <t>8715839041828</t>
  </si>
  <si>
    <t>53.31.60.00</t>
  </si>
  <si>
    <t>Doos Ferrari zw 1180x780x430</t>
  </si>
  <si>
    <t>8715839035773</t>
  </si>
  <si>
    <t>53.31.60.10</t>
  </si>
  <si>
    <t>Doos Ferrari FXX Exclusive</t>
  </si>
  <si>
    <t>8715839046359</t>
  </si>
  <si>
    <t>53.53.80.00</t>
  </si>
  <si>
    <t>Doos Gran Tour</t>
  </si>
  <si>
    <t>8715839041835</t>
  </si>
  <si>
    <t>53.61.10.00</t>
  </si>
  <si>
    <t>Doos Ferrari zw 980x780x270</t>
  </si>
  <si>
    <t>8715839035780</t>
  </si>
  <si>
    <t>53.61.10.10</t>
  </si>
  <si>
    <t>Doos Ferrari Racer</t>
  </si>
  <si>
    <t>8715839035797</t>
  </si>
  <si>
    <t>53.62.01.00</t>
  </si>
  <si>
    <t>Doos Triggy</t>
  </si>
  <si>
    <t>8715839027945</t>
  </si>
  <si>
    <t>53.62.01.01</t>
  </si>
  <si>
    <t>Box Triggy UNI 824x239x388</t>
  </si>
  <si>
    <t>8715839035803</t>
  </si>
  <si>
    <t>53.62.02.00</t>
  </si>
  <si>
    <t>Doos Buddy</t>
  </si>
  <si>
    <t>8715839046656</t>
  </si>
  <si>
    <t>53.62.04.01</t>
  </si>
  <si>
    <t>Bag 200x500</t>
  </si>
  <si>
    <t>8715839035827</t>
  </si>
  <si>
    <t>53.62.11.00</t>
  </si>
  <si>
    <t>Doos Triggy John Deere</t>
  </si>
  <si>
    <t>8715839035834</t>
  </si>
  <si>
    <t>53.62.30.00</t>
  </si>
  <si>
    <t>Box Buddy Red + Stick</t>
  </si>
  <si>
    <t>8715839035841</t>
  </si>
  <si>
    <t>53.62.30.05</t>
  </si>
  <si>
    <t>Box Buddy Black + Stick</t>
  </si>
  <si>
    <t>8715839035858</t>
  </si>
  <si>
    <t>53.62.31.00</t>
  </si>
  <si>
    <t>Box Buddy John Deere + Stick</t>
  </si>
  <si>
    <t>8715839035865</t>
  </si>
  <si>
    <t>53.62.32.00</t>
  </si>
  <si>
    <t>Doos JEEP Junior</t>
  </si>
  <si>
    <t>8715839044843</t>
  </si>
  <si>
    <t>53.62.61.00</t>
  </si>
  <si>
    <t>Doos Rally</t>
  </si>
  <si>
    <t>8715839035872</t>
  </si>
  <si>
    <t>53.64.01.01</t>
  </si>
  <si>
    <t>Doos MOOV Street kit (10-in-1)</t>
  </si>
  <si>
    <t>8715839035889</t>
  </si>
  <si>
    <t>53.64.04.00</t>
  </si>
  <si>
    <t>Box MOOV Advanced kit (7-in-1)</t>
  </si>
  <si>
    <t>8715839035896</t>
  </si>
  <si>
    <t>53.64.05.00</t>
  </si>
  <si>
    <t>Box MOOV Starter kit (3-in-1)</t>
  </si>
  <si>
    <t>8715839041842</t>
  </si>
  <si>
    <t>53.64.06.00</t>
  </si>
  <si>
    <t>Doos Moov Edu. kit 720x480x460</t>
  </si>
  <si>
    <t>53.67.10.00</t>
  </si>
  <si>
    <t>Box Buzzy</t>
  </si>
  <si>
    <t>8715839044737</t>
  </si>
  <si>
    <t>54.00.00.00</t>
  </si>
  <si>
    <t>Schroef M5x8</t>
  </si>
  <si>
    <t>8715839035902</t>
  </si>
  <si>
    <t>54.13.06.04</t>
  </si>
  <si>
    <t>Stelschr. krat M6x10 DIN916 A2</t>
  </si>
  <si>
    <t>8715839012989</t>
  </si>
  <si>
    <t>54.16.08.10</t>
  </si>
  <si>
    <t>Laagbolkopschr. M8x30 verz</t>
  </si>
  <si>
    <t>8715839012996</t>
  </si>
  <si>
    <t>54.16.10.08</t>
  </si>
  <si>
    <t>;DIN7380;M10x20;8.8;ZP</t>
  </si>
  <si>
    <t>8715839012651</t>
  </si>
  <si>
    <t>54.35.06.05</t>
  </si>
  <si>
    <t>Taptite M6x12 DIN7500</t>
  </si>
  <si>
    <t>8715839012668</t>
  </si>
  <si>
    <t>54.35.08.05</t>
  </si>
  <si>
    <t>Taptite M8x12 DIN7500</t>
  </si>
  <si>
    <t>8715839041859</t>
  </si>
  <si>
    <t>54.50.00.00</t>
  </si>
  <si>
    <t>Bolvrz.pls5.5x45 DIN7983CZ ver</t>
  </si>
  <si>
    <t>8715839057485</t>
  </si>
  <si>
    <t>54.60.08.35</t>
  </si>
  <si>
    <t>Ring St-Zn M8X35</t>
  </si>
  <si>
    <t>8715839041866</t>
  </si>
  <si>
    <t>54.60.10.27</t>
  </si>
  <si>
    <t>Vl.sl.ring M10 typeL 10.5x27x2</t>
  </si>
  <si>
    <t>8715839035919</t>
  </si>
  <si>
    <t>54.67.40.20</t>
  </si>
  <si>
    <t>Schotelveerring 40x20.4x1</t>
  </si>
  <si>
    <t>8715839035926</t>
  </si>
  <si>
    <t>54.68.37.20</t>
  </si>
  <si>
    <t>Schotelveerring 36.6x20.4x0.5</t>
  </si>
  <si>
    <t>8715839035933</t>
  </si>
  <si>
    <t>54.70.12.02</t>
  </si>
  <si>
    <t>Hadclip rond12</t>
  </si>
  <si>
    <t>8715839035940</t>
  </si>
  <si>
    <t>54.90.05.15</t>
  </si>
  <si>
    <t>Vlakke inl.spie 5x15 DIN6885A</t>
  </si>
  <si>
    <t>8715839035957</t>
  </si>
  <si>
    <t>54.97.11.00</t>
  </si>
  <si>
    <t>8715839035964</t>
  </si>
  <si>
    <t>54.97.11.01</t>
  </si>
  <si>
    <t>8715839035971</t>
  </si>
  <si>
    <t>54.97.11.03</t>
  </si>
  <si>
    <t>Remgreep+kabels (2x schijfrem)</t>
  </si>
  <si>
    <t>8715839035988</t>
  </si>
  <si>
    <t>54.97.11.05</t>
  </si>
  <si>
    <t>Remkabel Reflex</t>
  </si>
  <si>
    <t>8715839035995</t>
  </si>
  <si>
    <t>54.97.11.06</t>
  </si>
  <si>
    <t>Buisklem remgreep trommelrem</t>
  </si>
  <si>
    <t>8715839036008</t>
  </si>
  <si>
    <t>54.97.11.07</t>
  </si>
  <si>
    <t>Remkabel kort</t>
  </si>
  <si>
    <t>8715839036015</t>
  </si>
  <si>
    <t>54.97.11.15</t>
  </si>
  <si>
    <t>Remkabel (lang)</t>
  </si>
  <si>
    <t>8715839036022</t>
  </si>
  <si>
    <t>54.97.12.01</t>
  </si>
  <si>
    <t>8715839036039</t>
  </si>
  <si>
    <t>54.97.20.01</t>
  </si>
  <si>
    <t>Remschijf</t>
  </si>
  <si>
    <t>8715839036046</t>
  </si>
  <si>
    <t>54.97.20.02</t>
  </si>
  <si>
    <t>Remblok 2008</t>
  </si>
  <si>
    <t>8715839036053</t>
  </si>
  <si>
    <t>54.97.20.05</t>
  </si>
  <si>
    <t>Remklauw 2010</t>
  </si>
  <si>
    <t>8715839036060</t>
  </si>
  <si>
    <t>54.97.20.06</t>
  </si>
  <si>
    <t>Remblok 2010</t>
  </si>
  <si>
    <t>8715839036077</t>
  </si>
  <si>
    <t>54.97.20.10</t>
  </si>
  <si>
    <t>Remschijf + klauw</t>
  </si>
  <si>
    <t>8715839036084</t>
  </si>
  <si>
    <t>54.98.30.24</t>
  </si>
  <si>
    <t>Klem buis 24 (remanker Bal.)</t>
  </si>
  <si>
    <t>8715839030266</t>
  </si>
  <si>
    <t>56.00.00.00</t>
  </si>
  <si>
    <t>Montageset Junior Trailer</t>
  </si>
  <si>
    <t>8715839036091</t>
  </si>
  <si>
    <t>56.01.00.00</t>
  </si>
  <si>
    <t>Achteras skelter (vervanging)</t>
  </si>
  <si>
    <t>8715839036107</t>
  </si>
  <si>
    <t>56.01.10.01</t>
  </si>
  <si>
    <t>Bout M12x50 vierkant frame</t>
  </si>
  <si>
    <t>8715839036114</t>
  </si>
  <si>
    <t>56.01.10.02</t>
  </si>
  <si>
    <t>Bout M12x65 voor rond frame</t>
  </si>
  <si>
    <t>8715839029192</t>
  </si>
  <si>
    <t>56.01.10.10</t>
  </si>
  <si>
    <t>Zak wielboutjes + doppen (4)</t>
  </si>
  <si>
    <t>8715839018127</t>
  </si>
  <si>
    <t>56.01.10.20</t>
  </si>
  <si>
    <t>Zak crankboutjes + dopjes</t>
  </si>
  <si>
    <t>8715839036121</t>
  </si>
  <si>
    <t>56.01.10.21</t>
  </si>
  <si>
    <t>Zak crankbout + taptite</t>
  </si>
  <si>
    <t>8715839029208</t>
  </si>
  <si>
    <t>56.01.10.22</t>
  </si>
  <si>
    <t>Trekhaak montageset</t>
  </si>
  <si>
    <t>8715839036138</t>
  </si>
  <si>
    <t>56.01.10.23</t>
  </si>
  <si>
    <t>Vetnippel (2x)</t>
  </si>
  <si>
    <t>8715839029215</t>
  </si>
  <si>
    <t>56.01.10.25</t>
  </si>
  <si>
    <t>Zak doppen Basic t/m Racer</t>
  </si>
  <si>
    <t>8715839023923</t>
  </si>
  <si>
    <t>56.01.10.26</t>
  </si>
  <si>
    <t>Draaipunt + Eindstop</t>
  </si>
  <si>
    <t>8715839036145</t>
  </si>
  <si>
    <t>56.01.10.27</t>
  </si>
  <si>
    <t>Montageset stuurinrichting</t>
  </si>
  <si>
    <t>8715839036152</t>
  </si>
  <si>
    <t>56.01.10.28</t>
  </si>
  <si>
    <t>Fuseebusjes stuurstang Basic</t>
  </si>
  <si>
    <t>8715839036169</t>
  </si>
  <si>
    <t>56.01.10.29</t>
  </si>
  <si>
    <t>6x set Handvatten</t>
  </si>
  <si>
    <t>8715839012637</t>
  </si>
  <si>
    <t>56.01.10.30</t>
  </si>
  <si>
    <t>Trapas geperst in huis</t>
  </si>
  <si>
    <t>8715839012644</t>
  </si>
  <si>
    <t>56.01.10.40</t>
  </si>
  <si>
    <t>Trapas Sp/Do gemonteerd ver</t>
  </si>
  <si>
    <t>8715839036176</t>
  </si>
  <si>
    <t>56.01.10.41</t>
  </si>
  <si>
    <t>Zak nylon ringen stoel (10x)</t>
  </si>
  <si>
    <t>8715839018134</t>
  </si>
  <si>
    <t>56.01.29.00</t>
  </si>
  <si>
    <t>Revisieset  vrijloop AF</t>
  </si>
  <si>
    <t>8715839036183</t>
  </si>
  <si>
    <t>56.01.29.01</t>
  </si>
  <si>
    <t>8715839036190</t>
  </si>
  <si>
    <t>56.01.31.00</t>
  </si>
  <si>
    <t>Gereedsset  vrijloop Revisie</t>
  </si>
  <si>
    <t>8715839036206</t>
  </si>
  <si>
    <t>56.01.61.00</t>
  </si>
  <si>
    <t>Zak Stoelverstelling</t>
  </si>
  <si>
    <t>8715839036213</t>
  </si>
  <si>
    <t>56.01.66.00</t>
  </si>
  <si>
    <t>Zak zwaailicht (bev.mat.)</t>
  </si>
  <si>
    <t>8715839036220</t>
  </si>
  <si>
    <t>56.01.67.01</t>
  </si>
  <si>
    <t>Zak zwaailicht (batterijen)</t>
  </si>
  <si>
    <t>8715839036237</t>
  </si>
  <si>
    <t>56.01.77.10</t>
  </si>
  <si>
    <t>Munten (10x) voor skelterslot</t>
  </si>
  <si>
    <t>8715839036244</t>
  </si>
  <si>
    <t>56.04.21.00</t>
  </si>
  <si>
    <t>Zak Binky</t>
  </si>
  <si>
    <t>8715839036251</t>
  </si>
  <si>
    <t>56.04.22.00</t>
  </si>
  <si>
    <t>Binky spoiler en spatborden</t>
  </si>
  <si>
    <t>8715839036268</t>
  </si>
  <si>
    <t>56.04.23.00</t>
  </si>
  <si>
    <t>Binky spoiler</t>
  </si>
  <si>
    <t>8715839036275</t>
  </si>
  <si>
    <t>56.04.30.00</t>
  </si>
  <si>
    <t>Zak Binky Prof</t>
  </si>
  <si>
    <t>8715839029222</t>
  </si>
  <si>
    <t>56.06.32.00</t>
  </si>
  <si>
    <t>Montageset Kipkar</t>
  </si>
  <si>
    <t>8715839036282</t>
  </si>
  <si>
    <t>56.06.91.00</t>
  </si>
  <si>
    <t>Montageset Western Huif</t>
  </si>
  <si>
    <t>8715839059496</t>
  </si>
  <si>
    <t>56.06.92.00</t>
  </si>
  <si>
    <t>Assembly Western Cover (for Large Trailer)</t>
  </si>
  <si>
    <t>8715839053883</t>
  </si>
  <si>
    <t>56.07.00.05</t>
  </si>
  <si>
    <t>Front mudguards; RAL9005 Black</t>
  </si>
  <si>
    <t>8715839061505</t>
  </si>
  <si>
    <t>56.07.00.15</t>
  </si>
  <si>
    <t>Comfort seat frame package</t>
  </si>
  <si>
    <t>8715839036299</t>
  </si>
  <si>
    <t>56.07.10.00</t>
  </si>
  <si>
    <t>Montageset Bolderwagen</t>
  </si>
  <si>
    <t>8715839049886</t>
  </si>
  <si>
    <t>56.07.10.01</t>
  </si>
  <si>
    <t>Fasteners Mod. Beach Wagon</t>
  </si>
  <si>
    <t>8715839036305</t>
  </si>
  <si>
    <t>56.07.16.00</t>
  </si>
  <si>
    <t>Montageset Bolderwagen XL</t>
  </si>
  <si>
    <t>8715839036312</t>
  </si>
  <si>
    <t>56.07.17.00</t>
  </si>
  <si>
    <t>Set stuurstrip Bolderwagen XL</t>
  </si>
  <si>
    <t>8715839036329</t>
  </si>
  <si>
    <t>56.07.91.00</t>
  </si>
  <si>
    <t>Montageset Western Huif XL</t>
  </si>
  <si>
    <t>8715839012040</t>
  </si>
  <si>
    <t>56.09.01.00</t>
  </si>
  <si>
    <t>Vlaggesteun Binky</t>
  </si>
  <si>
    <t>8715839012057</t>
  </si>
  <si>
    <t>56.09.02.00</t>
  </si>
  <si>
    <t>Vlaggesteun Chopper</t>
  </si>
  <si>
    <t>8715839012064</t>
  </si>
  <si>
    <t>Vlaggesteun Universeel</t>
  </si>
  <si>
    <t>8715839036336</t>
  </si>
  <si>
    <t>56.15.11.00</t>
  </si>
  <si>
    <t>Set Reservedelen Graver Prof.</t>
  </si>
  <si>
    <t>8715839045406</t>
  </si>
  <si>
    <t>56.17.00.01</t>
  </si>
  <si>
    <t>Fasteners BERG Dempy</t>
  </si>
  <si>
    <t>8715839036343</t>
  </si>
  <si>
    <t>56.17.10.00</t>
  </si>
  <si>
    <t>Montageset Kruiwagen</t>
  </si>
  <si>
    <t>8715839036350</t>
  </si>
  <si>
    <t>56.17.40.00</t>
  </si>
  <si>
    <t>Montageset Riksja 1</t>
  </si>
  <si>
    <t>8715839036367</t>
  </si>
  <si>
    <t>56.20.24.00</t>
  </si>
  <si>
    <t>Standaard grote step reparatie</t>
  </si>
  <si>
    <t>8715839036374</t>
  </si>
  <si>
    <t>56.20.30.00</t>
  </si>
  <si>
    <t>Montageset</t>
  </si>
  <si>
    <t>8715839036381</t>
  </si>
  <si>
    <t>56.21.00.00</t>
  </si>
  <si>
    <t>Zak reserveond. kl step prof</t>
  </si>
  <si>
    <t>8715839036398</t>
  </si>
  <si>
    <t>56.21.43.00</t>
  </si>
  <si>
    <t>Montageset kleine step</t>
  </si>
  <si>
    <t>8715839036404</t>
  </si>
  <si>
    <t>56.22.41.00</t>
  </si>
  <si>
    <t>Montageset Crazy Bike</t>
  </si>
  <si>
    <t>8715839036411</t>
  </si>
  <si>
    <t>56.25.10.00</t>
  </si>
  <si>
    <t>Montageset Opbouwkar</t>
  </si>
  <si>
    <t>56.25.10.01</t>
  </si>
  <si>
    <t>8715839036428</t>
  </si>
  <si>
    <t>56.27.10.00</t>
  </si>
  <si>
    <t>Zak onderdelen Takel</t>
  </si>
  <si>
    <t>8715839036435</t>
  </si>
  <si>
    <t>56.28.20.00</t>
  </si>
  <si>
    <t>Zak tweezitter 04</t>
  </si>
  <si>
    <t>8715839036442</t>
  </si>
  <si>
    <t>56.28.21.00</t>
  </si>
  <si>
    <t>Zak Tweezitter</t>
  </si>
  <si>
    <t>8715839044607</t>
  </si>
  <si>
    <t>56.30.00.05</t>
  </si>
  <si>
    <t>Anker Elite+ SP set</t>
  </si>
  <si>
    <t>8715839046014</t>
  </si>
  <si>
    <t>56.30.01.01</t>
  </si>
  <si>
    <t>Top rail TS 11ft SP</t>
  </si>
  <si>
    <t>8715839046021</t>
  </si>
  <si>
    <t>56.30.01.02</t>
  </si>
  <si>
    <t>Top rail TS 12.5ft SP</t>
  </si>
  <si>
    <t>8715839046038</t>
  </si>
  <si>
    <t>56.30.01.03</t>
  </si>
  <si>
    <t>Top rail TS 14ft SP</t>
  </si>
  <si>
    <t>8715839046045</t>
  </si>
  <si>
    <t>56.30.01.04</t>
  </si>
  <si>
    <t>Tube insert for T-section SP</t>
  </si>
  <si>
    <t>8715839046052</t>
  </si>
  <si>
    <t>56.30.01.05</t>
  </si>
  <si>
    <t>T-section SP</t>
  </si>
  <si>
    <t>8715839046076</t>
  </si>
  <si>
    <t>56.30.01.07</t>
  </si>
  <si>
    <t>W-leg TS 11ft SP</t>
  </si>
  <si>
    <t>8715839046083</t>
  </si>
  <si>
    <t>56.30.01.08</t>
  </si>
  <si>
    <t>W-leg TS 12.5ft SP</t>
  </si>
  <si>
    <t>8715839046090</t>
  </si>
  <si>
    <t>56.30.01.09</t>
  </si>
  <si>
    <t>W-leg TS 14ft SP</t>
  </si>
  <si>
    <t>8715839046106</t>
  </si>
  <si>
    <t>56.30.01.11</t>
  </si>
  <si>
    <t>Straight leg TS 11ft SP</t>
  </si>
  <si>
    <t>8715839046113</t>
  </si>
  <si>
    <t>56.30.01.13</t>
  </si>
  <si>
    <t>Straight leg TS 12.5-14ft SP</t>
  </si>
  <si>
    <t>8715839046069</t>
  </si>
  <si>
    <t>56.30.01.15</t>
  </si>
  <si>
    <t>8715839027853</t>
  </si>
  <si>
    <t>56.30.03.00</t>
  </si>
  <si>
    <t>Driehoek springdoek 38mm (10x)</t>
  </si>
  <si>
    <t>8715839036459</t>
  </si>
  <si>
    <t>56.30.03.01</t>
  </si>
  <si>
    <t>Driehoek springdoek 46mm (10x)</t>
  </si>
  <si>
    <t>8715839046236</t>
  </si>
  <si>
    <t>56.30.03.41</t>
  </si>
  <si>
    <t>Jump mat TS 11ft SP</t>
  </si>
  <si>
    <t>8715839046243</t>
  </si>
  <si>
    <t>56.30.03.42</t>
  </si>
  <si>
    <t>Jump mat TS 12.5ft SP</t>
  </si>
  <si>
    <t>8715839046250</t>
  </si>
  <si>
    <t>56.30.03.44</t>
  </si>
  <si>
    <t>Jump mat TS 14ft SP</t>
  </si>
  <si>
    <t>8715839044614</t>
  </si>
  <si>
    <t>56.30.03.58</t>
  </si>
  <si>
    <t>Springdoek EazyFit SP</t>
  </si>
  <si>
    <t>8715839044010</t>
  </si>
  <si>
    <t>56.30.03.60</t>
  </si>
  <si>
    <t>Jump Mat SP 9ft</t>
  </si>
  <si>
    <t>8715839043051</t>
  </si>
  <si>
    <t>56.30.03.61</t>
  </si>
  <si>
    <t>Jump Mat SP 11ft</t>
  </si>
  <si>
    <t>8715839044027</t>
  </si>
  <si>
    <t>56.30.03.62</t>
  </si>
  <si>
    <t>Jump Mat SP 12.5ft</t>
  </si>
  <si>
    <t>8715839044034</t>
  </si>
  <si>
    <t>56.30.03.63</t>
  </si>
  <si>
    <t>Jump Mat SP 14ft</t>
  </si>
  <si>
    <t>8715839044041</t>
  </si>
  <si>
    <t>56.30.03.64</t>
  </si>
  <si>
    <t>Jump Mat SP 14ft Tatt</t>
  </si>
  <si>
    <t>8715839044058</t>
  </si>
  <si>
    <t>56.30.05.10</t>
  </si>
  <si>
    <t>Goldspring+ 10 Set</t>
  </si>
  <si>
    <t>8715839044065</t>
  </si>
  <si>
    <t>56.30.07.00</t>
  </si>
  <si>
    <t>Padding Favorit SP 9ft</t>
  </si>
  <si>
    <t>8715839044072</t>
  </si>
  <si>
    <t>56.30.07.01</t>
  </si>
  <si>
    <t>Padding Favorit SP 11ft</t>
  </si>
  <si>
    <t>8715839044089</t>
  </si>
  <si>
    <t>56.30.07.02</t>
  </si>
  <si>
    <t>Padding Favorit SP 12.5ft</t>
  </si>
  <si>
    <t>8715839044096</t>
  </si>
  <si>
    <t>56.30.07.03</t>
  </si>
  <si>
    <t>Padding Favorit SP 14ft</t>
  </si>
  <si>
    <t>8715839043143</t>
  </si>
  <si>
    <t>56.30.07.04</t>
  </si>
  <si>
    <t>Padding Favorit SP 14ft Tat</t>
  </si>
  <si>
    <t>8715839044102</t>
  </si>
  <si>
    <t>56.30.07.20</t>
  </si>
  <si>
    <t>Padding Champion SP 9ft</t>
  </si>
  <si>
    <t>8715839044119</t>
  </si>
  <si>
    <t>56.30.07.21</t>
  </si>
  <si>
    <t>8715839044126</t>
  </si>
  <si>
    <t>56.30.07.22</t>
  </si>
  <si>
    <t>Padding Champion SP 12.5ft</t>
  </si>
  <si>
    <t>8715839044133</t>
  </si>
  <si>
    <t>56.30.07.23</t>
  </si>
  <si>
    <t>Padding Champion SP 14ft</t>
  </si>
  <si>
    <t>8715839044140</t>
  </si>
  <si>
    <t>56.30.07.24</t>
  </si>
  <si>
    <t>Padding Champion SP 14ft Tat</t>
  </si>
  <si>
    <t>8715839043204</t>
  </si>
  <si>
    <t>56.30.07.25</t>
  </si>
  <si>
    <t>Padding Champ InGr SP 9ft</t>
  </si>
  <si>
    <t>8715839043211</t>
  </si>
  <si>
    <t>56.30.07.26</t>
  </si>
  <si>
    <t>Padding Champ InGr SP 11ft</t>
  </si>
  <si>
    <t>8715839043228</t>
  </si>
  <si>
    <t>56.30.07.27</t>
  </si>
  <si>
    <t>Padding Champ InGr SP 12.5ft</t>
  </si>
  <si>
    <t>8715839043235</t>
  </si>
  <si>
    <t>56.30.07.28</t>
  </si>
  <si>
    <t>Padding Champ InGr SP 14ft</t>
  </si>
  <si>
    <t>8715839044157</t>
  </si>
  <si>
    <t>56.30.08.00</t>
  </si>
  <si>
    <t>Elastiek Beschermrand (10x)</t>
  </si>
  <si>
    <t>8715839045093</t>
  </si>
  <si>
    <t>56.30.09.08</t>
  </si>
  <si>
    <t>Beschermrand Fav IG 9ft (270)</t>
  </si>
  <si>
    <t>8715839027860</t>
  </si>
  <si>
    <t>56.30.11.00</t>
  </si>
  <si>
    <t>Veerclip (20x)</t>
  </si>
  <si>
    <t>8715839045109</t>
  </si>
  <si>
    <t>56.30.11.08</t>
  </si>
  <si>
    <t>Beschermrand Fav IG 11ft (330)</t>
  </si>
  <si>
    <t>8715839029239</t>
  </si>
  <si>
    <t>56.30.11.29</t>
  </si>
  <si>
    <t>Set Foam Trampoline JS 330</t>
  </si>
  <si>
    <t>8715839045116</t>
  </si>
  <si>
    <t>56.30.12.08</t>
  </si>
  <si>
    <t>Beschermrand Fav IG 9ft (380)</t>
  </si>
  <si>
    <t>8715839045123</t>
  </si>
  <si>
    <t>56.30.14.08</t>
  </si>
  <si>
    <t>Beschermrand Fav IG 9ft (430)</t>
  </si>
  <si>
    <t>8715839044164</t>
  </si>
  <si>
    <t>56.30.14.29</t>
  </si>
  <si>
    <t>Set Foam Trampoline JS 430</t>
  </si>
  <si>
    <t>8715839027044</t>
  </si>
  <si>
    <t>56.30.20.00</t>
  </si>
  <si>
    <t>Spanhulp trampolineveren</t>
  </si>
  <si>
    <t>8715839044621</t>
  </si>
  <si>
    <t>56.30.30.10</t>
  </si>
  <si>
    <t>EazyFit toprail buis lang SP</t>
  </si>
  <si>
    <t>8715839044638</t>
  </si>
  <si>
    <t>56.30.30.20</t>
  </si>
  <si>
    <t>EazyFit toprail buis kort SP</t>
  </si>
  <si>
    <t>8715839044645</t>
  </si>
  <si>
    <t>56.30.30.30</t>
  </si>
  <si>
    <t>EazyFit voet SP</t>
  </si>
  <si>
    <t>8715839044652</t>
  </si>
  <si>
    <t>56.30.30.40</t>
  </si>
  <si>
    <t>EazyFit toprail hoek L SP</t>
  </si>
  <si>
    <t>8715839044669</t>
  </si>
  <si>
    <t>56.30.30.50</t>
  </si>
  <si>
    <t>EazyFit toprail hoek R SP</t>
  </si>
  <si>
    <t>8715839044676</t>
  </si>
  <si>
    <t>56.30.30.60</t>
  </si>
  <si>
    <t>EazyFit beschermrand SP</t>
  </si>
  <si>
    <t>8715839044683</t>
  </si>
  <si>
    <t>56.30.30.70</t>
  </si>
  <si>
    <t>Zak bev. Middelen EazyFit SP</t>
  </si>
  <si>
    <t>8715839036466</t>
  </si>
  <si>
    <t>56.30.71.00</t>
  </si>
  <si>
    <t>Zak Safety net 07 9 - 14 ft</t>
  </si>
  <si>
    <t>8715839029253</t>
  </si>
  <si>
    <t>56.30.71.08</t>
  </si>
  <si>
    <t>Zak Bev. Safety net (2 poten)</t>
  </si>
  <si>
    <t>8715839044171</t>
  </si>
  <si>
    <t>56.30.71.10</t>
  </si>
  <si>
    <t>Set Foam Safety net 9 - 14 ft</t>
  </si>
  <si>
    <t>8715839044188</t>
  </si>
  <si>
    <t>56.30.71.11</t>
  </si>
  <si>
    <t>Set Foam Safety net 9-14 ft 13</t>
  </si>
  <si>
    <t>8715839044195</t>
  </si>
  <si>
    <t>56.30.71.25</t>
  </si>
  <si>
    <t>Elastiek Safety net (30 stuks)</t>
  </si>
  <si>
    <t>8715839044201</t>
  </si>
  <si>
    <t>56.30.71.51</t>
  </si>
  <si>
    <t>Afdekkegel Safety net (8x)</t>
  </si>
  <si>
    <t>8715839044218</t>
  </si>
  <si>
    <t>56.30.71.52</t>
  </si>
  <si>
    <t>8x Dop 38 mm Safety Net</t>
  </si>
  <si>
    <t>8715839044225</t>
  </si>
  <si>
    <t>56.30.71.60</t>
  </si>
  <si>
    <t>Safety Net SP 9ft 13</t>
  </si>
  <si>
    <t>8715839044232</t>
  </si>
  <si>
    <t>56.30.71.61</t>
  </si>
  <si>
    <t>Safety Net SP 11ft 13</t>
  </si>
  <si>
    <t>8715839044249</t>
  </si>
  <si>
    <t>56.30.71.62</t>
  </si>
  <si>
    <t>Safety Net SP 12.5ft 13</t>
  </si>
  <si>
    <t>8715839044256</t>
  </si>
  <si>
    <t>56.30.71.63</t>
  </si>
  <si>
    <t>Safety Net SP 14ft 13</t>
  </si>
  <si>
    <t>8715839036473</t>
  </si>
  <si>
    <t>56.30.72.10</t>
  </si>
  <si>
    <t>Set Foam Safety net JS</t>
  </si>
  <si>
    <t>8715839044263</t>
  </si>
  <si>
    <t>56.30.72.11</t>
  </si>
  <si>
    <t>Set Foam Safety net DLX</t>
  </si>
  <si>
    <t>8715839036480</t>
  </si>
  <si>
    <t>56.30.72.51</t>
  </si>
  <si>
    <t>Set afdekkegels Safety net JS</t>
  </si>
  <si>
    <t>8715839057348</t>
  </si>
  <si>
    <t>56.30.72.52</t>
  </si>
  <si>
    <t>Set tentubes Saf.net JS 9 ft</t>
  </si>
  <si>
    <t>8715839036497</t>
  </si>
  <si>
    <t>56.30.72.53</t>
  </si>
  <si>
    <t>Set Paalhoezen Safety Net (8x)</t>
  </si>
  <si>
    <t>8715840000005</t>
  </si>
  <si>
    <t>56.30.72.54</t>
  </si>
  <si>
    <t>Hoepelset Safety net JS 330</t>
  </si>
  <si>
    <t>8715839044270</t>
  </si>
  <si>
    <t>56.30.72.55</t>
  </si>
  <si>
    <t>Set tentubes Saf. net JS 380</t>
  </si>
  <si>
    <t>8715839044287</t>
  </si>
  <si>
    <t>56.30.72.56</t>
  </si>
  <si>
    <t>Hoepelset Safety net JS 430</t>
  </si>
  <si>
    <t>8715839029260</t>
  </si>
  <si>
    <t>56.30.72.59</t>
  </si>
  <si>
    <t>Set conectors Tenttubes SN JS</t>
  </si>
  <si>
    <t>8715839044294</t>
  </si>
  <si>
    <t>56.30.72.70</t>
  </si>
  <si>
    <t>Safety Net SP DLX 9ft</t>
  </si>
  <si>
    <t>8715839044300</t>
  </si>
  <si>
    <t>56.30.72.71</t>
  </si>
  <si>
    <t>Safety Net SP DLX 11ft</t>
  </si>
  <si>
    <t>8715839044317</t>
  </si>
  <si>
    <t>56.30.72.72</t>
  </si>
  <si>
    <t>Safety Net SP DLX 12.5ft</t>
  </si>
  <si>
    <t>8715839044324</t>
  </si>
  <si>
    <t>56.30.72.73</t>
  </si>
  <si>
    <t>Safety Net SP DLX 14ft</t>
  </si>
  <si>
    <t>8715839044331</t>
  </si>
  <si>
    <t>56.30.72.74</t>
  </si>
  <si>
    <t>Set Sleeves Safety net DLX</t>
  </si>
  <si>
    <t>8715839044348</t>
  </si>
  <si>
    <t>56.30.72.75</t>
  </si>
  <si>
    <t>Set tentubes Saf.net DLX 11 ft</t>
  </si>
  <si>
    <t>8715839044355</t>
  </si>
  <si>
    <t>56.30.72.76</t>
  </si>
  <si>
    <t>Set tentubes Saf.net DLX 14 ft</t>
  </si>
  <si>
    <t>8715839044362</t>
  </si>
  <si>
    <t>56.30.72.78</t>
  </si>
  <si>
    <t>Set tentubes Saf.net DLX 9 ft</t>
  </si>
  <si>
    <t>8715839044379</t>
  </si>
  <si>
    <t>56.30.72.79</t>
  </si>
  <si>
    <t>Set tentubes Saf.net DLX12.5ft</t>
  </si>
  <si>
    <t>8715839044386</t>
  </si>
  <si>
    <t>56.30.72.80</t>
  </si>
  <si>
    <t>Tube up Saf Net DLX SP 13</t>
  </si>
  <si>
    <t>8715839045833</t>
  </si>
  <si>
    <t>56.30.73.21</t>
  </si>
  <si>
    <t>Set Tenttubes SN TS 11ft SP</t>
  </si>
  <si>
    <t>8715839045840</t>
  </si>
  <si>
    <t>56.30.73.22</t>
  </si>
  <si>
    <t>Set Tenttubes SN TS 12.5ft SP</t>
  </si>
  <si>
    <t>8715839045857</t>
  </si>
  <si>
    <t>56.30.73.24</t>
  </si>
  <si>
    <t>Set Tenttubes SN TS 14ft SP</t>
  </si>
  <si>
    <t>8715839045864</t>
  </si>
  <si>
    <t>56.30.73.25</t>
  </si>
  <si>
    <t>Tube Up Saf. net T-Series SP</t>
  </si>
  <si>
    <t>8715839045901</t>
  </si>
  <si>
    <t>56.30.73.26</t>
  </si>
  <si>
    <t>Tube Low Saf. net T-Series SP</t>
  </si>
  <si>
    <t>8715839045819</t>
  </si>
  <si>
    <t>56.30.73.27</t>
  </si>
  <si>
    <t>Set Foam Safety net TS SP</t>
  </si>
  <si>
    <t>8715839045826</t>
  </si>
  <si>
    <t>56.30.73.29</t>
  </si>
  <si>
    <t>Set Sleeves Safety net TS SP</t>
  </si>
  <si>
    <t>8715839045918</t>
  </si>
  <si>
    <t>56.30.73.30</t>
  </si>
  <si>
    <t>Clamp Tubes Safety net TS SP</t>
  </si>
  <si>
    <t>8715839045871</t>
  </si>
  <si>
    <t>56.30.73.41</t>
  </si>
  <si>
    <t>Netting T-series 11ft SP</t>
  </si>
  <si>
    <t>8715839045888</t>
  </si>
  <si>
    <t>56.30.73.42</t>
  </si>
  <si>
    <t>Netting T-series 12.5ft SP</t>
  </si>
  <si>
    <t>8715839045895</t>
  </si>
  <si>
    <t>56.30.73.44</t>
  </si>
  <si>
    <t>Netting T-series 14ft SP</t>
  </si>
  <si>
    <t>8715839045925</t>
  </si>
  <si>
    <t>56.30.73.51</t>
  </si>
  <si>
    <t>Fasteners for Clamp TS SP</t>
  </si>
  <si>
    <t>8715839027532</t>
  </si>
  <si>
    <t>56.30.80.03</t>
  </si>
  <si>
    <t>Set tentharingen (10x)</t>
  </si>
  <si>
    <t>8715839046168</t>
  </si>
  <si>
    <t>56.30.80.21</t>
  </si>
  <si>
    <t>Tenttubes frm net TS 11ft SP</t>
  </si>
  <si>
    <t>8715839046175</t>
  </si>
  <si>
    <t>56.30.80.22</t>
  </si>
  <si>
    <t>Tenttubes frm net TS 12.5ft SP</t>
  </si>
  <si>
    <t>8715839046182</t>
  </si>
  <si>
    <t>56.30.80.24</t>
  </si>
  <si>
    <t>Tenttubes frm net TS 14ft SP</t>
  </si>
  <si>
    <t>8715839046137</t>
  </si>
  <si>
    <t>56.30.80.27</t>
  </si>
  <si>
    <t>8715839046144</t>
  </si>
  <si>
    <t>56.30.80.29</t>
  </si>
  <si>
    <t>8715839046151</t>
  </si>
  <si>
    <t>56.30.80.31</t>
  </si>
  <si>
    <t>8715839046120</t>
  </si>
  <si>
    <t>56.30.80.37</t>
  </si>
  <si>
    <t>InGround Leg TS SP</t>
  </si>
  <si>
    <t>8715839046205</t>
  </si>
  <si>
    <t>56.30.80.42</t>
  </si>
  <si>
    <t>Ruler InGround TS 11ft SP</t>
  </si>
  <si>
    <t>8715839046212</t>
  </si>
  <si>
    <t>56.30.80.44</t>
  </si>
  <si>
    <t>Ruler InGround TS 12.5ft SP</t>
  </si>
  <si>
    <t>8715839046229</t>
  </si>
  <si>
    <t>56.30.80.46</t>
  </si>
  <si>
    <t>Ruler InGround TS 14ft SP</t>
  </si>
  <si>
    <t>8715839046199</t>
  </si>
  <si>
    <t>56.30.80.53</t>
  </si>
  <si>
    <t>Anchor TS for InGround SP</t>
  </si>
  <si>
    <t>8715839036510</t>
  </si>
  <si>
    <t>56.31.00.01</t>
  </si>
  <si>
    <t>Montageset Offroad Special</t>
  </si>
  <si>
    <t>8715839042009</t>
  </si>
  <si>
    <t>56.31.00.02</t>
  </si>
  <si>
    <t>Zak stuurdop zwart + alu badge</t>
  </si>
  <si>
    <t>8715839014648</t>
  </si>
  <si>
    <t>56.31.32.00</t>
  </si>
  <si>
    <t>Montageset Spoiler</t>
  </si>
  <si>
    <t>8715839036527</t>
  </si>
  <si>
    <t>56.31.40.00</t>
  </si>
  <si>
    <t>Montageset KRAMP Maxi</t>
  </si>
  <si>
    <t>8715839029277</t>
  </si>
  <si>
    <t>56.31.51.00</t>
  </si>
  <si>
    <t>Montageset Basic/Extra</t>
  </si>
  <si>
    <t>8715839036534</t>
  </si>
  <si>
    <t>56.31.52.00</t>
  </si>
  <si>
    <t>Montageset BERG Racer</t>
  </si>
  <si>
    <t>8715839036541</t>
  </si>
  <si>
    <t>56.31.53.00</t>
  </si>
  <si>
    <t>Montageset X-plorer/Racing</t>
  </si>
  <si>
    <t>8715839036558</t>
  </si>
  <si>
    <t>56.31.65.00</t>
  </si>
  <si>
    <t>Montageset Ferrari</t>
  </si>
  <si>
    <t>8715839036565</t>
  </si>
  <si>
    <t>56.31.65.01</t>
  </si>
  <si>
    <t>Set wieldoppen Ferrari</t>
  </si>
  <si>
    <t>8715839036572</t>
  </si>
  <si>
    <t>56.31.65.02</t>
  </si>
  <si>
    <t>Montageset Ferrari spoiler</t>
  </si>
  <si>
    <t>8715839036589</t>
  </si>
  <si>
    <t>56.31.66.00</t>
  </si>
  <si>
    <t>Montageset JEEP</t>
  </si>
  <si>
    <t>8715839036596</t>
  </si>
  <si>
    <t>56.31.67.00</t>
  </si>
  <si>
    <t>Zak Silver Race</t>
  </si>
  <si>
    <t>8715839036602</t>
  </si>
  <si>
    <t>56.31.68.00</t>
  </si>
  <si>
    <t>Sickerset Silver Race</t>
  </si>
  <si>
    <t>8715839036619</t>
  </si>
  <si>
    <t>56.31.69.00</t>
  </si>
  <si>
    <t>Montageset Berg Fire</t>
  </si>
  <si>
    <t>8715839048025</t>
  </si>
  <si>
    <t>56.31.70.00</t>
  </si>
  <si>
    <t>Zak JEEP Expedition</t>
  </si>
  <si>
    <t>8715839036626</t>
  </si>
  <si>
    <t>56.32.40.00</t>
  </si>
  <si>
    <t>Montageset KRAMP Midi</t>
  </si>
  <si>
    <t>8715839036633</t>
  </si>
  <si>
    <t>56.32.52.00</t>
  </si>
  <si>
    <t>Montageset Donald Prof</t>
  </si>
  <si>
    <t>8715839036640</t>
  </si>
  <si>
    <t>56.33.23.00</t>
  </si>
  <si>
    <t>Montageset Twister</t>
  </si>
  <si>
    <t>8715839027884</t>
  </si>
  <si>
    <t>56.36.27.80</t>
  </si>
  <si>
    <t>Elastiek Elfje-rand (16x)</t>
  </si>
  <si>
    <t>8715839036657</t>
  </si>
  <si>
    <t>56.39.32.00</t>
  </si>
  <si>
    <t>Bouten + handvaten Chopper</t>
  </si>
  <si>
    <t>8715839036664</t>
  </si>
  <si>
    <t>56.45.00.02</t>
  </si>
  <si>
    <t>Montageset Duostoel</t>
  </si>
  <si>
    <t>8715839036671</t>
  </si>
  <si>
    <t>56.46.01.00</t>
  </si>
  <si>
    <t>Montageset Sunroof</t>
  </si>
  <si>
    <t>8715839013047</t>
  </si>
  <si>
    <t>56.47.00.04</t>
  </si>
  <si>
    <t>Trapas geperst v. Tornado</t>
  </si>
  <si>
    <t>8715839029284</t>
  </si>
  <si>
    <t>56.47.74.25</t>
  </si>
  <si>
    <t>Reservedelen Boordcomputer</t>
  </si>
  <si>
    <t>8715839036688</t>
  </si>
  <si>
    <t>56.48.00.00</t>
  </si>
  <si>
    <t>Reserveonderdelen 1</t>
  </si>
  <si>
    <t>8715839036695</t>
  </si>
  <si>
    <t>56.48.01.00</t>
  </si>
  <si>
    <t>Reserveonderdelen 2</t>
  </si>
  <si>
    <t>8715839036701</t>
  </si>
  <si>
    <t>56.48.05.00</t>
  </si>
  <si>
    <t>8715839036718</t>
  </si>
  <si>
    <t>56.48.06.00</t>
  </si>
  <si>
    <t>Montageset Driewieler</t>
  </si>
  <si>
    <t>8715839036725</t>
  </si>
  <si>
    <t>56.48.40.00</t>
  </si>
  <si>
    <t>Zak koppeling</t>
  </si>
  <si>
    <t>8715839036732</t>
  </si>
  <si>
    <t>56.48.41.00</t>
  </si>
  <si>
    <t>Montageset Porto</t>
  </si>
  <si>
    <t>8715839036749</t>
  </si>
  <si>
    <t>56.48.60.00</t>
  </si>
  <si>
    <t>Zak reserveonderdelen Bike</t>
  </si>
  <si>
    <t>8715839036756</t>
  </si>
  <si>
    <t>56.50.00.00</t>
  </si>
  <si>
    <t>Montageset Freestyler</t>
  </si>
  <si>
    <t>8715839036763</t>
  </si>
  <si>
    <t>56.50.01.25</t>
  </si>
  <si>
    <t>Stickerset Freestyler</t>
  </si>
  <si>
    <t>8715839036770</t>
  </si>
  <si>
    <t>56.50.01.26</t>
  </si>
  <si>
    <t>Remschijfkap Freestyler</t>
  </si>
  <si>
    <t>8715839036787</t>
  </si>
  <si>
    <t>56.50.01.27</t>
  </si>
  <si>
    <t>Kettingkast Freestyler</t>
  </si>
  <si>
    <t>8715839036794</t>
  </si>
  <si>
    <t>56.50.01.28</t>
  </si>
  <si>
    <t>Set Anti-tipper Freestyler</t>
  </si>
  <si>
    <t>8715839036800</t>
  </si>
  <si>
    <t>56.50.01.29</t>
  </si>
  <si>
    <t>Schild voor Freestyler</t>
  </si>
  <si>
    <t>8715839036817</t>
  </si>
  <si>
    <t>56.52.07.00</t>
  </si>
  <si>
    <t>Zak kipkar Vario</t>
  </si>
  <si>
    <t>8715839010077</t>
  </si>
  <si>
    <t>56.53.00.01</t>
  </si>
  <si>
    <t>Bag of nylon rings (4x)</t>
  </si>
  <si>
    <t>8715839036824</t>
  </si>
  <si>
    <t>56.53.01.01</t>
  </si>
  <si>
    <t>Montageset Locomotief</t>
  </si>
  <si>
    <t>8715839047943</t>
  </si>
  <si>
    <t>56.53.04.00</t>
  </si>
  <si>
    <t>Stuurstang verstelbaar GT</t>
  </si>
  <si>
    <t>8715839025200</t>
  </si>
  <si>
    <t>56.53.05.00</t>
  </si>
  <si>
    <t>Spoorstang verstelbaar (74 cm)</t>
  </si>
  <si>
    <t>8715839046939</t>
  </si>
  <si>
    <t>56.53.06.00</t>
  </si>
  <si>
    <t>SP Sprocket BF-3 Imotion Z=24</t>
  </si>
  <si>
    <t>8715839047059</t>
  </si>
  <si>
    <t>56.53.10.59</t>
  </si>
  <si>
    <t>Crank pedal 140 prof R 28T SP</t>
  </si>
  <si>
    <t>8715839036831</t>
  </si>
  <si>
    <t>56.53.11.01</t>
  </si>
  <si>
    <t>Montageset Wagon</t>
  </si>
  <si>
    <t>8715839036855</t>
  </si>
  <si>
    <t>56.53.41.00</t>
  </si>
  <si>
    <t>Montageset Clipper</t>
  </si>
  <si>
    <t>8715839036862</t>
  </si>
  <si>
    <t>56.53.46.00</t>
  </si>
  <si>
    <t>Montageset Kiepbeugel Clipper</t>
  </si>
  <si>
    <t>8715839036879</t>
  </si>
  <si>
    <t>56.53.57.00</t>
  </si>
  <si>
    <t>Zak Sunroof 03</t>
  </si>
  <si>
    <t>8715839036886</t>
  </si>
  <si>
    <t>56.53.71.00</t>
  </si>
  <si>
    <t>Freewheel 23 tands, Locomotive</t>
  </si>
  <si>
    <t>8715839036893</t>
  </si>
  <si>
    <t>56.53.72.00</t>
  </si>
  <si>
    <t>Set Achteras locomotief</t>
  </si>
  <si>
    <t>8715839036909</t>
  </si>
  <si>
    <t>56.53.72.60</t>
  </si>
  <si>
    <t>Set gaffels + draadeind</t>
  </si>
  <si>
    <t>8715839036916</t>
  </si>
  <si>
    <t>56.53.73.00</t>
  </si>
  <si>
    <t>Montageset Trommelrem</t>
  </si>
  <si>
    <t>8715839047936</t>
  </si>
  <si>
    <t>56.53.77.00</t>
  </si>
  <si>
    <t>assemblageset GT offroad</t>
  </si>
  <si>
    <t>8715839025163</t>
  </si>
  <si>
    <t>56.53.80.00</t>
  </si>
  <si>
    <t>Montageset GranTour</t>
  </si>
  <si>
    <t>8715839030020</t>
  </si>
  <si>
    <t>56.53.80.01</t>
  </si>
  <si>
    <t>Montageset GranTour Wagon</t>
  </si>
  <si>
    <t>8715839025170</t>
  </si>
  <si>
    <t>56.53.81.00</t>
  </si>
  <si>
    <t>Set wieldoppen GranTour</t>
  </si>
  <si>
    <t>8715839025187</t>
  </si>
  <si>
    <t>56.53.82.00</t>
  </si>
  <si>
    <t>Zak doppen GranTour</t>
  </si>
  <si>
    <t>8715839025194</t>
  </si>
  <si>
    <t>56.53.83.00</t>
  </si>
  <si>
    <t>Fusee-as GranTour Links</t>
  </si>
  <si>
    <t>56.53.84.00</t>
  </si>
  <si>
    <t>Fusee-as GranTour Rechts</t>
  </si>
  <si>
    <t>8715839036923</t>
  </si>
  <si>
    <t>56.53.85.00</t>
  </si>
  <si>
    <t>Stuurblokkade GranTour</t>
  </si>
  <si>
    <t>8715839045499</t>
  </si>
  <si>
    <t>56.53.86.00</t>
  </si>
  <si>
    <t>GT achteras SP links</t>
  </si>
  <si>
    <t>56.53.87.00</t>
  </si>
  <si>
    <t>GT achteras SP rechts</t>
  </si>
  <si>
    <t>8715839047950</t>
  </si>
  <si>
    <t>56.53.88.00</t>
  </si>
  <si>
    <t>8715839047967</t>
  </si>
  <si>
    <t>56.53.89.00</t>
  </si>
  <si>
    <t>Trapas samenstelling 22T</t>
  </si>
  <si>
    <t>8715839047998</t>
  </si>
  <si>
    <t>56.53.90.00</t>
  </si>
  <si>
    <t>GT OffRoad vervangb achteras L</t>
  </si>
  <si>
    <t>8715839048001</t>
  </si>
  <si>
    <t>56.53.91.00</t>
  </si>
  <si>
    <t>GT OffRoad vervangb achteras R</t>
  </si>
  <si>
    <t>8715839047974</t>
  </si>
  <si>
    <t>56.53.92.00</t>
  </si>
  <si>
    <t>Zak Fusee L GranTour OffRoad</t>
  </si>
  <si>
    <t>8715839047981</t>
  </si>
  <si>
    <t>56.53.93.00</t>
  </si>
  <si>
    <t>Zak Fusee R GranTour OffRoad</t>
  </si>
  <si>
    <t>8715839036930</t>
  </si>
  <si>
    <t>56.54.00.32</t>
  </si>
  <si>
    <t>Zak BF-3 bediening</t>
  </si>
  <si>
    <t>8715839047837</t>
  </si>
  <si>
    <t>56.54.00.34</t>
  </si>
  <si>
    <t>I-motion BF1 kabel vast verzet</t>
  </si>
  <si>
    <t>8715839036947</t>
  </si>
  <si>
    <t>56.54.10.25</t>
  </si>
  <si>
    <t>Zak doppen Buster etc</t>
  </si>
  <si>
    <t>8715839013795</t>
  </si>
  <si>
    <t>56.54.22.00</t>
  </si>
  <si>
    <t>Zak rolbeugel</t>
  </si>
  <si>
    <t>8715839036954</t>
  </si>
  <si>
    <t>56.54.61.00</t>
  </si>
  <si>
    <t>Montageset Buster</t>
  </si>
  <si>
    <t>8715839018165</t>
  </si>
  <si>
    <t>56.54.65.00</t>
  </si>
  <si>
    <t>Trap-as professional</t>
  </si>
  <si>
    <t>8715839029291</t>
  </si>
  <si>
    <t>56.54.66.10</t>
  </si>
  <si>
    <t>8715839036961</t>
  </si>
  <si>
    <t>56.54.72.08</t>
  </si>
  <si>
    <t>Spatbordset voor blauw</t>
  </si>
  <si>
    <t>8715839036978</t>
  </si>
  <si>
    <t>56.54.72.14</t>
  </si>
  <si>
    <t>Spatbordset voor oranje</t>
  </si>
  <si>
    <t>8715839036985</t>
  </si>
  <si>
    <t>56.54.72.52</t>
  </si>
  <si>
    <t>Spatbordset voor rood</t>
  </si>
  <si>
    <t>8715839036992</t>
  </si>
  <si>
    <t>56.58.11.01</t>
  </si>
  <si>
    <t>Montageset EazyStore</t>
  </si>
  <si>
    <t>8715839027822</t>
  </si>
  <si>
    <t>56.58.11.02</t>
  </si>
  <si>
    <t>EazyStore: set van 4 doppen</t>
  </si>
  <si>
    <t>8715839018851</t>
  </si>
  <si>
    <t>56.59.00.00</t>
  </si>
  <si>
    <t>Kettingkast BalanzBike</t>
  </si>
  <si>
    <t>8715839037005</t>
  </si>
  <si>
    <t>56.59.01.00</t>
  </si>
  <si>
    <t>Zak BalanzBike</t>
  </si>
  <si>
    <t>8715839037012</t>
  </si>
  <si>
    <t>56.59.02.02</t>
  </si>
  <si>
    <t>Zak spatborden rood BalanzBike</t>
  </si>
  <si>
    <t>8715839037029</t>
  </si>
  <si>
    <t>56.59.10.25</t>
  </si>
  <si>
    <t>Doppen + handvaten BalanzBike</t>
  </si>
  <si>
    <t>8715839037036</t>
  </si>
  <si>
    <t>56.59.21.00</t>
  </si>
  <si>
    <t>Zak BalanzBike Prof</t>
  </si>
  <si>
    <t>8715839018189</t>
  </si>
  <si>
    <t>56.59.99.00</t>
  </si>
  <si>
    <t>Zak spaakspanner + gebr. aanw.</t>
  </si>
  <si>
    <t>8715839029307</t>
  </si>
  <si>
    <t>56.60.30.01</t>
  </si>
  <si>
    <t>Zak hefinrichting (accessoire)</t>
  </si>
  <si>
    <t>8715839046908</t>
  </si>
  <si>
    <t>56.60.30.02</t>
  </si>
  <si>
    <t>Zak achter hefinrichting (accessoire)</t>
  </si>
  <si>
    <t>8715839050387</t>
  </si>
  <si>
    <t>56.60.30.03</t>
  </si>
  <si>
    <t>SP Zak achterhef ringen M8x21x4</t>
  </si>
  <si>
    <t>8715839037043</t>
  </si>
  <si>
    <t>56.60.30.25</t>
  </si>
  <si>
    <t>Reservedelen Hefinrichting</t>
  </si>
  <si>
    <t>8715839037050</t>
  </si>
  <si>
    <t>56.60.40.01</t>
  </si>
  <si>
    <t>Zak Fronthefinrichting</t>
  </si>
  <si>
    <t>8715839046786</t>
  </si>
  <si>
    <t>56.60.40.02</t>
  </si>
  <si>
    <t>8715839046885</t>
  </si>
  <si>
    <t>56.60.60.01</t>
  </si>
  <si>
    <t>Montage zak voor schuif</t>
  </si>
  <si>
    <t>8715839037067</t>
  </si>
  <si>
    <t>56.61.01.00</t>
  </si>
  <si>
    <t>Zak Compact</t>
  </si>
  <si>
    <t>8715839037074</t>
  </si>
  <si>
    <t>56.61.03.00</t>
  </si>
  <si>
    <t>Zak Compact Gold</t>
  </si>
  <si>
    <t>8715839037081</t>
  </si>
  <si>
    <t>56.61.04.00</t>
  </si>
  <si>
    <t>Montageset Ferrari MID</t>
  </si>
  <si>
    <t>8715839037098</t>
  </si>
  <si>
    <t>56.61.04.01</t>
  </si>
  <si>
    <t>8715839029314</t>
  </si>
  <si>
    <t>56.61.10.25</t>
  </si>
  <si>
    <t>Doppen + handvaten Compact</t>
  </si>
  <si>
    <t>8715839037104</t>
  </si>
  <si>
    <t>56.61.10.26</t>
  </si>
  <si>
    <t>Montageset fusee Compact</t>
  </si>
  <si>
    <t>8715839029321</t>
  </si>
  <si>
    <t>56.61.12.25</t>
  </si>
  <si>
    <t>Set fusees Compact</t>
  </si>
  <si>
    <t>8715839037111</t>
  </si>
  <si>
    <t>56.61.27.01</t>
  </si>
  <si>
    <t>Zak bev. spatbord Compact</t>
  </si>
  <si>
    <t>8715839024579</t>
  </si>
  <si>
    <t>56.62.01.00</t>
  </si>
  <si>
    <t>Montageset Triggy</t>
  </si>
  <si>
    <t>8715839024586</t>
  </si>
  <si>
    <t>56.62.01.25</t>
  </si>
  <si>
    <t>Reserveonderdelen Triggy</t>
  </si>
  <si>
    <t>8715839024821</t>
  </si>
  <si>
    <t>56.62.02.00</t>
  </si>
  <si>
    <t>Montageset Buddy</t>
  </si>
  <si>
    <t>8715839028454</t>
  </si>
  <si>
    <t>56.62.02.01</t>
  </si>
  <si>
    <t>Fasteners Buddy 2011</t>
  </si>
  <si>
    <t>8715839057867</t>
  </si>
  <si>
    <t>56.62.02.02</t>
  </si>
  <si>
    <t>Assembly set Choppy</t>
  </si>
  <si>
    <t>8715839024838</t>
  </si>
  <si>
    <t>56.62.02.10</t>
  </si>
  <si>
    <t>Montageset JEEP Junior</t>
  </si>
  <si>
    <t>8715839024845</t>
  </si>
  <si>
    <t>56.62.02.25</t>
  </si>
  <si>
    <t>Reserveonderdelen Buddy</t>
  </si>
  <si>
    <t>8715839024852</t>
  </si>
  <si>
    <t>56.62.03.00</t>
  </si>
  <si>
    <t>Montageset Ferrari F1</t>
  </si>
  <si>
    <t>8715839024869</t>
  </si>
  <si>
    <t>56.62.04.00</t>
  </si>
  <si>
    <t>Zak doppen Ferrari F1</t>
  </si>
  <si>
    <t>8715839030150</t>
  </si>
  <si>
    <t>56.62.04.01</t>
  </si>
  <si>
    <t>Plastic ond. Buddy 150 It</t>
  </si>
  <si>
    <t>8715839030358</t>
  </si>
  <si>
    <t>56.62.04.21</t>
  </si>
  <si>
    <t>Neusvleugel Ferrari F150</t>
  </si>
  <si>
    <t>8715839030341</t>
  </si>
  <si>
    <t>56.62.04.22</t>
  </si>
  <si>
    <t>Front spoiler Ferrari F150</t>
  </si>
  <si>
    <t>8715839030334</t>
  </si>
  <si>
    <t>56.62.04.23</t>
  </si>
  <si>
    <t>Achtervleugel Ferrari F150</t>
  </si>
  <si>
    <t>8715839030327</t>
  </si>
  <si>
    <t>56.62.04.24</t>
  </si>
  <si>
    <t>Set side skirts F150</t>
  </si>
  <si>
    <t>8715839024876</t>
  </si>
  <si>
    <t>56.62.04.25</t>
  </si>
  <si>
    <t>Set side skirts F1</t>
  </si>
  <si>
    <t>8715839024883</t>
  </si>
  <si>
    <t>56.62.04.26</t>
  </si>
  <si>
    <t>Achtervleugel Ferrari F1</t>
  </si>
  <si>
    <t>8715839024449</t>
  </si>
  <si>
    <t>56.62.04.27</t>
  </si>
  <si>
    <t>Front spoiler Ferrari F1</t>
  </si>
  <si>
    <t>8715839024890</t>
  </si>
  <si>
    <t>56.62.04.28</t>
  </si>
  <si>
    <t>Neusvleugel Ferrari F1</t>
  </si>
  <si>
    <t>8715839024906</t>
  </si>
  <si>
    <t>56.62.05.25</t>
  </si>
  <si>
    <t>Zak schroeven Ferrari F1</t>
  </si>
  <si>
    <t>8715839037128</t>
  </si>
  <si>
    <t>56.62.06.00</t>
  </si>
  <si>
    <t>Front spoiler Buddy ADAC</t>
  </si>
  <si>
    <t>8715839024913</t>
  </si>
  <si>
    <t>56.62.07.00</t>
  </si>
  <si>
    <t>Front spoiler Buddy John Deere</t>
  </si>
  <si>
    <t>8715839024920</t>
  </si>
  <si>
    <t>56.62.08.00</t>
  </si>
  <si>
    <t>Front spoiler Buddy Jeep</t>
  </si>
  <si>
    <t>8715839024593</t>
  </si>
  <si>
    <t>56.62.12.25</t>
  </si>
  <si>
    <t>Set fusees Triggy incl. bouten</t>
  </si>
  <si>
    <t>8715839037135</t>
  </si>
  <si>
    <t>56.62.20.00</t>
  </si>
  <si>
    <t>Montageset Loader</t>
  </si>
  <si>
    <t>8715839037142</t>
  </si>
  <si>
    <t>56.62.20.25</t>
  </si>
  <si>
    <t>Set spare parts Loader Triggy</t>
  </si>
  <si>
    <t>8715839024937</t>
  </si>
  <si>
    <t>56.62.42.25</t>
  </si>
  <si>
    <t>Tandwiel Buddy incl. spie</t>
  </si>
  <si>
    <t>8715839024944</t>
  </si>
  <si>
    <t>56.62.50.25</t>
  </si>
  <si>
    <t>Set fusees Buddy incl. bouten</t>
  </si>
  <si>
    <t>8715839027129</t>
  </si>
  <si>
    <t>56.62.50.35</t>
  </si>
  <si>
    <t>8715839024951</t>
  </si>
  <si>
    <t>56.62.51.25</t>
  </si>
  <si>
    <t>Set stuurstangen Buddy</t>
  </si>
  <si>
    <t>8715839027136</t>
  </si>
  <si>
    <t>56.62.51.35</t>
  </si>
  <si>
    <t>8715839054132</t>
  </si>
  <si>
    <t>56.62.54.01</t>
  </si>
  <si>
    <t>Spoiler Buddy Fendt</t>
  </si>
  <si>
    <t>8715839024111</t>
  </si>
  <si>
    <t>56.62.60.00</t>
  </si>
  <si>
    <t>Front spoiler Rally, rood</t>
  </si>
  <si>
    <t>8715839044850</t>
  </si>
  <si>
    <t>56.62.60.01</t>
  </si>
  <si>
    <t>Front spoiler Rally, oranje</t>
  </si>
  <si>
    <t>8715839044768</t>
  </si>
  <si>
    <t>56.62.60.02</t>
  </si>
  <si>
    <t>Front spoiler Jeep Adv. groen</t>
  </si>
  <si>
    <t>8715839051438</t>
  </si>
  <si>
    <t>56.62.60.04</t>
  </si>
  <si>
    <t>SP Grill Mustang GT</t>
  </si>
  <si>
    <t>8715839052183</t>
  </si>
  <si>
    <t>56.62.60.05</t>
  </si>
  <si>
    <t xml:space="preserve">SP Stickerset Mustang GT
</t>
  </si>
  <si>
    <t>8715839051445</t>
  </si>
  <si>
    <t>56.62.60.06</t>
  </si>
  <si>
    <t>SP Front spoil. Mustang GT</t>
  </si>
  <si>
    <t>8715839024128</t>
  </si>
  <si>
    <t>56.62.61.00</t>
  </si>
  <si>
    <t>Onderspoiler Rally, rood</t>
  </si>
  <si>
    <t>8715839041170</t>
  </si>
  <si>
    <t>56.62.61.01</t>
  </si>
  <si>
    <t>Onderspoiler Rally, oranje</t>
  </si>
  <si>
    <t>8715839024135</t>
  </si>
  <si>
    <t>56.62.62.00</t>
  </si>
  <si>
    <t>Stoel Rally, zwart incl. frame</t>
  </si>
  <si>
    <t>8715839041187</t>
  </si>
  <si>
    <t>56.62.62.01</t>
  </si>
  <si>
    <t>Stoel Rally, oranje met frame</t>
  </si>
  <si>
    <t>8715839045703</t>
  </si>
  <si>
    <t>56.62.62.04</t>
  </si>
  <si>
    <t>Stoel Jeep Adv. incl. frame</t>
  </si>
  <si>
    <t>8715839052190</t>
  </si>
  <si>
    <t>56.62.62.06</t>
  </si>
  <si>
    <t>SP Chair Mustang GT</t>
  </si>
  <si>
    <t>8715839024142</t>
  </si>
  <si>
    <t>56.62.63.00</t>
  </si>
  <si>
    <t>Kettingkast Rally (3 delen)</t>
  </si>
  <si>
    <t>8715839041194</t>
  </si>
  <si>
    <t>56.62.63.01</t>
  </si>
  <si>
    <t>Kettingkast Rally (zwart)</t>
  </si>
  <si>
    <t>8715839045727</t>
  </si>
  <si>
    <t>56.62.63.02</t>
  </si>
  <si>
    <t>Kettingkast Jeep Adv. (zwart)</t>
  </si>
  <si>
    <t>8715839052206</t>
  </si>
  <si>
    <t>56.62.63.03</t>
  </si>
  <si>
    <t>SP Chain guard Mustang GT</t>
  </si>
  <si>
    <t>8715839024159</t>
  </si>
  <si>
    <t>56.62.64.00</t>
  </si>
  <si>
    <t>Driehoek stuur (verstelbaar)</t>
  </si>
  <si>
    <t>8715839024166</t>
  </si>
  <si>
    <t>56.62.65.00</t>
  </si>
  <si>
    <t>Remhendel Rally</t>
  </si>
  <si>
    <t>8715839041217</t>
  </si>
  <si>
    <t>56.62.65.01</t>
  </si>
  <si>
    <t>Achteras + prakeerrem</t>
  </si>
  <si>
    <t>8715839047080</t>
  </si>
  <si>
    <t>56.62.65.05</t>
  </si>
  <si>
    <t>8715839024173</t>
  </si>
  <si>
    <t>56.62.66.00</t>
  </si>
  <si>
    <t>Achteras-kit Rally</t>
  </si>
  <si>
    <t>8715839041224</t>
  </si>
  <si>
    <t>56.62.66.01</t>
  </si>
  <si>
    <t>8715839047097</t>
  </si>
  <si>
    <t>56.62.66.02</t>
  </si>
  <si>
    <t>Set drive shaft Rally</t>
  </si>
  <si>
    <t>8715839024180</t>
  </si>
  <si>
    <t>56.62.67.00</t>
  </si>
  <si>
    <t>Stuurstrip Rally</t>
  </si>
  <si>
    <t>8715839024197</t>
  </si>
  <si>
    <t>56.62.68.00</t>
  </si>
  <si>
    <t>Set fusees Rally</t>
  </si>
  <si>
    <t>8715839024203</t>
  </si>
  <si>
    <t>56.62.69.00</t>
  </si>
  <si>
    <t>Montageset Rally</t>
  </si>
  <si>
    <t>8715839024210</t>
  </si>
  <si>
    <t>56.62.70.00</t>
  </si>
  <si>
    <t>Reserveonderdelen Rally</t>
  </si>
  <si>
    <t>8715839041200</t>
  </si>
  <si>
    <t>56.62.70.01</t>
  </si>
  <si>
    <t>8715839045710</t>
  </si>
  <si>
    <t>56.62.70.02</t>
  </si>
  <si>
    <t>Montageset Jeep Adventure</t>
  </si>
  <si>
    <t>8715839052213</t>
  </si>
  <si>
    <t>56.62.70.03</t>
  </si>
  <si>
    <t>SP Assembly kit Mustang GT</t>
  </si>
  <si>
    <t>8715839024227</t>
  </si>
  <si>
    <t>56.62.71.00</t>
  </si>
  <si>
    <t>Crankset Rally</t>
  </si>
  <si>
    <t>8715839046670</t>
  </si>
  <si>
    <t>56.62.72.00</t>
  </si>
  <si>
    <t>RW frame set Jeep Adv.</t>
  </si>
  <si>
    <t>8715839027709</t>
  </si>
  <si>
    <t>56.62.75.01</t>
  </si>
  <si>
    <t>Steering foam Biky</t>
  </si>
  <si>
    <t>8715839027716</t>
  </si>
  <si>
    <t>56.62.75.02</t>
  </si>
  <si>
    <t>Handgrip set Biky</t>
  </si>
  <si>
    <t>8715839027723</t>
  </si>
  <si>
    <t>56.62.75.03</t>
  </si>
  <si>
    <t>Seat Biky</t>
  </si>
  <si>
    <t>8715839027730</t>
  </si>
  <si>
    <t>56.62.75.04</t>
  </si>
  <si>
    <t>Stuur Biky</t>
  </si>
  <si>
    <t>8715839027747</t>
  </si>
  <si>
    <t>56.62.75.05</t>
  </si>
  <si>
    <t>Spareparts Biky</t>
  </si>
  <si>
    <t>8715839027891</t>
  </si>
  <si>
    <t>56.62.76.01</t>
  </si>
  <si>
    <t>Set wheels Kick360 (2pcs)</t>
  </si>
  <si>
    <t>8715839027907</t>
  </si>
  <si>
    <t>56.62.76.02</t>
  </si>
  <si>
    <t>Set grips Kick360 (2pcs)</t>
  </si>
  <si>
    <t>8715839027914</t>
  </si>
  <si>
    <t>56.62.76.03</t>
  </si>
  <si>
    <t>Brake-unit Kick360</t>
  </si>
  <si>
    <t>8715839027921</t>
  </si>
  <si>
    <t>56.62.76.04</t>
  </si>
  <si>
    <t>Bumper Kick360</t>
  </si>
  <si>
    <t>8715839027938</t>
  </si>
  <si>
    <t>56.62.76.05</t>
  </si>
  <si>
    <t>Spareparts + steer clamb K360</t>
  </si>
  <si>
    <t>8715839037159</t>
  </si>
  <si>
    <t>56.63.09.00</t>
  </si>
  <si>
    <t>Montageset Rolbeugel Zilver</t>
  </si>
  <si>
    <t>8715839037166</t>
  </si>
  <si>
    <t>56.64.01.00</t>
  </si>
  <si>
    <t>Moov Streetkit small parts</t>
  </si>
  <si>
    <t>8715839037173</t>
  </si>
  <si>
    <t>56.64.02.00</t>
  </si>
  <si>
    <t>Zak 1 Moov Streetkit</t>
  </si>
  <si>
    <t>8715839037180</t>
  </si>
  <si>
    <t>56.64.03.00</t>
  </si>
  <si>
    <t>Zak 2 Moov Streetkit</t>
  </si>
  <si>
    <t>8715839037197</t>
  </si>
  <si>
    <t>56.64.08.00</t>
  </si>
  <si>
    <t>Upgradekit MOOV Streetkit01</t>
  </si>
  <si>
    <t>56.67.10.01</t>
  </si>
  <si>
    <t>Buzzy Bag Of Fasteners</t>
  </si>
  <si>
    <t>8715839050431</t>
  </si>
  <si>
    <t>56.67.10.02</t>
  </si>
  <si>
    <t>Buzzy Bag Of Plastics</t>
  </si>
  <si>
    <t>8715839050448</t>
  </si>
  <si>
    <t>56.67.10.03</t>
  </si>
  <si>
    <t>Buzzy SP Seat</t>
  </si>
  <si>
    <t>8715839050455</t>
  </si>
  <si>
    <t>56.67.10.04</t>
  </si>
  <si>
    <t>Buzzy SP Spoiler</t>
  </si>
  <si>
    <t>8715839050462</t>
  </si>
  <si>
    <t>56.67.10.05</t>
  </si>
  <si>
    <t>Buzzy SP Wheel Front/Rear</t>
  </si>
  <si>
    <t>8715839050479</t>
  </si>
  <si>
    <t>56.67.10.07</t>
  </si>
  <si>
    <t>SP Handgrip Set D22</t>
  </si>
  <si>
    <t>8715839050486</t>
  </si>
  <si>
    <t>56.67.10.08</t>
  </si>
  <si>
    <t>Buzzy SP Pedal Axle Set</t>
  </si>
  <si>
    <t>8715839050493</t>
  </si>
  <si>
    <t>56.67.10.09</t>
  </si>
  <si>
    <t>Buzzy SP Rear Drive Shaft Set</t>
  </si>
  <si>
    <t>8715839050509</t>
  </si>
  <si>
    <t>56.67.10.10</t>
  </si>
  <si>
    <t>Buzzy SP Rear Axle Set</t>
  </si>
  <si>
    <t>8715839050516</t>
  </si>
  <si>
    <t>56.67.10.11</t>
  </si>
  <si>
    <t>Buzzy SP Chainguard</t>
  </si>
  <si>
    <t>8715839050523</t>
  </si>
  <si>
    <t>56.67.10.12</t>
  </si>
  <si>
    <t>SP Chain 68s</t>
  </si>
  <si>
    <t>8715839050530</t>
  </si>
  <si>
    <t>56.67.10.13</t>
  </si>
  <si>
    <t>Buzzy SP Steer Complete</t>
  </si>
  <si>
    <t>8715839050547</t>
  </si>
  <si>
    <t>56.67.10.14</t>
  </si>
  <si>
    <t>Buzzy SP Steer Tube</t>
  </si>
  <si>
    <t>8715839050554</t>
  </si>
  <si>
    <t>56.67.10.15</t>
  </si>
  <si>
    <t>Buzzy SP Steer Mechanism</t>
  </si>
  <si>
    <t>8715839050561</t>
  </si>
  <si>
    <t>56.67.10.16</t>
  </si>
  <si>
    <t>Buzzy SP Stickerset</t>
  </si>
  <si>
    <t>8715839050578</t>
  </si>
  <si>
    <t>56.67.10.17</t>
  </si>
  <si>
    <t>Buzzy SP small plastics</t>
  </si>
  <si>
    <t>8715839050585</t>
  </si>
  <si>
    <t>56.67.10.18</t>
  </si>
  <si>
    <t>Buzzy SP all fasteners</t>
  </si>
  <si>
    <t>8715839052237</t>
  </si>
  <si>
    <t>56.67.10.19</t>
  </si>
  <si>
    <t>Buzzy Fiat bag of fasteners</t>
  </si>
  <si>
    <t>8715839052220</t>
  </si>
  <si>
    <t>56.67.10.20</t>
  </si>
  <si>
    <t>Buzzy Fiat bag of plastics</t>
  </si>
  <si>
    <t>8715839051896</t>
  </si>
  <si>
    <t>56.67.10.21</t>
  </si>
  <si>
    <t>Buzzy Fiat 500 SP Steering Wheel</t>
  </si>
  <si>
    <t>8715839051902</t>
  </si>
  <si>
    <t>56.67.10.22</t>
  </si>
  <si>
    <t>Buzzy Fiat 500 SP Wheel Front/Rear</t>
  </si>
  <si>
    <t>8715839051919</t>
  </si>
  <si>
    <t>56.67.10.23</t>
  </si>
  <si>
    <t>Buzzy SP Steer Tube Set</t>
  </si>
  <si>
    <t>8715839051926</t>
  </si>
  <si>
    <t>56.67.10.24</t>
  </si>
  <si>
    <t>Buzzy Fiat 500 SP Stickerset</t>
  </si>
  <si>
    <t>8715839051933</t>
  </si>
  <si>
    <t>56.67.10.25</t>
  </si>
  <si>
    <t>Buzzy Fiat 500 SP small plastics</t>
  </si>
  <si>
    <t>8715839061987</t>
  </si>
  <si>
    <t>56.67.10.26</t>
  </si>
  <si>
    <t>Buzzy - Assembly set Fiat 500</t>
  </si>
  <si>
    <t>8715839051957</t>
  </si>
  <si>
    <t>56.67.10.27</t>
  </si>
  <si>
    <t>Buzzy Fiat 500 SP Spoiler</t>
  </si>
  <si>
    <t>8715839037203</t>
  </si>
  <si>
    <t>56.91.20.94</t>
  </si>
  <si>
    <t>LED zwaailicht oranje m. batt.</t>
  </si>
  <si>
    <t>8715839037210</t>
  </si>
  <si>
    <t>56.91.20.95</t>
  </si>
  <si>
    <t>Zwaailicht blauw, los</t>
  </si>
  <si>
    <t>8715839046311</t>
  </si>
  <si>
    <t>56.91.20.97</t>
  </si>
  <si>
    <t>Zwaailicht oranje, los</t>
  </si>
  <si>
    <t>8715839037227</t>
  </si>
  <si>
    <t>56.99.47.12</t>
  </si>
  <si>
    <t>Borgclip kogelpan (12x)</t>
  </si>
  <si>
    <t>8715839025057</t>
  </si>
  <si>
    <t>56.99.80.10</t>
  </si>
  <si>
    <t>Reflector (2 rood, 2 wit)</t>
  </si>
  <si>
    <t>8715839037234</t>
  </si>
  <si>
    <t>58.01.09.00</t>
  </si>
  <si>
    <t>Trapas compeet gemonteerd Prof</t>
  </si>
  <si>
    <t>8715839037241</t>
  </si>
  <si>
    <t>58.01.10.00</t>
  </si>
  <si>
    <t>Sportstuur (verstelbaar)</t>
  </si>
  <si>
    <t>8715839037258</t>
  </si>
  <si>
    <t>58.01.10.01</t>
  </si>
  <si>
    <t>Stuurwiel (verstelbaar)</t>
  </si>
  <si>
    <t>8715839037265</t>
  </si>
  <si>
    <t>58.01.10.20</t>
  </si>
  <si>
    <t>Trapas Mickey geperst</t>
  </si>
  <si>
    <t>8715839025224</t>
  </si>
  <si>
    <t>58.02.12.03</t>
  </si>
  <si>
    <t>Vrijloopautomaat Links</t>
  </si>
  <si>
    <t>8715839025231</t>
  </si>
  <si>
    <t>58.02.12.04</t>
  </si>
  <si>
    <t>Vrijloopautomaat Rechts</t>
  </si>
  <si>
    <t>8715839026290</t>
  </si>
  <si>
    <t>58.02.12.05</t>
  </si>
  <si>
    <t>Vrijloop Links</t>
  </si>
  <si>
    <t>8715839045253</t>
  </si>
  <si>
    <t>58.07.16.00</t>
  </si>
  <si>
    <t>Rod Mod Beach Wagon assem.</t>
  </si>
  <si>
    <t>8715839024326</t>
  </si>
  <si>
    <t>58.10.12.00</t>
  </si>
  <si>
    <t>Trapas met tandwiel Rally</t>
  </si>
  <si>
    <t>8715839037272</t>
  </si>
  <si>
    <t>58.31.08.15</t>
  </si>
  <si>
    <t>Achterk 04 wit AF Atk strip ro</t>
  </si>
  <si>
    <t>8715839041583</t>
  </si>
  <si>
    <t>58.31.30.02</t>
  </si>
  <si>
    <t>Spoiler Fire Silver Race</t>
  </si>
  <si>
    <t>8715839037289</t>
  </si>
  <si>
    <t>58.31.30.10</t>
  </si>
  <si>
    <t>Spoiler Silver Race</t>
  </si>
  <si>
    <t>8715839037296</t>
  </si>
  <si>
    <t>58.31.30.20</t>
  </si>
  <si>
    <t>Spoiler  Fire Fighter</t>
  </si>
  <si>
    <t>8715839037302</t>
  </si>
  <si>
    <t>58.31.32.05</t>
  </si>
  <si>
    <t>Stuurstang links</t>
  </si>
  <si>
    <t>8715839037319</t>
  </si>
  <si>
    <t>58.31.32.15</t>
  </si>
  <si>
    <t>Stuurstang Rechts</t>
  </si>
  <si>
    <t>8715839037326</t>
  </si>
  <si>
    <t>58.31.37.05</t>
  </si>
  <si>
    <t>Stuurstang verstelbaar links</t>
  </si>
  <si>
    <t>8715839037333</t>
  </si>
  <si>
    <t>58.31.37.15</t>
  </si>
  <si>
    <t>Stuurstang verstelbaar rechts</t>
  </si>
  <si>
    <t>8715839037340</t>
  </si>
  <si>
    <t>58.31.44.99</t>
  </si>
  <si>
    <t>8715839037357</t>
  </si>
  <si>
    <t>58.31.66.00</t>
  </si>
  <si>
    <t>Sportstuur Ferrari</t>
  </si>
  <si>
    <t>8715839037364</t>
  </si>
  <si>
    <t>58.39.48.05</t>
  </si>
  <si>
    <t>Spatbord voor</t>
  </si>
  <si>
    <t>8715839030235</t>
  </si>
  <si>
    <t>58.47.00.00</t>
  </si>
  <si>
    <t>8715839037371</t>
  </si>
  <si>
    <t>58.47.41.99</t>
  </si>
  <si>
    <t>Kettingkastdelen</t>
  </si>
  <si>
    <t>8715839037388</t>
  </si>
  <si>
    <t>58.47.74.52</t>
  </si>
  <si>
    <t>Frontspoiler Ferrari ""8""</t>
  </si>
  <si>
    <t>8715839037395</t>
  </si>
  <si>
    <t>58.47.74.68</t>
  </si>
  <si>
    <t>Spoiler Racing incl. beugel</t>
  </si>
  <si>
    <t>8715839037401</t>
  </si>
  <si>
    <t>58.47.74.88</t>
  </si>
  <si>
    <t>Spoiler Racing incl. koplamp</t>
  </si>
  <si>
    <t>8715839013054</t>
  </si>
  <si>
    <t>58.48.03.10</t>
  </si>
  <si>
    <t>Wiel 260 aandrijf</t>
  </si>
  <si>
    <t>8715839037418</t>
  </si>
  <si>
    <t>58.48.05.12</t>
  </si>
  <si>
    <t>Wiel 330 aandrijf</t>
  </si>
  <si>
    <t>8715839037425</t>
  </si>
  <si>
    <t>58.48.27.00</t>
  </si>
  <si>
    <t>Voorfr Moby XS blauw m. pedale</t>
  </si>
  <si>
    <t>8715839037432</t>
  </si>
  <si>
    <t>58.50.03.30</t>
  </si>
  <si>
    <t>Spoiler Freestyler</t>
  </si>
  <si>
    <t>8715839037449</t>
  </si>
  <si>
    <t>58.50.05.00</t>
  </si>
  <si>
    <t>Freewheel R met schijfrem</t>
  </si>
  <si>
    <t>8715839037456</t>
  </si>
  <si>
    <t>58.50.07.05</t>
  </si>
  <si>
    <t>Trapas Freestyler</t>
  </si>
  <si>
    <t>8715839037463</t>
  </si>
  <si>
    <t>58.53.12.00</t>
  </si>
  <si>
    <t>Voork loc03 blue gemonteerd</t>
  </si>
  <si>
    <t>8715839041873</t>
  </si>
  <si>
    <t>58.53.71.00</t>
  </si>
  <si>
    <t>Achterkant loc DF blauw</t>
  </si>
  <si>
    <t>8715839037470</t>
  </si>
  <si>
    <t>58.53.71.03</t>
  </si>
  <si>
    <t>Achterkant loc DF rood</t>
  </si>
  <si>
    <t>8715839041880</t>
  </si>
  <si>
    <t>58.53.80.05</t>
  </si>
  <si>
    <t>Achterkant GrT AF zw gemon</t>
  </si>
  <si>
    <t>8715839045628</t>
  </si>
  <si>
    <t>58.53.81.05</t>
  </si>
  <si>
    <t>Voorkant GrT zwart gemon</t>
  </si>
  <si>
    <t>8715839041897</t>
  </si>
  <si>
    <t>58.53.90.00</t>
  </si>
  <si>
    <t>GT Crankshaft extension set</t>
  </si>
  <si>
    <t>8715839025217</t>
  </si>
  <si>
    <t>58.53.90.05</t>
  </si>
  <si>
    <t>8715839037487</t>
  </si>
  <si>
    <t>58.53.90.06</t>
  </si>
  <si>
    <t>Trapas Buster 28T Prof</t>
  </si>
  <si>
    <t>8715839037494</t>
  </si>
  <si>
    <t>58.54.13.05</t>
  </si>
  <si>
    <t>Steun stuurinrichting Buster</t>
  </si>
  <si>
    <t>8715839037500</t>
  </si>
  <si>
    <t>58.54.65.00</t>
  </si>
  <si>
    <t>Trapas compeet, Buster Prof</t>
  </si>
  <si>
    <t>8715839046724</t>
  </si>
  <si>
    <t>58.54.65.20</t>
  </si>
  <si>
    <t>Crankaxle E-GT Racer RotatSens</t>
  </si>
  <si>
    <t>8715839046731</t>
  </si>
  <si>
    <t>58.54.65.21</t>
  </si>
  <si>
    <t>Crankaxle E-GT Racer StrainSen</t>
  </si>
  <si>
    <t>8715839046748</t>
  </si>
  <si>
    <t>58.54.65.22</t>
  </si>
  <si>
    <t>Crankaxle E-GT Off-R RotatSens</t>
  </si>
  <si>
    <t>8715839046755</t>
  </si>
  <si>
    <t>58.54.65.23</t>
  </si>
  <si>
    <t>Crankaxle E-GT Off-R StrainSen</t>
  </si>
  <si>
    <t>8715839046779</t>
  </si>
  <si>
    <t>58.54.65.24</t>
  </si>
  <si>
    <t>Crankaxle E-GT Racer TorqSens</t>
  </si>
  <si>
    <t>8715839041903</t>
  </si>
  <si>
    <t>58.54.66.15</t>
  </si>
  <si>
    <t>Trapashuis Buster 2005 gemont.</t>
  </si>
  <si>
    <t>8715839037517</t>
  </si>
  <si>
    <t>58.56.00.01</t>
  </si>
  <si>
    <t>Remschijf koker</t>
  </si>
  <si>
    <t>8715839041231</t>
  </si>
  <si>
    <t>58.62.00.00</t>
  </si>
  <si>
    <t>Trapas + crankstel Rally</t>
  </si>
  <si>
    <t>8715839045178</t>
  </si>
  <si>
    <t>58.62.01.00</t>
  </si>
  <si>
    <t>Crank sub assembly Rally</t>
  </si>
  <si>
    <t>8715839024456</t>
  </si>
  <si>
    <t>58.62.01.08</t>
  </si>
  <si>
    <t>Achterframe Triggy John Deere</t>
  </si>
  <si>
    <t>8715839024609</t>
  </si>
  <si>
    <t>58.62.02.05</t>
  </si>
  <si>
    <t>Zadel + zadelpen Triggy</t>
  </si>
  <si>
    <t>8715839037524</t>
  </si>
  <si>
    <t>58.62.11.03</t>
  </si>
  <si>
    <t>Voorkant Triggy rood</t>
  </si>
  <si>
    <t>8715839024463</t>
  </si>
  <si>
    <t>58.62.11.08</t>
  </si>
  <si>
    <t>Voorkant Triggy John Deere</t>
  </si>
  <si>
    <t>8715839024470</t>
  </si>
  <si>
    <t>58.62.14.05</t>
  </si>
  <si>
    <t>Balhoofdlagerset Triggy</t>
  </si>
  <si>
    <t>8715839024616</t>
  </si>
  <si>
    <t>58.62.16.05</t>
  </si>
  <si>
    <t>8715839037531</t>
  </si>
  <si>
    <t>58.62.20.00</t>
  </si>
  <si>
    <t>Loader mechanisme</t>
  </si>
  <si>
    <t>8715839037548</t>
  </si>
  <si>
    <t>58.62.21.03</t>
  </si>
  <si>
    <t>Achterkant Buddy rood</t>
  </si>
  <si>
    <t>8715839037555</t>
  </si>
  <si>
    <t>58.62.21.08</t>
  </si>
  <si>
    <t>Achterkant Buddy John Deere</t>
  </si>
  <si>
    <t>8715839048339</t>
  </si>
  <si>
    <t>58.62.21.09</t>
  </si>
  <si>
    <t>Achterkant Buddy 11 oranje</t>
  </si>
  <si>
    <t>8715839037562</t>
  </si>
  <si>
    <t>58.62.21.17</t>
  </si>
  <si>
    <t>Achterkant Buddy Jeep</t>
  </si>
  <si>
    <t>8715839037579</t>
  </si>
  <si>
    <t>58.62.22.03</t>
  </si>
  <si>
    <t>Voorkant Buddy rood</t>
  </si>
  <si>
    <t>8715839037586</t>
  </si>
  <si>
    <t>58.62.22.08</t>
  </si>
  <si>
    <t>Voorkant Buddy groen 6001</t>
  </si>
  <si>
    <t>8715839037593</t>
  </si>
  <si>
    <t>58.62.22.17</t>
  </si>
  <si>
    <t>Voorkant Buddy groen 6003</t>
  </si>
  <si>
    <t>8715839048322</t>
  </si>
  <si>
    <t>58.62.22.29</t>
  </si>
  <si>
    <t>Voorkant Buddy 11 oranje</t>
  </si>
  <si>
    <t>8715839048315</t>
  </si>
  <si>
    <t>58.62.22.37</t>
  </si>
  <si>
    <t>Voorkant Buddy 11 gr RAL6003</t>
  </si>
  <si>
    <t>8715839024968</t>
  </si>
  <si>
    <t>58.62.40.01</t>
  </si>
  <si>
    <t>Stoel Buddy zwart incl. frame</t>
  </si>
  <si>
    <t>8715839024975</t>
  </si>
  <si>
    <t>58.62.40.05</t>
  </si>
  <si>
    <t>Stoel Buddy geel incl. frame</t>
  </si>
  <si>
    <t>8715839027037</t>
  </si>
  <si>
    <t>58.62.40.19</t>
  </si>
  <si>
    <t>Stoel Buddy roze incl. frame</t>
  </si>
  <si>
    <t>8715839041910</t>
  </si>
  <si>
    <t>58.62.44.05</t>
  </si>
  <si>
    <t>Trapas+ crankstel Buddy</t>
  </si>
  <si>
    <t>8715839024487</t>
  </si>
  <si>
    <t>58.62.44.15</t>
  </si>
  <si>
    <t>Trapas Buddy</t>
  </si>
  <si>
    <t>8715839024982</t>
  </si>
  <si>
    <t>58.62.60.05</t>
  </si>
  <si>
    <t>Stoel incl. frame Ferrari F1</t>
  </si>
  <si>
    <t>8715839037609</t>
  </si>
  <si>
    <t>58.63.15.05</t>
  </si>
  <si>
    <t>Uitlaat + stuursteun Traxx</t>
  </si>
  <si>
    <t>8715839051889</t>
  </si>
  <si>
    <t>58.63.15.06</t>
  </si>
  <si>
    <t>Traxx Exhaust</t>
  </si>
  <si>
    <t>8715839037616</t>
  </si>
  <si>
    <t>58.64.44.00</t>
  </si>
  <si>
    <t>Frame 73 (incl. bearing)</t>
  </si>
  <si>
    <t>8715839037623</t>
  </si>
  <si>
    <t>58.64.45.00</t>
  </si>
  <si>
    <t>Frame 54 (incl. bearing)</t>
  </si>
  <si>
    <t>8715839037630</t>
  </si>
  <si>
    <t>58.64.46.00</t>
  </si>
  <si>
    <t>Footbrake</t>
  </si>
  <si>
    <t>8715839037647</t>
  </si>
  <si>
    <t>58.64.47.00</t>
  </si>
  <si>
    <t>Handbrake</t>
  </si>
  <si>
    <t>8715839037654</t>
  </si>
  <si>
    <t>60.01.28.00</t>
  </si>
  <si>
    <t>Vrijloophuis</t>
  </si>
  <si>
    <t>8715839037661</t>
  </si>
  <si>
    <t>60.01.39.71</t>
  </si>
  <si>
    <t>Accessoiresteun</t>
  </si>
  <si>
    <t>8715839037678</t>
  </si>
  <si>
    <t>60.01.61.05</t>
  </si>
  <si>
    <t>Stoelframe glij polster</t>
  </si>
  <si>
    <t>8715839037685</t>
  </si>
  <si>
    <t>60.01.61.80</t>
  </si>
  <si>
    <t>Glijplaat stoelverstelling</t>
  </si>
  <si>
    <t>8715839037692</t>
  </si>
  <si>
    <t>60.01.63.05</t>
  </si>
  <si>
    <t>Stoelframe polsterstoel pen</t>
  </si>
  <si>
    <t>8715839037708</t>
  </si>
  <si>
    <t>60.01.63.80</t>
  </si>
  <si>
    <t>Plaat achterlicht polsterstoel</t>
  </si>
  <si>
    <t>8715839037715</t>
  </si>
  <si>
    <t>60.01.65.05</t>
  </si>
  <si>
    <t>Stoelframe sportstoel comfort</t>
  </si>
  <si>
    <t>8715839037722</t>
  </si>
  <si>
    <t>60.01.66.05</t>
  </si>
  <si>
    <t>Stang voor zwaailicht</t>
  </si>
  <si>
    <t>8715839037739</t>
  </si>
  <si>
    <t>60.02.03.00</t>
  </si>
  <si>
    <t>Stuurstrip</t>
  </si>
  <si>
    <t>8715839025040</t>
  </si>
  <si>
    <t>60.02.10.00</t>
  </si>
  <si>
    <t>Stoelframe</t>
  </si>
  <si>
    <t>8715839037746</t>
  </si>
  <si>
    <t>60.02.17.90</t>
  </si>
  <si>
    <t>Fuseebusje gehard</t>
  </si>
  <si>
    <t>8715839037753</t>
  </si>
  <si>
    <t>60.04.14.00</t>
  </si>
  <si>
    <t>Stuurstrip Binky</t>
  </si>
  <si>
    <t>8715839037760</t>
  </si>
  <si>
    <t>60.04.17.00</t>
  </si>
  <si>
    <t>Stoelframe Binky</t>
  </si>
  <si>
    <t>8715839037777</t>
  </si>
  <si>
    <t>60.04.21.03</t>
  </si>
  <si>
    <t>Achterframe Binky</t>
  </si>
  <si>
    <t>8715839037784</t>
  </si>
  <si>
    <t>60.04.22.00</t>
  </si>
  <si>
    <t>Voorframe Binky Blauw</t>
  </si>
  <si>
    <t>8715839037791</t>
  </si>
  <si>
    <t>60.04.22.03</t>
  </si>
  <si>
    <t>Voorframe Binky</t>
  </si>
  <si>
    <t>8715839037807</t>
  </si>
  <si>
    <t>60.04.24.00</t>
  </si>
  <si>
    <t>Stuurbuis Binky, blauw</t>
  </si>
  <si>
    <t>8715839037814</t>
  </si>
  <si>
    <t>60.04.24.03</t>
  </si>
  <si>
    <t>Stuurbuis Binky, rood</t>
  </si>
  <si>
    <t>8715839037821</t>
  </si>
  <si>
    <t>60.04.31.00</t>
  </si>
  <si>
    <t>Achterframe Binky prof. blauw</t>
  </si>
  <si>
    <t>8715839037838</t>
  </si>
  <si>
    <t>60.04.31.03</t>
  </si>
  <si>
    <t>Achterframe Binky Prof rood</t>
  </si>
  <si>
    <t>8715839012101</t>
  </si>
  <si>
    <t>60.07.04.00</t>
  </si>
  <si>
    <t>Trekboom skelter-bolderkar</t>
  </si>
  <si>
    <t>8715839037845</t>
  </si>
  <si>
    <t>60.07.11.00</t>
  </si>
  <si>
    <t>Voorframe Bolderkar</t>
  </si>
  <si>
    <t>8715839037852</t>
  </si>
  <si>
    <t>60.07.12.00</t>
  </si>
  <si>
    <t>Steunbalk Voor</t>
  </si>
  <si>
    <t>8715839037869</t>
  </si>
  <si>
    <t>60.07.13.00</t>
  </si>
  <si>
    <t>Achterframe Bolderkar</t>
  </si>
  <si>
    <t>8715839037876</t>
  </si>
  <si>
    <t>60.07.14.00</t>
  </si>
  <si>
    <t>Steunbalk Achter</t>
  </si>
  <si>
    <t>8715839037883</t>
  </si>
  <si>
    <t>60.07.15.00</t>
  </si>
  <si>
    <t>Zijsteun</t>
  </si>
  <si>
    <t>8715839037890</t>
  </si>
  <si>
    <t>60.07.16.00</t>
  </si>
  <si>
    <t>Trekboom</t>
  </si>
  <si>
    <t>8715839037906</t>
  </si>
  <si>
    <t>60.07.16.80</t>
  </si>
  <si>
    <t>Pen Trekboom</t>
  </si>
  <si>
    <t>8715839045352</t>
  </si>
  <si>
    <t>60.07.16.82</t>
  </si>
  <si>
    <t>Rod Fastening pin Mod. Beach W</t>
  </si>
  <si>
    <t>8715839037913</t>
  </si>
  <si>
    <t>60.07.41.00</t>
  </si>
  <si>
    <t>8715839037920</t>
  </si>
  <si>
    <t>60.07.43.00</t>
  </si>
  <si>
    <t>8715839037937</t>
  </si>
  <si>
    <t>60.07.44.00</t>
  </si>
  <si>
    <t>8715839037944</t>
  </si>
  <si>
    <t>60.14.23.00</t>
  </si>
  <si>
    <t>Voet grote graver</t>
  </si>
  <si>
    <t>8715839037951</t>
  </si>
  <si>
    <t>60.15.12.00</t>
  </si>
  <si>
    <t>Arm kleine graver</t>
  </si>
  <si>
    <t>8715839037968</t>
  </si>
  <si>
    <t>60.15.16.00</t>
  </si>
  <si>
    <t>Voet Lody</t>
  </si>
  <si>
    <t>8715839037975</t>
  </si>
  <si>
    <t>60.15.21.00</t>
  </si>
  <si>
    <t>8715839037982</t>
  </si>
  <si>
    <t>60.15.22.00</t>
  </si>
  <si>
    <t>Bedieningshendel R</t>
  </si>
  <si>
    <t>8715839012736</t>
  </si>
  <si>
    <t>60.15.23.00</t>
  </si>
  <si>
    <t>Bedieningshendel L</t>
  </si>
  <si>
    <t>8715839037999</t>
  </si>
  <si>
    <t>60.15.24.02</t>
  </si>
  <si>
    <t>Bakje graver</t>
  </si>
  <si>
    <t>8715839038002</t>
  </si>
  <si>
    <t>60.17.10.06</t>
  </si>
  <si>
    <t>Frame Dempy geel</t>
  </si>
  <si>
    <t>8715839038019</t>
  </si>
  <si>
    <t>60.17.32.00</t>
  </si>
  <si>
    <t>Trekbeugel Riksja</t>
  </si>
  <si>
    <t>8715839038026</t>
  </si>
  <si>
    <t>60.17.40.00</t>
  </si>
  <si>
    <t>Frame Riksja</t>
  </si>
  <si>
    <t>8715839038033</t>
  </si>
  <si>
    <t>60.20.22.00</t>
  </si>
  <si>
    <t>Voorvork</t>
  </si>
  <si>
    <t>8715839038040</t>
  </si>
  <si>
    <t>60.20.24.00</t>
  </si>
  <si>
    <t>Hoofdframe</t>
  </si>
  <si>
    <t>8715839038057</t>
  </si>
  <si>
    <t>60.21.42.00</t>
  </si>
  <si>
    <t>Achterframe kl. step blauw</t>
  </si>
  <si>
    <t>8715839038064</t>
  </si>
  <si>
    <t>60.21.42.03</t>
  </si>
  <si>
    <t>Achterframe kl. step rood</t>
  </si>
  <si>
    <t>8715839038071</t>
  </si>
  <si>
    <t>60.21.44.00</t>
  </si>
  <si>
    <t>Voorframe blauw</t>
  </si>
  <si>
    <t>8715839038088</t>
  </si>
  <si>
    <t>60.21.44.03</t>
  </si>
  <si>
    <t>Stuur klstep 20la rood</t>
  </si>
  <si>
    <t>8715839038095</t>
  </si>
  <si>
    <t>60.21.45.00</t>
  </si>
  <si>
    <t>8715839038101</t>
  </si>
  <si>
    <t>60.21.45.03</t>
  </si>
  <si>
    <t>Voorframe rood</t>
  </si>
  <si>
    <t>8715839038118</t>
  </si>
  <si>
    <t>60.22.05.05</t>
  </si>
  <si>
    <t>Stoelframe BalanzBike</t>
  </si>
  <si>
    <t>8715839038125</t>
  </si>
  <si>
    <t>60.22.33.00</t>
  </si>
  <si>
    <t>Stuur blauw</t>
  </si>
  <si>
    <t>8715839038132</t>
  </si>
  <si>
    <t>60.22.33.03</t>
  </si>
  <si>
    <t>Stuur Crazy Bike Rood</t>
  </si>
  <si>
    <t>8715839038149</t>
  </si>
  <si>
    <t>60.22.34.05</t>
  </si>
  <si>
    <t>Stuurstang</t>
  </si>
  <si>
    <t>8715839038156</t>
  </si>
  <si>
    <t>60.22.35.05</t>
  </si>
  <si>
    <t>Stoelframe Crazy Bike</t>
  </si>
  <si>
    <t>8715839038163</t>
  </si>
  <si>
    <t>60.22.41.00</t>
  </si>
  <si>
    <t>Frame Crazy Bike Blauw</t>
  </si>
  <si>
    <t>8715839038170</t>
  </si>
  <si>
    <t>60.22.41.03</t>
  </si>
  <si>
    <t>Frame Crazy Bike Rood</t>
  </si>
  <si>
    <t>8715839038187</t>
  </si>
  <si>
    <t>60.22.42.00</t>
  </si>
  <si>
    <t>Achteras blauw Crazy Bike</t>
  </si>
  <si>
    <t>8715839038194</t>
  </si>
  <si>
    <t>60.22.42.03</t>
  </si>
  <si>
    <t>Achteras rood Crazy Bike</t>
  </si>
  <si>
    <t>8715839038200</t>
  </si>
  <si>
    <t>60.25.11.00</t>
  </si>
  <si>
    <t>Achteras Opbouwkar</t>
  </si>
  <si>
    <t>8715839038217</t>
  </si>
  <si>
    <t>60.25.12.00</t>
  </si>
  <si>
    <t>Trekboom opbouwkar</t>
  </si>
  <si>
    <t>8715839038224</t>
  </si>
  <si>
    <t>60.26.10.05</t>
  </si>
  <si>
    <t>Kipbak frame zwart</t>
  </si>
  <si>
    <t>8715839038231</t>
  </si>
  <si>
    <t>60.27.10.00</t>
  </si>
  <si>
    <t>Takel deelbaar</t>
  </si>
  <si>
    <t>8715839038248</t>
  </si>
  <si>
    <t>60.27.11.00</t>
  </si>
  <si>
    <t>Steunbeugel takel</t>
  </si>
  <si>
    <t>8715839038255</t>
  </si>
  <si>
    <t>60.27.12.80</t>
  </si>
  <si>
    <t>Takelhaak</t>
  </si>
  <si>
    <t>8715839038262</t>
  </si>
  <si>
    <t>60.28.21.05</t>
  </si>
  <si>
    <t>Bovenfr tweezit04</t>
  </si>
  <si>
    <t>8715839038279</t>
  </si>
  <si>
    <t>60.28.22.05</t>
  </si>
  <si>
    <t>Onderframe tweezit04</t>
  </si>
  <si>
    <t>8715839038286</t>
  </si>
  <si>
    <t>60.31.00.00</t>
  </si>
  <si>
    <t>Achterframe Wit</t>
  </si>
  <si>
    <t>8715839038293</t>
  </si>
  <si>
    <t>60.31.01.00</t>
  </si>
  <si>
    <t>Achterframe blauw</t>
  </si>
  <si>
    <t>8715839038309</t>
  </si>
  <si>
    <t>60.31.01.03</t>
  </si>
  <si>
    <t>Achterframe rood</t>
  </si>
  <si>
    <t>8715839038316</t>
  </si>
  <si>
    <t>60.31.01.05</t>
  </si>
  <si>
    <t>Achterframe AF Zwart</t>
  </si>
  <si>
    <t>8715839038323</t>
  </si>
  <si>
    <t>60.31.01.06</t>
  </si>
  <si>
    <t>Achterframe geel</t>
  </si>
  <si>
    <t>8715839038330</t>
  </si>
  <si>
    <t>60.31.01.15</t>
  </si>
  <si>
    <t>Achterframe Spdy wit</t>
  </si>
  <si>
    <t>8715839038347</t>
  </si>
  <si>
    <t>60.31.01.17</t>
  </si>
  <si>
    <t>Achterframe, groen 6003</t>
  </si>
  <si>
    <t>8715839038354</t>
  </si>
  <si>
    <t>60.31.01.18</t>
  </si>
  <si>
    <t>Achterframe zilver</t>
  </si>
  <si>
    <t>8715839038361</t>
  </si>
  <si>
    <t>60.31.08.80</t>
  </si>
  <si>
    <t>Aandrijfkoker</t>
  </si>
  <si>
    <t>8715839038378</t>
  </si>
  <si>
    <t>60.31.13.80</t>
  </si>
  <si>
    <t>Binnenkoker</t>
  </si>
  <si>
    <t>8715839038385</t>
  </si>
  <si>
    <t>60.31.13.82</t>
  </si>
  <si>
    <t>Binnenkoker Safari</t>
  </si>
  <si>
    <t>8715839038392</t>
  </si>
  <si>
    <t>60.31.15.00</t>
  </si>
  <si>
    <t>Steun stuurinrichting</t>
  </si>
  <si>
    <t>8715839038408</t>
  </si>
  <si>
    <t>60.31.18.07</t>
  </si>
  <si>
    <t>Steun stuurinrichting Safari</t>
  </si>
  <si>
    <t>8715839012880</t>
  </si>
  <si>
    <t>60.31.19.80</t>
  </si>
  <si>
    <t>Vastzetrem</t>
  </si>
  <si>
    <t>8715839038415</t>
  </si>
  <si>
    <t>60.31.21.05</t>
  </si>
  <si>
    <t>Achterframe Twenty, Zwart</t>
  </si>
  <si>
    <t>8715839038422</t>
  </si>
  <si>
    <t>60.31.21.18</t>
  </si>
  <si>
    <t>Achterframe Twenty, Zilver</t>
  </si>
  <si>
    <t>8715839038439</t>
  </si>
  <si>
    <t>60.31.22.05</t>
  </si>
  <si>
    <t>Achterframe Traxx AF zwart</t>
  </si>
  <si>
    <t>8715839038446</t>
  </si>
  <si>
    <t>60.31.23.07</t>
  </si>
  <si>
    <t>Achterframe Safari, groen</t>
  </si>
  <si>
    <t>8715839038453</t>
  </si>
  <si>
    <t>60.31.24.00</t>
  </si>
  <si>
    <t>Achterframe Super Prof. blauw</t>
  </si>
  <si>
    <t>8715839038460</t>
  </si>
  <si>
    <t>60.31.24.03</t>
  </si>
  <si>
    <t>Achterframe Super Prof. Rood</t>
  </si>
  <si>
    <t>8715839038477</t>
  </si>
  <si>
    <t>60.31.24.17</t>
  </si>
  <si>
    <t>Achterframe Super Prof. Groen</t>
  </si>
  <si>
    <t>8715839038484</t>
  </si>
  <si>
    <t>60.31.25.00</t>
  </si>
  <si>
    <t>8715839038491</t>
  </si>
  <si>
    <t>60.31.26.00</t>
  </si>
  <si>
    <t>8715839038507</t>
  </si>
  <si>
    <t>60.31.27.07</t>
  </si>
  <si>
    <t>Achterframe Safari Prof.</t>
  </si>
  <si>
    <t>8715839038514</t>
  </si>
  <si>
    <t>60.31.38.03</t>
  </si>
  <si>
    <t>Achterframe Twenty prof Rood</t>
  </si>
  <si>
    <t>8715839038521</t>
  </si>
  <si>
    <t>60.31.38.05</t>
  </si>
  <si>
    <t>Achterframe Prof Zwart</t>
  </si>
  <si>
    <t>8715839038538</t>
  </si>
  <si>
    <t>60.31.41.00</t>
  </si>
  <si>
    <t>Achterframe Super BF Blauw</t>
  </si>
  <si>
    <t>8715839038545</t>
  </si>
  <si>
    <t>60.31.41.05</t>
  </si>
  <si>
    <t>Achterframe Super BF Zwart</t>
  </si>
  <si>
    <t>8715839042030</t>
  </si>
  <si>
    <t>60.31.41.07</t>
  </si>
  <si>
    <t>Achterframe BF, groen 6003</t>
  </si>
  <si>
    <t>8715839038552</t>
  </si>
  <si>
    <t>60.31.41.18</t>
  </si>
  <si>
    <t>Achterframe Spdy BF zilver</t>
  </si>
  <si>
    <t>8715839038569</t>
  </si>
  <si>
    <t>60.31.42.05</t>
  </si>
  <si>
    <t>Achterframe Traxx BF, zwart</t>
  </si>
  <si>
    <t>8715839038576</t>
  </si>
  <si>
    <t>60.31.43.18</t>
  </si>
  <si>
    <t>Achterframe Super BF Zilver</t>
  </si>
  <si>
    <t>8715839038583</t>
  </si>
  <si>
    <t>60.31.44.03</t>
  </si>
  <si>
    <t>Achterframe BERG BF rood</t>
  </si>
  <si>
    <t>8715839038590</t>
  </si>
  <si>
    <t>60.31.44.05</t>
  </si>
  <si>
    <t>Achterframe BF Zwart</t>
  </si>
  <si>
    <t>8715839038606</t>
  </si>
  <si>
    <t>60.31.44.18</t>
  </si>
  <si>
    <t>Achterframe BERG BF zilver</t>
  </si>
  <si>
    <t>8715839038613</t>
  </si>
  <si>
    <t>60.31.45.80</t>
  </si>
  <si>
    <t>Montagestrip remklauw</t>
  </si>
  <si>
    <t>8715839038620</t>
  </si>
  <si>
    <t>60.31.46.05</t>
  </si>
  <si>
    <t>Achterframe Traxx Prof. Zwart</t>
  </si>
  <si>
    <t>8715839038637</t>
  </si>
  <si>
    <t>60.31.46.07</t>
  </si>
  <si>
    <t>Achterframe Traxx Prof. Groen</t>
  </si>
  <si>
    <t>8715839038644</t>
  </si>
  <si>
    <t>60.31.51.20</t>
  </si>
  <si>
    <t>Voorframe Super blauw</t>
  </si>
  <si>
    <t>8715839038651</t>
  </si>
  <si>
    <t>60.31.51.23</t>
  </si>
  <si>
    <t>8715839038668</t>
  </si>
  <si>
    <t>60.31.52.00</t>
  </si>
  <si>
    <t>8715839038675</t>
  </si>
  <si>
    <t>60.31.52.03</t>
  </si>
  <si>
    <t>8715839038682</t>
  </si>
  <si>
    <t>60.31.52.05</t>
  </si>
  <si>
    <t>Voorframe zwart</t>
  </si>
  <si>
    <t>8715839038699</t>
  </si>
  <si>
    <t>60.31.52.07</t>
  </si>
  <si>
    <t>Voorframe Safari</t>
  </si>
  <si>
    <t>8715839038705</t>
  </si>
  <si>
    <t>60.31.52.13</t>
  </si>
  <si>
    <t>Voorframe Pink</t>
  </si>
  <si>
    <t>8715839038712</t>
  </si>
  <si>
    <t>60.31.52.15</t>
  </si>
  <si>
    <t>Voorframe wit</t>
  </si>
  <si>
    <t>8715839038729</t>
  </si>
  <si>
    <t>60.31.52.18</t>
  </si>
  <si>
    <t>Voorframe Zilver</t>
  </si>
  <si>
    <t>8715839038736</t>
  </si>
  <si>
    <t>60.31.52.21</t>
  </si>
  <si>
    <t>Voorframe Purple 4008</t>
  </si>
  <si>
    <t>8715839038743</t>
  </si>
  <si>
    <t>60.31.54.00</t>
  </si>
  <si>
    <t>Voorfr Boxer num bl</t>
  </si>
  <si>
    <t>8715839038750</t>
  </si>
  <si>
    <t>60.31.54.03</t>
  </si>
  <si>
    <t>Voorfr Boxer num ro</t>
  </si>
  <si>
    <t>8715839038767</t>
  </si>
  <si>
    <t>60.31.54.05</t>
  </si>
  <si>
    <t>8715839038774</t>
  </si>
  <si>
    <t>60.31.54.07</t>
  </si>
  <si>
    <t>Voorframe Boxer groen, num.</t>
  </si>
  <si>
    <t>8715839038781</t>
  </si>
  <si>
    <t>60.31.54.18</t>
  </si>
  <si>
    <t>Voorfr Boxer num zilver</t>
  </si>
  <si>
    <t>8715839038798</t>
  </si>
  <si>
    <t>60.31.55.00</t>
  </si>
  <si>
    <t>Stuurbuis Basic blauw</t>
  </si>
  <si>
    <t>8715839038804</t>
  </si>
  <si>
    <t>60.31.55.03</t>
  </si>
  <si>
    <t>Stuurbuis Basic rood</t>
  </si>
  <si>
    <t>8715839038811</t>
  </si>
  <si>
    <t>60.31.55.05</t>
  </si>
  <si>
    <t>Stuurbuis Basic zwart</t>
  </si>
  <si>
    <t>8715839038828</t>
  </si>
  <si>
    <t>60.31.55.18</t>
  </si>
  <si>
    <t>Stuurbuis Basic Zilver</t>
  </si>
  <si>
    <t>8715839038835</t>
  </si>
  <si>
    <t>60.31.56.00</t>
  </si>
  <si>
    <t>Stuurbuis blauw</t>
  </si>
  <si>
    <t>8715839038842</t>
  </si>
  <si>
    <t>60.31.56.03</t>
  </si>
  <si>
    <t>Stuurbuis rood</t>
  </si>
  <si>
    <t>8715839038859</t>
  </si>
  <si>
    <t>60.31.56.05</t>
  </si>
  <si>
    <t>Stuurbuis zwart</t>
  </si>
  <si>
    <t>8715839038866</t>
  </si>
  <si>
    <t>60.31.56.08</t>
  </si>
  <si>
    <t>Stuurbuis groen (Claas)</t>
  </si>
  <si>
    <t>8715839038873</t>
  </si>
  <si>
    <t>60.31.57.00</t>
  </si>
  <si>
    <t>8715839038880</t>
  </si>
  <si>
    <t>60.31.57.03</t>
  </si>
  <si>
    <t>Stuurbuis Rood</t>
  </si>
  <si>
    <t>8715839038897</t>
  </si>
  <si>
    <t>60.31.57.05</t>
  </si>
  <si>
    <t>8715839038903</t>
  </si>
  <si>
    <t>60.31.57.06</t>
  </si>
  <si>
    <t>Stuurbuis geel</t>
  </si>
  <si>
    <t>8715839038910</t>
  </si>
  <si>
    <t>60.31.57.07</t>
  </si>
  <si>
    <t>Stuurbuis groen</t>
  </si>
  <si>
    <t>8715839038927</t>
  </si>
  <si>
    <t>60.31.57.15</t>
  </si>
  <si>
    <t>Stuurbuis wit</t>
  </si>
  <si>
    <t>8715839038934</t>
  </si>
  <si>
    <t>60.31.57.18</t>
  </si>
  <si>
    <t>Stuurbuis zilver</t>
  </si>
  <si>
    <t>8715839038941</t>
  </si>
  <si>
    <t>60.31.57.21</t>
  </si>
  <si>
    <t>Stuurbuis Purple 4008</t>
  </si>
  <si>
    <t>8715839038958</t>
  </si>
  <si>
    <t>60.31.61.03</t>
  </si>
  <si>
    <t>Frame voor Achterspoiler</t>
  </si>
  <si>
    <t>8715839038965</t>
  </si>
  <si>
    <t>60.31.62.03</t>
  </si>
  <si>
    <t>Frame voor Side Skirt</t>
  </si>
  <si>
    <t>8715839038972</t>
  </si>
  <si>
    <t>60.31.64.05</t>
  </si>
  <si>
    <t>Onderframe Side Skirt</t>
  </si>
  <si>
    <t>8715839038989</t>
  </si>
  <si>
    <t>60.31.65.03</t>
  </si>
  <si>
    <t>Voorframe Ferrari TOP</t>
  </si>
  <si>
    <t>8715839038996</t>
  </si>
  <si>
    <t>60.32.01.01</t>
  </si>
  <si>
    <t>Achterframe Donald Blauw</t>
  </si>
  <si>
    <t>8715839039009</t>
  </si>
  <si>
    <t>60.32.01.03</t>
  </si>
  <si>
    <t>Achterframe Donald Rood</t>
  </si>
  <si>
    <t>8715839039016</t>
  </si>
  <si>
    <t>60.32.01.18</t>
  </si>
  <si>
    <t>Achterframe Donald Zilver</t>
  </si>
  <si>
    <t>8715839039023</t>
  </si>
  <si>
    <t>60.32.11.03</t>
  </si>
  <si>
    <t>Achterframe Rood</t>
  </si>
  <si>
    <t>8715839039030</t>
  </si>
  <si>
    <t>60.32.12.00</t>
  </si>
  <si>
    <t>Achterframe Delta Blauw</t>
  </si>
  <si>
    <t>8715839039047</t>
  </si>
  <si>
    <t>60.32.12.03</t>
  </si>
  <si>
    <t>Achterframe ""Sunrise"" Rood</t>
  </si>
  <si>
    <t>8715839039054</t>
  </si>
  <si>
    <t>60.32.57.00</t>
  </si>
  <si>
    <t>Stuurbuis Delta, blauw</t>
  </si>
  <si>
    <t>8715839039061</t>
  </si>
  <si>
    <t>60.32.57.03</t>
  </si>
  <si>
    <t>Stuurbuis Delta, rood</t>
  </si>
  <si>
    <t>8715839039078</t>
  </si>
  <si>
    <t>60.32.57.18</t>
  </si>
  <si>
    <t>Stuurbuis Delta, Zilver</t>
  </si>
  <si>
    <t>8715839039085</t>
  </si>
  <si>
    <t>60.39.35.80</t>
  </si>
  <si>
    <t>8715839039092</t>
  </si>
  <si>
    <t>60.39.41.03</t>
  </si>
  <si>
    <t>Achterframe Sunset Rood</t>
  </si>
  <si>
    <t>8715839039108</t>
  </si>
  <si>
    <t>60.39.41.05</t>
  </si>
  <si>
    <t>Achterframe ""Sunset"" Zwart</t>
  </si>
  <si>
    <t>8715839039115</t>
  </si>
  <si>
    <t>60.39.41.09</t>
  </si>
  <si>
    <t>Achterframe Chopper Oranje</t>
  </si>
  <si>
    <t>8715839039122</t>
  </si>
  <si>
    <t>60.39.42.05</t>
  </si>
  <si>
    <t>Stoelframe Loc. Links</t>
  </si>
  <si>
    <t>8715839039139</t>
  </si>
  <si>
    <t>60.39.43.05</t>
  </si>
  <si>
    <t>Stoelframe Ch2002 Rechts</t>
  </si>
  <si>
    <t>8715839039146</t>
  </si>
  <si>
    <t>60.39.44.05</t>
  </si>
  <si>
    <t>Bovenbeugel Zwart</t>
  </si>
  <si>
    <t>8715839039153</t>
  </si>
  <si>
    <t>60.39.46.05</t>
  </si>
  <si>
    <t>Voorvork Chopper Zwart</t>
  </si>
  <si>
    <t>8715839039160</t>
  </si>
  <si>
    <t>60.39.46.18</t>
  </si>
  <si>
    <t>Voorvork Chopper Zilver</t>
  </si>
  <si>
    <t>8715839045536</t>
  </si>
  <si>
    <t>60.39.47.01</t>
  </si>
  <si>
    <t>Nummerplaat Route 66</t>
  </si>
  <si>
    <t>8715839039177</t>
  </si>
  <si>
    <t>60.39.47.05</t>
  </si>
  <si>
    <t>Nummerplaat Chopper zwart</t>
  </si>
  <si>
    <t>8715839039184</t>
  </si>
  <si>
    <t>60.44.01.00</t>
  </si>
  <si>
    <t>Voorframe Basic blauw</t>
  </si>
  <si>
    <t>8715839039191</t>
  </si>
  <si>
    <t>60.44.01.03</t>
  </si>
  <si>
    <t>Voorframe Basic rood</t>
  </si>
  <si>
    <t>8715839039207</t>
  </si>
  <si>
    <t>60.44.01.17</t>
  </si>
  <si>
    <t>Voorframe Silver</t>
  </si>
  <si>
    <t>8715839039214</t>
  </si>
  <si>
    <t>60.45.03.05</t>
  </si>
  <si>
    <t>Frame Duostoel Lux</t>
  </si>
  <si>
    <t>8715839039221</t>
  </si>
  <si>
    <t>60.45.03.15</t>
  </si>
  <si>
    <t>Beugel Duostoel</t>
  </si>
  <si>
    <t>8715839039238</t>
  </si>
  <si>
    <t>60.45.04.05</t>
  </si>
  <si>
    <t>Frame Duostoel 2000</t>
  </si>
  <si>
    <t>8715839039245</t>
  </si>
  <si>
    <t>60.47.36.80</t>
  </si>
  <si>
    <t>Remtrommel 90</t>
  </si>
  <si>
    <t>8715839039252</t>
  </si>
  <si>
    <t>60.47.40.80</t>
  </si>
  <si>
    <t>Opnamebeugel BF-7 gegalv.</t>
  </si>
  <si>
    <t>8715839039269</t>
  </si>
  <si>
    <t>60.47.75.80</t>
  </si>
  <si>
    <t>Beugel spoiler 04 Buster</t>
  </si>
  <si>
    <t>8715839039276</t>
  </si>
  <si>
    <t>60.48.05.00</t>
  </si>
  <si>
    <t>Voorframe blauw, hoog</t>
  </si>
  <si>
    <t>8715839039283</t>
  </si>
  <si>
    <t>60.48.11.00</t>
  </si>
  <si>
    <t>8715839039290</t>
  </si>
  <si>
    <t>60.48.26.00</t>
  </si>
  <si>
    <t>Frame Moby XS blauw</t>
  </si>
  <si>
    <t>8715839039306</t>
  </si>
  <si>
    <t>60.48.27.03</t>
  </si>
  <si>
    <t>Voorframe Moby XS rood</t>
  </si>
  <si>
    <t>8715839039313</t>
  </si>
  <si>
    <t>60.48.33.00</t>
  </si>
  <si>
    <t>8715839039320</t>
  </si>
  <si>
    <t>60.48.35.00</t>
  </si>
  <si>
    <t>Frame Taxi blauw</t>
  </si>
  <si>
    <t>8715839039337</t>
  </si>
  <si>
    <t>60.48.41.00</t>
  </si>
  <si>
    <t>Frame Porto blauw</t>
  </si>
  <si>
    <t>8715839039344</t>
  </si>
  <si>
    <t>60.48.42.00</t>
  </si>
  <si>
    <t>8715839039351</t>
  </si>
  <si>
    <t>60.48.61.00</t>
  </si>
  <si>
    <t>8715839039368</t>
  </si>
  <si>
    <t>60.48.81.00</t>
  </si>
  <si>
    <t>8715839039375</t>
  </si>
  <si>
    <t>60.48.81.03</t>
  </si>
  <si>
    <t>8715839039382</t>
  </si>
  <si>
    <t>60.48.82.00</t>
  </si>
  <si>
    <t>8715839039399</t>
  </si>
  <si>
    <t>60.50.01.07</t>
  </si>
  <si>
    <t>Voorframe Freestyler groen</t>
  </si>
  <si>
    <t>8715839039405</t>
  </si>
  <si>
    <t>60.50.02.07</t>
  </si>
  <si>
    <t>Achterframe Freestyler groen</t>
  </si>
  <si>
    <t>8715839039412</t>
  </si>
  <si>
    <t>60.50.03.05</t>
  </si>
  <si>
    <t>Stuurframe Freestyler zwart</t>
  </si>
  <si>
    <t>8715839039429</t>
  </si>
  <si>
    <t>60.50.04.05</t>
  </si>
  <si>
    <t>Stuurstrip Freestyler zwart</t>
  </si>
  <si>
    <t>8715839039436</t>
  </si>
  <si>
    <t>60.51.02.05</t>
  </si>
  <si>
    <t>Balhoofd Sun-set</t>
  </si>
  <si>
    <t>8715839039443</t>
  </si>
  <si>
    <t>60.52.01.05</t>
  </si>
  <si>
    <t>Frame Kipkar Vario</t>
  </si>
  <si>
    <t>8715839039450</t>
  </si>
  <si>
    <t>60.52.02.05</t>
  </si>
  <si>
    <t>Wielas Vario</t>
  </si>
  <si>
    <t>8715839039467</t>
  </si>
  <si>
    <t>60.52.04.05</t>
  </si>
  <si>
    <t>Trekboom Tandemasser</t>
  </si>
  <si>
    <t>8715839039474</t>
  </si>
  <si>
    <t>60.53.08.05</t>
  </si>
  <si>
    <t>Stoelframe Linksvoor</t>
  </si>
  <si>
    <t>8715839045994</t>
  </si>
  <si>
    <t>60.53.09.05</t>
  </si>
  <si>
    <t>Stoelframe Rechtsvoor</t>
  </si>
  <si>
    <t>8715839039481</t>
  </si>
  <si>
    <t>60.53.11.03</t>
  </si>
  <si>
    <t>Wagon, voorstuk rood</t>
  </si>
  <si>
    <t>8715839039498</t>
  </si>
  <si>
    <t>60.53.11.80</t>
  </si>
  <si>
    <t>Koppelpen wagon</t>
  </si>
  <si>
    <t>8715839039504</t>
  </si>
  <si>
    <t>60.53.12.03</t>
  </si>
  <si>
    <t>Voorframe locomotief rood</t>
  </si>
  <si>
    <t>8715839039511</t>
  </si>
  <si>
    <t>60.53.12.35</t>
  </si>
  <si>
    <t>Fusee-as loc Links</t>
  </si>
  <si>
    <t>8715839039528</t>
  </si>
  <si>
    <t>60.53.12.45</t>
  </si>
  <si>
    <t>Fuseeas loc Rechts</t>
  </si>
  <si>
    <t>8715839039535</t>
  </si>
  <si>
    <t>60.53.14.05</t>
  </si>
  <si>
    <t>Stuurstang Loc. lang</t>
  </si>
  <si>
    <t>8715839039542</t>
  </si>
  <si>
    <t>60.53.41.03</t>
  </si>
  <si>
    <t>Achterframe Clipper rood</t>
  </si>
  <si>
    <t>8715839039559</t>
  </si>
  <si>
    <t>60.53.42.03</t>
  </si>
  <si>
    <t>Voorframe Clipper rood</t>
  </si>
  <si>
    <t>8715839039566</t>
  </si>
  <si>
    <t>60.53.45.05</t>
  </si>
  <si>
    <t>Spoorstriphelft Loc/Clipper</t>
  </si>
  <si>
    <t>8715839039573</t>
  </si>
  <si>
    <t>60.53.46.05</t>
  </si>
  <si>
    <t>Anti-kiep beugel Clipper</t>
  </si>
  <si>
    <t>8715839039580</t>
  </si>
  <si>
    <t>60.53.53.05</t>
  </si>
  <si>
    <t>Steun dak voor zwart</t>
  </si>
  <si>
    <t>8715839026313</t>
  </si>
  <si>
    <t>60.53.53.15</t>
  </si>
  <si>
    <t>Steun zonnedak GranTour</t>
  </si>
  <si>
    <t>8715839039597</t>
  </si>
  <si>
    <t>60.53.53.25</t>
  </si>
  <si>
    <t>Steun zonnedak GT Wagon</t>
  </si>
  <si>
    <t>8715839039603</t>
  </si>
  <si>
    <t>60.53.56.05</t>
  </si>
  <si>
    <t>Frame dak wag voo zwart</t>
  </si>
  <si>
    <t>8715839039610</t>
  </si>
  <si>
    <t>60.53.57.05</t>
  </si>
  <si>
    <t>Steun dak03 ach ond</t>
  </si>
  <si>
    <t>8715839039627</t>
  </si>
  <si>
    <t>60.53.58.05</t>
  </si>
  <si>
    <t>Frame dak03 achter</t>
  </si>
  <si>
    <t>8715839039634</t>
  </si>
  <si>
    <t>60.53.59.05</t>
  </si>
  <si>
    <t>Frame dak03 loc voor</t>
  </si>
  <si>
    <t>8715839039641</t>
  </si>
  <si>
    <t>60.53.62.05</t>
  </si>
  <si>
    <t>Buis dak03 ach bov</t>
  </si>
  <si>
    <t>8715839039658</t>
  </si>
  <si>
    <t>60.53.70.80</t>
  </si>
  <si>
    <t>Bus Freewheel</t>
  </si>
  <si>
    <t>8715839039665</t>
  </si>
  <si>
    <t>60.53.71.00</t>
  </si>
  <si>
    <t>8715839039672</t>
  </si>
  <si>
    <t>60.53.71.03</t>
  </si>
  <si>
    <t>8715839039689</t>
  </si>
  <si>
    <t>60.53.72.80</t>
  </si>
  <si>
    <t>Achteras Loc03 L</t>
  </si>
  <si>
    <t>8715839039696</t>
  </si>
  <si>
    <t>60.53.72.81</t>
  </si>
  <si>
    <t>Achteras Loc03 R</t>
  </si>
  <si>
    <t>8715839039702</t>
  </si>
  <si>
    <t>60.53.73.81</t>
  </si>
  <si>
    <t>8715839041590</t>
  </si>
  <si>
    <t>60.53.80.05</t>
  </si>
  <si>
    <t>Achterframe GrT zwart</t>
  </si>
  <si>
    <t>8715839041606</t>
  </si>
  <si>
    <t>60.53.81.05</t>
  </si>
  <si>
    <t>Voorframe GrT zwart</t>
  </si>
  <si>
    <t>8715839039719</t>
  </si>
  <si>
    <t>60.53.89.05</t>
  </si>
  <si>
    <t>Spoorstang GranTour (65 cm)</t>
  </si>
  <si>
    <t>8715839025064</t>
  </si>
  <si>
    <t>60.53.95.05</t>
  </si>
  <si>
    <t>Wagon, voorstuk zwart</t>
  </si>
  <si>
    <t>8715839039726</t>
  </si>
  <si>
    <t>60.53.95.15</t>
  </si>
  <si>
    <t>Leuning Wagon fam zwart</t>
  </si>
  <si>
    <t>8715839041927</t>
  </si>
  <si>
    <t>60.54.00.38</t>
  </si>
  <si>
    <t>Lipborgplaat omleid-rol BF-3</t>
  </si>
  <si>
    <t>8715839039733</t>
  </si>
  <si>
    <t>60.54.00.80</t>
  </si>
  <si>
    <t>Remanker naaf</t>
  </si>
  <si>
    <t>8715839039740</t>
  </si>
  <si>
    <t>60.54.02.00</t>
  </si>
  <si>
    <t>Achtk Buster AF blauw</t>
  </si>
  <si>
    <t>8715839039757</t>
  </si>
  <si>
    <t>60.54.02.05</t>
  </si>
  <si>
    <t>Achterframe zwart</t>
  </si>
  <si>
    <t>8715839039764</t>
  </si>
  <si>
    <t>60.54.12.80</t>
  </si>
  <si>
    <t>Binnenbuis</t>
  </si>
  <si>
    <t>8715839039771</t>
  </si>
  <si>
    <t>60.54.14.05</t>
  </si>
  <si>
    <t>Stuurbuis Buster</t>
  </si>
  <si>
    <t>8715839041934</t>
  </si>
  <si>
    <t>60.54.23.80</t>
  </si>
  <si>
    <t>Remankerplaat 05 gegalv.</t>
  </si>
  <si>
    <t>8715839041941</t>
  </si>
  <si>
    <t>60.54.23.81</t>
  </si>
  <si>
    <t>Remankerring 05 gegalv.</t>
  </si>
  <si>
    <t>8715839039788</t>
  </si>
  <si>
    <t>60.54.25.80</t>
  </si>
  <si>
    <t>Opnamebeugel BF-3 gegalv.</t>
  </si>
  <si>
    <t>8715839039795</t>
  </si>
  <si>
    <t>60.54.38.06</t>
  </si>
  <si>
    <t>Remstang geel</t>
  </si>
  <si>
    <t>8715839039801</t>
  </si>
  <si>
    <t>60.54.38.17</t>
  </si>
  <si>
    <t>Remstang groen</t>
  </si>
  <si>
    <t>8715839039818</t>
  </si>
  <si>
    <t>60.54.61.00</t>
  </si>
  <si>
    <t>Achterframe Buster BF blauw</t>
  </si>
  <si>
    <t>8715839039825</t>
  </si>
  <si>
    <t>60.54.61.06</t>
  </si>
  <si>
    <t>Achterframe Buster BF geel</t>
  </si>
  <si>
    <t>8715839039832</t>
  </si>
  <si>
    <t>60.54.61.17</t>
  </si>
  <si>
    <t>Achterframe Buster BF groen</t>
  </si>
  <si>
    <t>8715839039849</t>
  </si>
  <si>
    <t>60.54.63.80</t>
  </si>
  <si>
    <t>8715839046915</t>
  </si>
  <si>
    <t>60.54.63.81</t>
  </si>
  <si>
    <t>Vastzetrem 2013</t>
  </si>
  <si>
    <t>8715839039856</t>
  </si>
  <si>
    <t>60.54.67.03</t>
  </si>
  <si>
    <t>Achterframe Rood, ronde buis</t>
  </si>
  <si>
    <t>8715839039863</t>
  </si>
  <si>
    <t>60.54.67.06</t>
  </si>
  <si>
    <t>Achterframe Buster AF Geel</t>
  </si>
  <si>
    <t>8715839039870</t>
  </si>
  <si>
    <t>60.54.71.00</t>
  </si>
  <si>
    <t>Voorframe Buster Blauw</t>
  </si>
  <si>
    <t>8715839039887</t>
  </si>
  <si>
    <t>60.54.71.03</t>
  </si>
  <si>
    <t>Voorframe Buster Rood</t>
  </si>
  <si>
    <t>8715839039894</t>
  </si>
  <si>
    <t>60.54.71.06</t>
  </si>
  <si>
    <t>Voorframe Buster Geel</t>
  </si>
  <si>
    <t>8715839039900</t>
  </si>
  <si>
    <t>60.54.71.17</t>
  </si>
  <si>
    <t>Voorframe Buster groen</t>
  </si>
  <si>
    <t>8715839039917</t>
  </si>
  <si>
    <t>60.54.73.80</t>
  </si>
  <si>
    <t>Beugel dynamo</t>
  </si>
  <si>
    <t>8715839039924</t>
  </si>
  <si>
    <t>60.56.03.80</t>
  </si>
  <si>
    <t>Aandrijfkoker schijfrem</t>
  </si>
  <si>
    <t>8715839039931</t>
  </si>
  <si>
    <t>60.56.04.05</t>
  </si>
  <si>
    <t>Ashuis links zwart</t>
  </si>
  <si>
    <t>8715839039948</t>
  </si>
  <si>
    <t>60.59.03.05</t>
  </si>
  <si>
    <t>Stuur BalanzBike zwart</t>
  </si>
  <si>
    <t>8715839039955</t>
  </si>
  <si>
    <t>60.59.03.18</t>
  </si>
  <si>
    <t>Stuur BalanzBike zilver</t>
  </si>
  <si>
    <t>8715839039962</t>
  </si>
  <si>
    <t>60.59.04.05</t>
  </si>
  <si>
    <t>Achterbeugel BalanzBike Extenz</t>
  </si>
  <si>
    <t>8715839039979</t>
  </si>
  <si>
    <t>60.59.06.25</t>
  </si>
  <si>
    <t>Achterbeugel BalanzBike Bazzic</t>
  </si>
  <si>
    <t>8715839039986</t>
  </si>
  <si>
    <t>60.59.22.05</t>
  </si>
  <si>
    <t>Achterbeugel BalanzBike Prof</t>
  </si>
  <si>
    <t>8715839039993</t>
  </si>
  <si>
    <t>60.59.31.18</t>
  </si>
  <si>
    <t>Achterframe BalanzB XL zilver</t>
  </si>
  <si>
    <t>8715839040005</t>
  </si>
  <si>
    <t>60.59.32.03</t>
  </si>
  <si>
    <t>Voorframe BalanzBike XL rood</t>
  </si>
  <si>
    <t>8715839041958</t>
  </si>
  <si>
    <t>60.59.33.81</t>
  </si>
  <si>
    <t>Plaat wiel BalanzBike BF</t>
  </si>
  <si>
    <t>8715839041965</t>
  </si>
  <si>
    <t>60.59.33.82</t>
  </si>
  <si>
    <t>Plaat wiel BalanzBike BF Opsl</t>
  </si>
  <si>
    <t>8715839041972</t>
  </si>
  <si>
    <t>60.59.33.83</t>
  </si>
  <si>
    <t>Plaat wiel BalanzBike BF-3</t>
  </si>
  <si>
    <t>8715839040012</t>
  </si>
  <si>
    <t>60.60.30.80</t>
  </si>
  <si>
    <t>Klem hefinrichting</t>
  </si>
  <si>
    <t>8715839040029</t>
  </si>
  <si>
    <t>60.60.31.05</t>
  </si>
  <si>
    <t>Drukstang hefinrichting</t>
  </si>
  <si>
    <t>8715839040036</t>
  </si>
  <si>
    <t>60.60.33.81</t>
  </si>
  <si>
    <t>Beugel Hefinrichting</t>
  </si>
  <si>
    <t>8715839040043</t>
  </si>
  <si>
    <t>60.60.35.80</t>
  </si>
  <si>
    <t>Bevestiging topstang hefinr.</t>
  </si>
  <si>
    <t>8715839040050</t>
  </si>
  <si>
    <t>60.60.36.80</t>
  </si>
  <si>
    <t>Topstang hefinrichting</t>
  </si>
  <si>
    <t>8715839040067</t>
  </si>
  <si>
    <t>60.60.40.80</t>
  </si>
  <si>
    <t>Pal topstang hefinrichting</t>
  </si>
  <si>
    <t>8715839040074</t>
  </si>
  <si>
    <t>60.60.41.05</t>
  </si>
  <si>
    <t>Draaipunt Hefinrichting</t>
  </si>
  <si>
    <t>8715839040081</t>
  </si>
  <si>
    <t>60.60.42.05</t>
  </si>
  <si>
    <t>Hendel voor Hefinrichting</t>
  </si>
  <si>
    <t>8715839040098</t>
  </si>
  <si>
    <t>60.60.72.05</t>
  </si>
  <si>
    <t>Hefboom voor Fronthefinrichtin</t>
  </si>
  <si>
    <t>8715839040104</t>
  </si>
  <si>
    <t>60.61.01.03</t>
  </si>
  <si>
    <t>Achterframe Compact rood</t>
  </si>
  <si>
    <t>8715839040111</t>
  </si>
  <si>
    <t>60.61.01.06</t>
  </si>
  <si>
    <t>Achterframe Compact geel</t>
  </si>
  <si>
    <t>8715839040128</t>
  </si>
  <si>
    <t>60.61.01.13</t>
  </si>
  <si>
    <t>Achterframe Compact paars</t>
  </si>
  <si>
    <t>8715839040135</t>
  </si>
  <si>
    <t>60.61.01.16</t>
  </si>
  <si>
    <t>Achterframe Compact Goud</t>
  </si>
  <si>
    <t>8715839040142</t>
  </si>
  <si>
    <t>60.61.01.17</t>
  </si>
  <si>
    <t>Achterframe Compact RAL 6003</t>
  </si>
  <si>
    <t>8715839040159</t>
  </si>
  <si>
    <t>60.61.02.03</t>
  </si>
  <si>
    <t>Remstang Compact rood</t>
  </si>
  <si>
    <t>8715839040166</t>
  </si>
  <si>
    <t>60.61.02.06</t>
  </si>
  <si>
    <t>Remstang Compact geel</t>
  </si>
  <si>
    <t>8715839040173</t>
  </si>
  <si>
    <t>60.61.02.13</t>
  </si>
  <si>
    <t>Remstang Compact paars</t>
  </si>
  <si>
    <t>8715839040180</t>
  </si>
  <si>
    <t>60.61.02.16</t>
  </si>
  <si>
    <t>Remstang Compact goud</t>
  </si>
  <si>
    <t>8715839040197</t>
  </si>
  <si>
    <t>60.61.02.17</t>
  </si>
  <si>
    <t>Remstang Compact RAL 6003</t>
  </si>
  <si>
    <t>8715839040203</t>
  </si>
  <si>
    <t>60.61.03.05</t>
  </si>
  <si>
    <t>Stoelframe Compact</t>
  </si>
  <si>
    <t>8715839040210</t>
  </si>
  <si>
    <t>60.61.04.03</t>
  </si>
  <si>
    <t>Frame voor Achterspoiler MID</t>
  </si>
  <si>
    <t>8715839040227</t>
  </si>
  <si>
    <t>60.61.11.06</t>
  </si>
  <si>
    <t>Voorframe Compact geel</t>
  </si>
  <si>
    <t>8715839040234</t>
  </si>
  <si>
    <t>60.61.11.13</t>
  </si>
  <si>
    <t>Voorframe Compact paars</t>
  </si>
  <si>
    <t>8715839040241</t>
  </si>
  <si>
    <t>60.61.11.16</t>
  </si>
  <si>
    <t>Voorframe Compact Goud</t>
  </si>
  <si>
    <t>8715839040258</t>
  </si>
  <si>
    <t>60.61.11.17</t>
  </si>
  <si>
    <t>Voorframe Compact RAL 6003</t>
  </si>
  <si>
    <t>8715839040265</t>
  </si>
  <si>
    <t>60.61.14.05</t>
  </si>
  <si>
    <t>Steun stuurinrichting Compact</t>
  </si>
  <si>
    <t>8715839040272</t>
  </si>
  <si>
    <t>60.61.15.03</t>
  </si>
  <si>
    <t>Stuurbuis Compact rood</t>
  </si>
  <si>
    <t>8715839040289</t>
  </si>
  <si>
    <t>60.61.15.06</t>
  </si>
  <si>
    <t>Stuurbuis Compact geel</t>
  </si>
  <si>
    <t>8715839040296</t>
  </si>
  <si>
    <t>60.61.15.13</t>
  </si>
  <si>
    <t>Stuurbuis Compact paars</t>
  </si>
  <si>
    <t>8715839040302</t>
  </si>
  <si>
    <t>60.61.15.16</t>
  </si>
  <si>
    <t>Stuurbuis Compact Goud</t>
  </si>
  <si>
    <t>8715839040319</t>
  </si>
  <si>
    <t>60.61.15.17</t>
  </si>
  <si>
    <t>Stuurbuis Compact RAL 6003</t>
  </si>
  <si>
    <t>8715839040326</t>
  </si>
  <si>
    <t>60.61.21.03</t>
  </si>
  <si>
    <t>Voorframe Ferrari MID</t>
  </si>
  <si>
    <t>8715839040333</t>
  </si>
  <si>
    <t>60.61.24.05</t>
  </si>
  <si>
    <t>Steun stuurinrichting MID</t>
  </si>
  <si>
    <t>8715839024494</t>
  </si>
  <si>
    <t>60.62.13.05</t>
  </si>
  <si>
    <t>Stuurstrip Triggy</t>
  </si>
  <si>
    <t>8715839040340</t>
  </si>
  <si>
    <t>60.63.01.05</t>
  </si>
  <si>
    <t>Onderbeugel Rolbeugel</t>
  </si>
  <si>
    <t>8715839040357</t>
  </si>
  <si>
    <t>60.63.01.18</t>
  </si>
  <si>
    <t>Rolbeugel Race, Los</t>
  </si>
  <si>
    <t>8715839040364</t>
  </si>
  <si>
    <t>60.63.07.05</t>
  </si>
  <si>
    <t>Rolbeugel Off-Road zwart</t>
  </si>
  <si>
    <t>8715839040371</t>
  </si>
  <si>
    <t>60.63.08.15</t>
  </si>
  <si>
    <t>Rolbeugel Race, wit</t>
  </si>
  <si>
    <t>8715839040388</t>
  </si>
  <si>
    <t>60.63.09.18</t>
  </si>
  <si>
    <t>Rolbeugel Zilver, Los</t>
  </si>
  <si>
    <t>8715839040395</t>
  </si>
  <si>
    <t>60.63.20.05</t>
  </si>
  <si>
    <t>Frame voor reservewiel</t>
  </si>
  <si>
    <t>8715839050868</t>
  </si>
  <si>
    <t>60.67.30.02</t>
  </si>
  <si>
    <t>Pivot Left Buzzy</t>
  </si>
  <si>
    <t>8715839040401</t>
  </si>
  <si>
    <t>62.02.01.19</t>
  </si>
  <si>
    <t>Reparatieplaatje stoelverstell</t>
  </si>
  <si>
    <t>8715839045345</t>
  </si>
  <si>
    <t>62.07.15.01</t>
  </si>
  <si>
    <t>Side bracket Mod. Beach Wagon</t>
  </si>
  <si>
    <t>8715839040418</t>
  </si>
  <si>
    <t>62.17.41.00</t>
  </si>
  <si>
    <t>Wielas 526.5</t>
  </si>
  <si>
    <t>8715839040425</t>
  </si>
  <si>
    <t>62.30.08.21</t>
  </si>
  <si>
    <t>Onderpoot Fa/Ch 9ft (270)</t>
  </si>
  <si>
    <t>8715839040432</t>
  </si>
  <si>
    <t>62.30.20.01</t>
  </si>
  <si>
    <t>Toprail  Elite 14ft (430)</t>
  </si>
  <si>
    <t>8715839040449</t>
  </si>
  <si>
    <t>62.30.21.01</t>
  </si>
  <si>
    <t>Onderpoot Elite 14 ft (430)</t>
  </si>
  <si>
    <t>8715839040456</t>
  </si>
  <si>
    <t>62.30.28.01</t>
  </si>
  <si>
    <t>Toprail  Champion 14 ft (430)</t>
  </si>
  <si>
    <t>8715839044393</t>
  </si>
  <si>
    <t>62.30.28.06</t>
  </si>
  <si>
    <t>8715839040463</t>
  </si>
  <si>
    <t>62.30.28.12</t>
  </si>
  <si>
    <t>Tussenpoot Ch 14ft (430) -3</t>
  </si>
  <si>
    <t>8715839040470</t>
  </si>
  <si>
    <t>62.30.28.21</t>
  </si>
  <si>
    <t>Onderpoot Champion 14 ft (430)</t>
  </si>
  <si>
    <t>8715839044409</t>
  </si>
  <si>
    <t>62.30.28.25</t>
  </si>
  <si>
    <t>Onderpoot Champion 430, zwart</t>
  </si>
  <si>
    <t>8715839040487</t>
  </si>
  <si>
    <t>62.30.29.04</t>
  </si>
  <si>
    <t>Toprail F 14ft (430)</t>
  </si>
  <si>
    <t>8715839040494</t>
  </si>
  <si>
    <t>62.30.29.12</t>
  </si>
  <si>
    <t>Tussen poot Favorit</t>
  </si>
  <si>
    <t>8715839027556</t>
  </si>
  <si>
    <t>62.30.29.13</t>
  </si>
  <si>
    <t>Tussenpoot Favorit</t>
  </si>
  <si>
    <t>8715839044416</t>
  </si>
  <si>
    <t>62.30.29.21</t>
  </si>
  <si>
    <t>Onderpoot F/C 14ft (430)</t>
  </si>
  <si>
    <t>8715839040517</t>
  </si>
  <si>
    <t>62.30.30.01</t>
  </si>
  <si>
    <t>Toprail  Elite 11ft (330)</t>
  </si>
  <si>
    <t>8715839040524</t>
  </si>
  <si>
    <t>62.30.31.01</t>
  </si>
  <si>
    <t>Onderpoot Elite 11 ft (330)</t>
  </si>
  <si>
    <t>8715839040531</t>
  </si>
  <si>
    <t>62.30.32.01</t>
  </si>
  <si>
    <t>Tussen poot Elite</t>
  </si>
  <si>
    <t>8715839040548</t>
  </si>
  <si>
    <t>62.30.38.01</t>
  </si>
  <si>
    <t>Toprail  Champion 11ft (330)</t>
  </si>
  <si>
    <t>8715839040555</t>
  </si>
  <si>
    <t>62.30.38.21</t>
  </si>
  <si>
    <t>Onderpoot Champion 11ft (330)</t>
  </si>
  <si>
    <t>8715839040562</t>
  </si>
  <si>
    <t>62.30.38.25</t>
  </si>
  <si>
    <t>8715839040579</t>
  </si>
  <si>
    <t>62.30.39.01</t>
  </si>
  <si>
    <t>Toprail F 11ft (330)</t>
  </si>
  <si>
    <t>8715839040586</t>
  </si>
  <si>
    <t>62.30.39.21</t>
  </si>
  <si>
    <t>Onderpoot Favorit 11ft (330)</t>
  </si>
  <si>
    <t>8715839027563</t>
  </si>
  <si>
    <t>62.30.48.01</t>
  </si>
  <si>
    <t>Toprail  Champion  380</t>
  </si>
  <si>
    <t>8715839044423</t>
  </si>
  <si>
    <t>62.30.48.11</t>
  </si>
  <si>
    <t>Tussen poot Champion</t>
  </si>
  <si>
    <t>8715839044430</t>
  </si>
  <si>
    <t>62.30.48.15</t>
  </si>
  <si>
    <t>Tussen poot Champion Zwart</t>
  </si>
  <si>
    <t>8715839027570</t>
  </si>
  <si>
    <t>62.30.48.21</t>
  </si>
  <si>
    <t>Onderpoot Champion 380</t>
  </si>
  <si>
    <t>8715839040609</t>
  </si>
  <si>
    <t>62.30.49.01</t>
  </si>
  <si>
    <t>Toprail F 12,5ft (380)</t>
  </si>
  <si>
    <t>8715839040616</t>
  </si>
  <si>
    <t>62.30.49.02</t>
  </si>
  <si>
    <t>8715839040623</t>
  </si>
  <si>
    <t>62.30.49.21</t>
  </si>
  <si>
    <t>Onderpoot Fa 12,5ft (380)</t>
  </si>
  <si>
    <t>8715839044447</t>
  </si>
  <si>
    <t>62.30.58.01</t>
  </si>
  <si>
    <t>Toprail  Champion 15 ft (460)</t>
  </si>
  <si>
    <t>8715839040630</t>
  </si>
  <si>
    <t>62.30.58.21</t>
  </si>
  <si>
    <t>Onderpoot Champion 15 ft (460)</t>
  </si>
  <si>
    <t>8715839040647</t>
  </si>
  <si>
    <t>62.36.30.11</t>
  </si>
  <si>
    <t>Tussen poot Elfje</t>
  </si>
  <si>
    <t>8715839040654</t>
  </si>
  <si>
    <t>62.36.36.01</t>
  </si>
  <si>
    <t>Toprail Elfje 360</t>
  </si>
  <si>
    <t>8715839040661</t>
  </si>
  <si>
    <t>62.36.36.11</t>
  </si>
  <si>
    <t>Tussen poot  Elfje 3.6/4.3</t>
  </si>
  <si>
    <t>8715839040678</t>
  </si>
  <si>
    <t>62.36.36.21</t>
  </si>
  <si>
    <t>Onderpoot Elfje 360</t>
  </si>
  <si>
    <t>8715839040685</t>
  </si>
  <si>
    <t>62.36.43.01</t>
  </si>
  <si>
    <t>Toprail Elfje 430</t>
  </si>
  <si>
    <t>8715839040692</t>
  </si>
  <si>
    <t>62.36.43.21</t>
  </si>
  <si>
    <t>Onderpoot Elfje 430</t>
  </si>
  <si>
    <t>8715839027594</t>
  </si>
  <si>
    <t>62.36.62.04</t>
  </si>
  <si>
    <t>Toprail  Hawai kop</t>
  </si>
  <si>
    <t>8715839027600</t>
  </si>
  <si>
    <t>62.36.62.11</t>
  </si>
  <si>
    <t>Tussenpoot Hawai</t>
  </si>
  <si>
    <t>8715839040708</t>
  </si>
  <si>
    <t>62.36.62.21</t>
  </si>
  <si>
    <t>Onderpoot Elfje Hawai</t>
  </si>
  <si>
    <t>8715839027617</t>
  </si>
  <si>
    <t>62.36.62.31</t>
  </si>
  <si>
    <t>Schoor Elfje Hawai</t>
  </si>
  <si>
    <t>8715839057553</t>
  </si>
  <si>
    <t>62.37.00.75</t>
  </si>
  <si>
    <t>Wheel spacer 1 Compact&amp;XL</t>
  </si>
  <si>
    <t>8715839057447</t>
  </si>
  <si>
    <t>62.37.00.76</t>
  </si>
  <si>
    <t>Wheel spacer 2 Compact&amp;XL</t>
  </si>
  <si>
    <t>8715839057454</t>
  </si>
  <si>
    <t>62.37.00.77</t>
  </si>
  <si>
    <t>Wheel spacer 3 Compact&amp;XL</t>
  </si>
  <si>
    <t>8715839040715</t>
  </si>
  <si>
    <t>62.48.07.00</t>
  </si>
  <si>
    <t>Wielas 559 getapt m10</t>
  </si>
  <si>
    <t>8715839040722</t>
  </si>
  <si>
    <t>62.48.08.00</t>
  </si>
  <si>
    <t>Wielas 606.5 mm getapt (luchtb</t>
  </si>
  <si>
    <t>8715839040739</t>
  </si>
  <si>
    <t>62.52.03.00</t>
  </si>
  <si>
    <t>Wielas 490 mm getapt Vario</t>
  </si>
  <si>
    <t>8715839040746</t>
  </si>
  <si>
    <t>62.53.72.50</t>
  </si>
  <si>
    <t>Trommelrem 90 L</t>
  </si>
  <si>
    <t>8715839040753</t>
  </si>
  <si>
    <t>62.53.72.51</t>
  </si>
  <si>
    <t>Trommelrem 90 R</t>
  </si>
  <si>
    <t>8715839040760</t>
  </si>
  <si>
    <t>62.58.13.01</t>
  </si>
  <si>
    <t>Toprail  EazyStore kop</t>
  </si>
  <si>
    <t>8715839040777</t>
  </si>
  <si>
    <t>62.58.14.01</t>
  </si>
  <si>
    <t>Toprail  EazyStore langs</t>
  </si>
  <si>
    <t>8715839040784</t>
  </si>
  <si>
    <t>62.58.18.01</t>
  </si>
  <si>
    <t>Onderpoot EazyStore</t>
  </si>
  <si>
    <t>8715839041989</t>
  </si>
  <si>
    <t>62.99.50.05</t>
  </si>
  <si>
    <t>Wielas 128mm</t>
  </si>
  <si>
    <t>8715839025408</t>
  </si>
  <si>
    <t>65.00.01.00</t>
  </si>
  <si>
    <t>Fairy slide</t>
  </si>
  <si>
    <t>8715839025422</t>
  </si>
  <si>
    <t>65.00.02.00</t>
  </si>
  <si>
    <t>Castle slide</t>
  </si>
  <si>
    <t>8715839025668</t>
  </si>
  <si>
    <t>65.11.01.00</t>
  </si>
  <si>
    <t>Fairy M-line front/back</t>
  </si>
  <si>
    <t>8715839025682</t>
  </si>
  <si>
    <t>65.11.02.00</t>
  </si>
  <si>
    <t>Fairy M-line roof</t>
  </si>
  <si>
    <t>8715839025675</t>
  </si>
  <si>
    <t>65.11.03.00</t>
  </si>
  <si>
    <t>Fairy M-line side panel</t>
  </si>
  <si>
    <t>8715839025699</t>
  </si>
  <si>
    <t>65.11.04.00</t>
  </si>
  <si>
    <t>Fairy M3 frame</t>
  </si>
  <si>
    <t>8715839025958</t>
  </si>
  <si>
    <t>65.12.01.00</t>
  </si>
  <si>
    <t>Fairy L/XL-line front/back</t>
  </si>
  <si>
    <t>8715839025972</t>
  </si>
  <si>
    <t>65.12.02.00</t>
  </si>
  <si>
    <t>Fairy L/XL-line roof</t>
  </si>
  <si>
    <t>8715839025965</t>
  </si>
  <si>
    <t>65.12.03.00</t>
  </si>
  <si>
    <t>Fairy L-line side panel</t>
  </si>
  <si>
    <t>8715839026207</t>
  </si>
  <si>
    <t>65.12.04.00</t>
  </si>
  <si>
    <t>Fairy L2 frame</t>
  </si>
  <si>
    <t>8715839025989</t>
  </si>
  <si>
    <t>65.12.05.00</t>
  </si>
  <si>
    <t>Fairy L2 veranda</t>
  </si>
  <si>
    <t>8715839025996</t>
  </si>
  <si>
    <t>65.12.06.00</t>
  </si>
  <si>
    <t>Fairy L3 frame</t>
  </si>
  <si>
    <t>8715839026009</t>
  </si>
  <si>
    <t>65.12.07.00</t>
  </si>
  <si>
    <t>Fairy L3 veranda</t>
  </si>
  <si>
    <t>8715839026078</t>
  </si>
  <si>
    <t>65.21.01.00</t>
  </si>
  <si>
    <t>Castle M2 ladder/floor/flags</t>
  </si>
  <si>
    <t>8715839026085</t>
  </si>
  <si>
    <t>65.21.02.00</t>
  </si>
  <si>
    <t>Castle M2 front/back</t>
  </si>
  <si>
    <t>8715839026092</t>
  </si>
  <si>
    <t>65.21.03.00</t>
  </si>
  <si>
    <t>Castle M2 side panel</t>
  </si>
  <si>
    <t>8715839045246</t>
  </si>
  <si>
    <t>80.07.11.01</t>
  </si>
  <si>
    <t>Front frm Beach Wag. Weld sub2</t>
  </si>
  <si>
    <t>8715839045239</t>
  </si>
  <si>
    <t>80.07.11.03</t>
  </si>
  <si>
    <t>Front frm Beach Wag. Weld sub1</t>
  </si>
  <si>
    <t>8715839045321</t>
  </si>
  <si>
    <t>80.07.12.02</t>
  </si>
  <si>
    <t>Front support Mod. Beach Wagon</t>
  </si>
  <si>
    <t>8715839045338</t>
  </si>
  <si>
    <t>80.07.13.02</t>
  </si>
  <si>
    <t>Rear frame Mod. Beach Wagon</t>
  </si>
  <si>
    <t>8715839040791</t>
  </si>
  <si>
    <t>80.30.08.00</t>
  </si>
  <si>
    <t>Toprail  Fa/Ch 9ft (270)</t>
  </si>
  <si>
    <t>8715839040807</t>
  </si>
  <si>
    <t>80.30.20.00</t>
  </si>
  <si>
    <t>Toprail gelast Elite 430</t>
  </si>
  <si>
    <t>8715839040814</t>
  </si>
  <si>
    <t>80.30.26.00</t>
  </si>
  <si>
    <t>Onderpoot InGround 270+430</t>
  </si>
  <si>
    <t>8715839027808</t>
  </si>
  <si>
    <t>80.30.27.00</t>
  </si>
  <si>
    <t>Toprail  InGround 270</t>
  </si>
  <si>
    <t>8715839040821</t>
  </si>
  <si>
    <t>80.30.28.01</t>
  </si>
  <si>
    <t>Toprail C gelast 14 ft (430)</t>
  </si>
  <si>
    <t>8715839044454</t>
  </si>
  <si>
    <t>80.30.28.02</t>
  </si>
  <si>
    <t>8715839040838</t>
  </si>
  <si>
    <t>80.30.29.01</t>
  </si>
  <si>
    <t>Toprail  F. 14ft (430) sokken</t>
  </si>
  <si>
    <t>8715839040845</t>
  </si>
  <si>
    <t>80.30.30.00</t>
  </si>
  <si>
    <t>Toprail gelast Elite 330</t>
  </si>
  <si>
    <t>8715839044461</t>
  </si>
  <si>
    <t>80.30.36.00</t>
  </si>
  <si>
    <t>Onderpoot InGround 330</t>
  </si>
  <si>
    <t>8715839030365</t>
  </si>
  <si>
    <t>80.30.38.00</t>
  </si>
  <si>
    <t>Toprail C gelast 11ft (330)</t>
  </si>
  <si>
    <t>8715839040869</t>
  </si>
  <si>
    <t>80.30.39.00</t>
  </si>
  <si>
    <t>Toprail  F 11ft (330)</t>
  </si>
  <si>
    <t>8715839044478</t>
  </si>
  <si>
    <t>80.30.46.00</t>
  </si>
  <si>
    <t>Onderpoot InGround 380</t>
  </si>
  <si>
    <t>8715839040883</t>
  </si>
  <si>
    <t>80.30.48.00</t>
  </si>
  <si>
    <t>Toprail C gelast 12,5 ft (380)</t>
  </si>
  <si>
    <t>8715839027631</t>
  </si>
  <si>
    <t>80.30.49.00</t>
  </si>
  <si>
    <t>Toprail  F 12,5ft (380)</t>
  </si>
  <si>
    <t>8715839027648</t>
  </si>
  <si>
    <t>80.30.49.01</t>
  </si>
  <si>
    <t>Toprail gelast  F 12,5ft (380)</t>
  </si>
  <si>
    <t>8715839027655</t>
  </si>
  <si>
    <t>80.30.58.00</t>
  </si>
  <si>
    <t>Toprail C gelast 15 ft (460)</t>
  </si>
  <si>
    <t>8715839040890</t>
  </si>
  <si>
    <t>80.36.30.00</t>
  </si>
  <si>
    <t>Toprail Elfje 300 gelast</t>
  </si>
  <si>
    <t>8715839040906</t>
  </si>
  <si>
    <t>80.36.36.00</t>
  </si>
  <si>
    <t>Toprail Elfje 360 gelast</t>
  </si>
  <si>
    <t>8715839040913</t>
  </si>
  <si>
    <t>80.36.43.00</t>
  </si>
  <si>
    <t>Toprail Elfje 430 gelast</t>
  </si>
  <si>
    <t>8715839027662</t>
  </si>
  <si>
    <t>80.36.62.00</t>
  </si>
  <si>
    <t>Toprail  Hawai lang</t>
  </si>
  <si>
    <t>8715839040920</t>
  </si>
  <si>
    <t>80.58.11.00</t>
  </si>
  <si>
    <t>Toprail  EazyStore 1/2</t>
  </si>
  <si>
    <t>8715839040937</t>
  </si>
  <si>
    <t>80.58.12.00</t>
  </si>
  <si>
    <t>Toprail  EazyStore 2/2</t>
  </si>
  <si>
    <t>8715839040944</t>
  </si>
  <si>
    <t>80.58.15.00</t>
  </si>
  <si>
    <t>Tussen poot  EazyStore 1/2</t>
  </si>
  <si>
    <t>8715839040951</t>
  </si>
  <si>
    <t>80.58.16.00</t>
  </si>
  <si>
    <t>Tussen poot  EazyStore 2/2</t>
  </si>
  <si>
    <t>8715839040968</t>
  </si>
  <si>
    <t>80.58.17.00</t>
  </si>
  <si>
    <t>Onderpoot EazyStore gelast</t>
  </si>
  <si>
    <t>8715839056297</t>
  </si>
  <si>
    <t>99.00.00.00</t>
  </si>
  <si>
    <t>Dummy (tijdelijke vervanging van vervallen items in BOM's)</t>
  </si>
  <si>
    <t>8715839040975</t>
  </si>
  <si>
    <t>99.99.99.99</t>
  </si>
  <si>
    <t>Tekstregel - MAX 30 tekens!!</t>
  </si>
  <si>
    <t>BERG Weather Cover Extra EazyFit (220x330)</t>
  </si>
  <si>
    <t>BERG Weather Cover Extra Grey 330 (11ft)</t>
  </si>
  <si>
    <t>BERG Weather Cover Extra Grey 380 (12,5ft)</t>
  </si>
  <si>
    <t>EP</t>
  </si>
  <si>
    <t>Consument</t>
  </si>
  <si>
    <t>EP USD</t>
  </si>
  <si>
    <t>EP Ireland</t>
  </si>
  <si>
    <t>EP UK</t>
  </si>
  <si>
    <t>sales</t>
  </si>
  <si>
    <t>Statistiekcode</t>
  </si>
  <si>
    <t>Netto weight</t>
  </si>
  <si>
    <t>Status</t>
  </si>
  <si>
    <t>Product name de</t>
  </si>
  <si>
    <t>Product name fr</t>
  </si>
  <si>
    <t>Product name en-us</t>
  </si>
  <si>
    <t>Standard order quantity</t>
  </si>
  <si>
    <t>Stopped Inkoop</t>
  </si>
  <si>
    <t>Stopped voorraad</t>
  </si>
  <si>
    <t>Stopped Verkoop</t>
  </si>
  <si>
    <t>Default order type</t>
  </si>
  <si>
    <t>Prijs CONS</t>
  </si>
  <si>
    <t>Valuta CONS</t>
  </si>
  <si>
    <t>Price EP</t>
  </si>
  <si>
    <t>Currency EP</t>
  </si>
  <si>
    <t>Price EPUSD</t>
  </si>
  <si>
    <t>Currency EPUSD</t>
  </si>
  <si>
    <t>Price IRELAND</t>
  </si>
  <si>
    <t>Currency IRELAND</t>
  </si>
  <si>
    <t>Price UK</t>
  </si>
  <si>
    <t>Currency UK</t>
  </si>
  <si>
    <t>Price WEBSHOP</t>
  </si>
  <si>
    <t>Currency WEBSHOP</t>
  </si>
  <si>
    <t/>
  </si>
  <si>
    <t>95030010</t>
  </si>
  <si>
    <t>ACTIVE</t>
  </si>
  <si>
    <t>350653</t>
  </si>
  <si>
    <t>BERG 2-Ton Signalhupe</t>
  </si>
  <si>
    <t>BERG Klaxon 2 tonalités</t>
  </si>
  <si>
    <t>BERG Horn 2-tones</t>
  </si>
  <si>
    <t>Purchase order</t>
  </si>
  <si>
    <t>EUR</t>
  </si>
  <si>
    <t>USD</t>
  </si>
  <si>
    <t>GBP</t>
  </si>
  <si>
    <t>BERG Sirène</t>
  </si>
  <si>
    <t>BERG Siren</t>
  </si>
  <si>
    <t>BERG Spiegel-Set</t>
  </si>
  <si>
    <t>BERG Set de rétroviseurs</t>
  </si>
  <si>
    <t>BERG Mirror set</t>
  </si>
  <si>
    <t>BERG Beleuchtungs-Set</t>
  </si>
  <si>
    <t>BERG Set d 'éclairage</t>
  </si>
  <si>
    <t>BERG Light set</t>
  </si>
  <si>
    <t>BERG LED rot</t>
  </si>
  <si>
    <t>BERG LED rouge</t>
  </si>
  <si>
    <t>BERG LED red</t>
  </si>
  <si>
    <t>BERG Sirène pour Buddy</t>
  </si>
  <si>
    <t>BERG Buddy Siren</t>
  </si>
  <si>
    <t>BERG Blaues Gehäuse für Rundumlicht</t>
  </si>
  <si>
    <t>BERG Cache bleu pour gyrophare</t>
  </si>
  <si>
    <t>BERG Flashing light cover blue</t>
  </si>
  <si>
    <t>BERG Buddy Anhängerkupplung</t>
  </si>
  <si>
    <t>BERG Attache remorque pour Buddy</t>
  </si>
  <si>
    <t>BERG Buddy Towbar</t>
  </si>
  <si>
    <t>BERG Buddy Rundumlicht Orange</t>
  </si>
  <si>
    <t>BERG Gyrophare orange pour Buddy</t>
  </si>
  <si>
    <t>BERG Buddy Flashing light orange</t>
  </si>
  <si>
    <t>BERG Buddy Fahne</t>
  </si>
  <si>
    <t>BERG Drapeau pour Buddy</t>
  </si>
  <si>
    <t>BERG Buddy Vlag</t>
  </si>
  <si>
    <t>BERG Buddy Flag</t>
  </si>
  <si>
    <t>BERG LED weiß</t>
  </si>
  <si>
    <t>BERG LED blanc</t>
  </si>
  <si>
    <t>BERG LED white</t>
  </si>
  <si>
    <t>BERG LED Vorderlicht</t>
  </si>
  <si>
    <t>BERG LED phare</t>
  </si>
  <si>
    <t>BERG LED headlight</t>
  </si>
  <si>
    <t>Jeep® Junior Pedal-Gokart</t>
  </si>
  <si>
    <t>BERG Stützfuß</t>
  </si>
  <si>
    <t>BERG Pied de soutien</t>
  </si>
  <si>
    <t>BERG Steunpoot</t>
  </si>
  <si>
    <t>BERG Support strut</t>
  </si>
  <si>
    <t>351789</t>
  </si>
  <si>
    <t>BERG Ladeschaufel</t>
  </si>
  <si>
    <t>BERG Pelle</t>
  </si>
  <si>
    <t>BERG Lift bucket</t>
  </si>
  <si>
    <t>BERG Hebevorrichtung vorne</t>
  </si>
  <si>
    <t>BERG Système de levage avant</t>
  </si>
  <si>
    <t>BERG Hefinrichting voor</t>
  </si>
  <si>
    <t>BERG Front lifting unit</t>
  </si>
  <si>
    <t>BERG Palettengabel</t>
  </si>
  <si>
    <t>BERG Fourche</t>
  </si>
  <si>
    <t>BERG Pallet fork</t>
  </si>
  <si>
    <t>BERG Schieber</t>
  </si>
  <si>
    <t>BERG Lame niveleuse</t>
  </si>
  <si>
    <t>BERG Bulldozer blade</t>
  </si>
  <si>
    <t>BERG Bollerwagen L</t>
  </si>
  <si>
    <t>BERG Chariot L</t>
  </si>
  <si>
    <t>BERG Beach Wagon L</t>
  </si>
  <si>
    <t>BERG Bollerwagen XL</t>
  </si>
  <si>
    <t>BERG Chariot XL</t>
  </si>
  <si>
    <t>BERG Beach Wagon XL</t>
  </si>
  <si>
    <t>BERG Junior Trailer (sans attache)</t>
  </si>
  <si>
    <t>352058</t>
  </si>
  <si>
    <t>BERG Abdeckplane Basic 270</t>
  </si>
  <si>
    <t>BERG Housse de protection Basic 270</t>
  </si>
  <si>
    <t>BERG Weather Cover Basic 270 (9 ft)</t>
  </si>
  <si>
    <t>BERG Abdeckplane Basic 330</t>
  </si>
  <si>
    <t>BERG Housse de protection Basic 330</t>
  </si>
  <si>
    <t>BERG Weather Cover Basic 330 (11 ft)</t>
  </si>
  <si>
    <t>NLD</t>
  </si>
  <si>
    <t>310001</t>
  </si>
  <si>
    <t>BERG Ersatzrad X-Cross</t>
  </si>
  <si>
    <t>BERG Roue de secours X-Cross</t>
  </si>
  <si>
    <t>BERG Spare wheel X-Cross</t>
  </si>
  <si>
    <t>Production</t>
  </si>
  <si>
    <t>BERG Ersatzrad X-Plore</t>
  </si>
  <si>
    <t>BERG Roue de secours X-Plore</t>
  </si>
  <si>
    <t>BERG Reservewiel X-Plore</t>
  </si>
  <si>
    <t>BERG Spare wheel X-Plore</t>
  </si>
  <si>
    <t>BERG Abdeckplane Basic 380</t>
  </si>
  <si>
    <t>BERG Housse de protection Basic 380</t>
  </si>
  <si>
    <t>BERG Weather Cover Basic 380 (12,5 ft)</t>
  </si>
  <si>
    <t>BERG Rundumlicht Orange auf Stange</t>
  </si>
  <si>
    <t xml:space="preserve">BERG Gyrophare orange avec perche
</t>
  </si>
  <si>
    <t xml:space="preserve">BERG Zwaailamp oranje op stang
</t>
  </si>
  <si>
    <t>BERG Flashing light orange on pole</t>
  </si>
  <si>
    <t>BERG Abdeckplane Basic 430</t>
  </si>
  <si>
    <t>BERG Housse de protection Basic 430</t>
  </si>
  <si>
    <t>BERG Weather Cover Basic 430 (14 ft)</t>
  </si>
  <si>
    <t>BERG Überrollbügel Offroad</t>
  </si>
  <si>
    <t xml:space="preserve">BERG Arceau de sécurité Offroad
</t>
  </si>
  <si>
    <t>BERG Rolbeugel Offroad</t>
  </si>
  <si>
    <t>BERG Roll bar Off-Road</t>
  </si>
  <si>
    <t>BERG Überrollbügel Farm</t>
  </si>
  <si>
    <t>BERG Arceau de sécurité Farm</t>
  </si>
  <si>
    <t>BERG Roll bar Farm</t>
  </si>
  <si>
    <t>ENDING</t>
  </si>
  <si>
    <t>BERG XL Rahmen BFR</t>
  </si>
  <si>
    <t>BERG Cadre XL BFR</t>
  </si>
  <si>
    <t>Jeep® Adventure Pedal-Gokart</t>
  </si>
  <si>
    <t>BERG Befestigungs-Set</t>
  </si>
  <si>
    <t>BERG Set d' ancrage</t>
  </si>
  <si>
    <t>BERG Anchor set</t>
  </si>
  <si>
    <t>BERG Abdeckplane Extra EazyFit (220x330)</t>
  </si>
  <si>
    <t>BERG Housse de protection Extra EazyFit (220x330)</t>
  </si>
  <si>
    <t>BERG Afdekhoes Extra EazyFit (220x330)</t>
  </si>
  <si>
    <t>BERG Ersatzrad Jeep®</t>
  </si>
  <si>
    <t>BERG Roue de secours Jeep®</t>
  </si>
  <si>
    <t>BERG Reservewiel Jeep®</t>
  </si>
  <si>
    <t>BERG Spare wheel Jeep®</t>
  </si>
  <si>
    <t>BERG Chopper Rahmen BFR</t>
  </si>
  <si>
    <t>BERG Chopper Cadre BFR</t>
  </si>
  <si>
    <t>Fahnenhalterung</t>
  </si>
  <si>
    <t>Support drapeau Normal</t>
  </si>
  <si>
    <t>Flag Fitting Universal</t>
  </si>
  <si>
    <t>LVA</t>
  </si>
  <si>
    <t>351980</t>
  </si>
  <si>
    <t>Bollerwagen Holzplatten L</t>
  </si>
  <si>
    <t>Chariot bois L</t>
  </si>
  <si>
    <t>Bolderwagen Hout L</t>
  </si>
  <si>
    <t>Beach Wagon Wood L</t>
  </si>
  <si>
    <t>BERG Black edition Theme (excl. XL Frame)</t>
  </si>
  <si>
    <t>BERG Gran Tour Offroad 4-Sitzer F</t>
  </si>
  <si>
    <t>BERG Gran Tour Offroad 4 seater F</t>
  </si>
  <si>
    <t>BERG Gran Tour Off-Road 4 seater F</t>
  </si>
  <si>
    <t>Jeep® Revolution Theme (excl. XL Frame)</t>
  </si>
  <si>
    <t>Bollerwagen Holzplatten XL</t>
  </si>
  <si>
    <t>Chariot bois XL</t>
  </si>
  <si>
    <t>Bolderwagen Hout XL</t>
  </si>
  <si>
    <t>Beach Wagon Wood XL</t>
  </si>
  <si>
    <t>BERG CLAAS Theme (excl. XL Frame)</t>
  </si>
  <si>
    <t>BERG Extra Sport Theme (excl. XL Frame)</t>
  </si>
  <si>
    <t>BERG Case IH Theme (excl. XL Frame)</t>
  </si>
  <si>
    <t>BERG DEUTZ-FAHR Theme (excl. XL Frame)</t>
  </si>
  <si>
    <t>BERG Race Theme (excl. XL Frame)</t>
  </si>
  <si>
    <t>BERG X-Plore BFR</t>
  </si>
  <si>
    <t>BERG X-Plore BFR-3</t>
  </si>
  <si>
    <t>BERG XL Rahmen BFR-3</t>
  </si>
  <si>
    <t>BERG Cadre XL BFR-3</t>
  </si>
  <si>
    <t>BERG Basic Theme (excl. XL Frame)</t>
  </si>
  <si>
    <t>BERG Extra Theme (excl. XL Frame)</t>
  </si>
  <si>
    <t>Jeep® Revolution pedal go-kart BFR-3</t>
  </si>
  <si>
    <t>BERG Gran Tour Racer 4-Sitzer F</t>
  </si>
  <si>
    <t>BERG Gran Tour Modular Frame</t>
  </si>
  <si>
    <t>BERG Gran Tour Offroad Thema 4-Sitzer</t>
  </si>
  <si>
    <t>BERG Gran Tour Offroad Thème 4 siéges F</t>
  </si>
  <si>
    <t>BERG Gran Tour Offroad thema 4-zits</t>
  </si>
  <si>
    <t>BERG Gran Tour Theme Off-Road 4 seater</t>
  </si>
  <si>
    <t>BERG Gran Tour Racer Thema 4-Sitzer</t>
  </si>
  <si>
    <t>BERG Gran Tour Racer Thème 4 sièges</t>
  </si>
  <si>
    <t>BERG Gran Tour Racer thema 4-zits</t>
  </si>
  <si>
    <t>BERG Gran Tour Theme Racer 4 seater</t>
  </si>
  <si>
    <t>BERG Soziussitz John Deere</t>
  </si>
  <si>
    <t>BERG Siège duo John Deere</t>
  </si>
  <si>
    <t>BERG Passenger seat John Deere</t>
  </si>
  <si>
    <t xml:space="preserve">BERG Soziussitz Case IH
</t>
  </si>
  <si>
    <t>BERG Siège duo Case IH</t>
  </si>
  <si>
    <t xml:space="preserve">BERG Duostoel Case IH
</t>
  </si>
  <si>
    <t>BERG Passenger seat Case IH</t>
  </si>
  <si>
    <t xml:space="preserve">BERG Soziussitz New Holland
</t>
  </si>
  <si>
    <t>BERG Siège duo New Holland</t>
  </si>
  <si>
    <t xml:space="preserve">BERG Duostoel New Holland
</t>
  </si>
  <si>
    <t>BERG Passenger seat New Holland</t>
  </si>
  <si>
    <t xml:space="preserve">BERG Soziussitz Fendt
</t>
  </si>
  <si>
    <t>BERG Siège duo Fendt</t>
  </si>
  <si>
    <t xml:space="preserve">BERG Duostoel Fendt
</t>
  </si>
  <si>
    <t>BERG Passenger seat Fendt</t>
  </si>
  <si>
    <t xml:space="preserve">BERG Soziussitz DEUTZ-FAHR
</t>
  </si>
  <si>
    <t>BERG Siège duo DEUTZ-FAHR</t>
  </si>
  <si>
    <t>BERG Passenger seat DEUTZ-FAHR</t>
  </si>
  <si>
    <t xml:space="preserve">BERG Soziussitz X-Cross
</t>
  </si>
  <si>
    <t>BERG Siège duo X-Cross</t>
  </si>
  <si>
    <t xml:space="preserve">BERG Duostoel X-Cross
</t>
  </si>
  <si>
    <t>BERG Passenger seat X-Cross</t>
  </si>
  <si>
    <t xml:space="preserve">BERG Soziussitz Race
</t>
  </si>
  <si>
    <t>BERG Siège duo Race</t>
  </si>
  <si>
    <t xml:space="preserve">BERG Duostoel Race
</t>
  </si>
  <si>
    <t>BERG Passenger seat Race</t>
  </si>
  <si>
    <t xml:space="preserve">BERG Soziussitz X-Plore
</t>
  </si>
  <si>
    <t>BERG Siège duo X-Plore</t>
  </si>
  <si>
    <t xml:space="preserve">BERG Duostoel X-Plore
</t>
  </si>
  <si>
    <t>BERG Passenger seat X-Plore</t>
  </si>
  <si>
    <t xml:space="preserve">BERG Soziussitz Black Edition
</t>
  </si>
  <si>
    <t>BERG Siège duo Black Edition</t>
  </si>
  <si>
    <t xml:space="preserve">BERG Duostoel Black Edition
</t>
  </si>
  <si>
    <t>BERG Passenger seat Black Edition</t>
  </si>
  <si>
    <t xml:space="preserve">BERG Soziussitz Safari
</t>
  </si>
  <si>
    <t>BERG Siège duo Safari</t>
  </si>
  <si>
    <t xml:space="preserve">BERG Duostoel Safari
</t>
  </si>
  <si>
    <t>BERG Passenger seat Safari</t>
  </si>
  <si>
    <t>BERG Soziussitz Route 66</t>
  </si>
  <si>
    <t>BERG Siège duo Route 66</t>
  </si>
  <si>
    <t>BERG Passenger seat Route 66</t>
  </si>
  <si>
    <t>BERG X-Cross Theme (excl. XL Frame)</t>
  </si>
  <si>
    <t>BERG Auspuff Farm</t>
  </si>
  <si>
    <t>BERG Pot d'échappement Farm</t>
  </si>
  <si>
    <t>BERG Exhaust Farm</t>
  </si>
  <si>
    <t xml:space="preserve">BERG Hochleistungsbremsplatten (für XL Rahmen)
</t>
  </si>
  <si>
    <t>BERG Bloque de freinage (pour Cadre XL)</t>
  </si>
  <si>
    <t>BERG Remschoenen (voor XL Frame)</t>
  </si>
  <si>
    <t>BERG Heavy duty brake pads (for XL Frame)</t>
  </si>
  <si>
    <t>BERG Kennzeichen-Set (für XL Rahmen)</t>
  </si>
  <si>
    <t>BERG Kit plaque d’immatriculation (pour Cadre XL)</t>
  </si>
  <si>
    <t>BERG Kentekenkit (voor XL Frame)</t>
  </si>
  <si>
    <t>BERG License plate kit (for XL Frame)</t>
  </si>
  <si>
    <t>BERG Gran Tour Offroad Thema 2-Sitzer</t>
  </si>
  <si>
    <t>BERG Gran Tour Offroad Thème 2 siéges</t>
  </si>
  <si>
    <t>BERG Gran Tour Offroad thema 2-zits</t>
  </si>
  <si>
    <t>BERG Gran Tour Theme Off-Road 2 seater</t>
  </si>
  <si>
    <t>BERG Gran Tour Offroad 2-Sitzer F</t>
  </si>
  <si>
    <t>BERG Gran Tour Offroad 2 seater F</t>
  </si>
  <si>
    <t>BERG Gran Tour Off-Road 2 seater F</t>
  </si>
  <si>
    <t>BERG Gran Tour Racer Thema 2-Sitzer</t>
  </si>
  <si>
    <t>BERG Gran Tour Racer Thème 2 sièges</t>
  </si>
  <si>
    <t>BERG Gran Tour Racer thema 2-zits</t>
  </si>
  <si>
    <t>BERG Gran Tour Racer 2-Sitzer F</t>
  </si>
  <si>
    <t xml:space="preserve">BERG Soziussitz Basic/Extra
</t>
  </si>
  <si>
    <t>BERG Siège duo Basic/Extra</t>
  </si>
  <si>
    <t>BERG Passenger seat Basic/Extra</t>
  </si>
  <si>
    <t xml:space="preserve">BERG Soziussitz CLAAS
</t>
  </si>
  <si>
    <t>BERG Siège duo CLAAS</t>
  </si>
  <si>
    <t xml:space="preserve">BERG Duostoel CLAAS
</t>
  </si>
  <si>
    <t>BERG Passenger seat CLAAS</t>
  </si>
  <si>
    <t xml:space="preserve">BERG Soziussitz Jeep®
</t>
  </si>
  <si>
    <t>BERG Siège duo Jeep®</t>
  </si>
  <si>
    <t xml:space="preserve">BERG Duostoel Jeep®
</t>
  </si>
  <si>
    <t>BERG Passenger seat Jeep®</t>
  </si>
  <si>
    <t>BERG Sicherheitsnetz Comfort 380 (12,5 ft)</t>
  </si>
  <si>
    <t>BERG Filet de sécurité Comfort 380 (12,5 ft)</t>
  </si>
  <si>
    <t>BERG Sicherheitsnetz Comfort 270 (9 ft)</t>
  </si>
  <si>
    <t>BERG Filet de sécurité Comfort 270 (9 ft)</t>
  </si>
  <si>
    <t>BERG Sicherheitsnetz Comfort 330 (11 ft)</t>
  </si>
  <si>
    <t>BERG Filet de sécurité Comfort 330 (11 ft)</t>
  </si>
  <si>
    <t>BERG Sicherheitsnetz Comfort 430 (14 ft)</t>
  </si>
  <si>
    <t>BERG Filet de sécurité Comfort 430 (14 ft)</t>
  </si>
  <si>
    <t>BERG Seitenschürzen-Set Race</t>
  </si>
  <si>
    <t>BERG Side skirts Race</t>
  </si>
  <si>
    <t>ASSEMBLY</t>
  </si>
  <si>
    <t>BERG Ersatzrad Safari</t>
  </si>
  <si>
    <t>BERG Roue de secours Safari</t>
  </si>
  <si>
    <t>BERG Spare wheel Safari</t>
  </si>
  <si>
    <t>BERG Großer Anhänger</t>
  </si>
  <si>
    <t>BERG Rundumlicht Gelb für Überrollbügel</t>
  </si>
  <si>
    <t>BERG Gyrophare orange pour arceau</t>
  </si>
  <si>
    <t>BERG Flashing light orange for roll-bar</t>
  </si>
  <si>
    <t>BERG Compact Rahmen BFR</t>
  </si>
  <si>
    <t>BERG Compact Cadre BFR</t>
  </si>
  <si>
    <t>BERG Favorit 330 + Sicherheitsnetz Comfort</t>
  </si>
  <si>
    <t>BERG Favorit 330 + Filet de sécurité Comfort</t>
  </si>
  <si>
    <t>BERG Favorit 330 + Safety Net Comfort</t>
  </si>
  <si>
    <t>BERG Favorit 380 + Sicherheitsnetz Comfort</t>
  </si>
  <si>
    <t>BERG Favorit 380 + Filet de sécurité Comfort</t>
  </si>
  <si>
    <t>BERG Favorit 380 + Safety Net Comfort</t>
  </si>
  <si>
    <t>BERG Favorit 430 + Sicherheitsnetz Comfort</t>
  </si>
  <si>
    <t>BERG Favorit 430 + Filet de sécurité Comfort</t>
  </si>
  <si>
    <t>BERG Favorit 430 + Safety Net Comfort</t>
  </si>
  <si>
    <t>BERG Favorit 430 Tattoo + Sicherheitsnetz Comfort</t>
  </si>
  <si>
    <t>BERG Favorit 430 Tattoo + Filet de sécurité Comfort</t>
  </si>
  <si>
    <t>BERG Favorit 430 Tattoo + Safety Net Comfort</t>
  </si>
  <si>
    <t>BERG Favorit 330 + Sicherheitsnetz Deluxe</t>
  </si>
  <si>
    <t>BERG Favorit 330 + Filet de sécurité Deluxe</t>
  </si>
  <si>
    <t>BERG Favorit 330 + Safety Net Deluxe</t>
  </si>
  <si>
    <t>BERG Favorit 380 + Sicherheitsnetz Deluxe</t>
  </si>
  <si>
    <t>BERG Favorit 380 + Filet de sécurité Deluxe</t>
  </si>
  <si>
    <t>BERG Favorit 380 + Safety Net Deluxe</t>
  </si>
  <si>
    <t>BERG Favorit 430 + Sicherheitsnetz Deluxe</t>
  </si>
  <si>
    <t>BERG Favorit 430 + Filet de sécurité Deluxe</t>
  </si>
  <si>
    <t>BERG Favorit 430 + Safety Net Deluxe</t>
  </si>
  <si>
    <t>BERG Favorit 430 Tattoo + Sicherheitsnetz Deluxe</t>
  </si>
  <si>
    <t>BERG Favorit 430 Tattoo + Filet de sécurité Deluxe</t>
  </si>
  <si>
    <t>BERG Favorit 430 Tattoo + Safety Net Deluxe</t>
  </si>
  <si>
    <t>BERG InGround Favorit 330 + Sicherheitsnetz Deluxe</t>
  </si>
  <si>
    <t>BERG InGround Favorit 330 + Filet de sécurité Deluxe</t>
  </si>
  <si>
    <t>BERG InGround Favorit 330 (11 ft) + Safety Net Deluxe</t>
  </si>
  <si>
    <t>BERG InGround Favorit 380 + Sicherheitsnetz Deluxe</t>
  </si>
  <si>
    <t>BERG InGround Favorit 380 + Filet de sécurité Deluxe</t>
  </si>
  <si>
    <t>BERG InGround Favorit 430 + Sicherheitsnetz Deluxe</t>
  </si>
  <si>
    <t>BERG InGround Favorit 430 + Filet de sécurité Deluxe</t>
  </si>
  <si>
    <t>BERG InGround Favorit 270 + Sicherheitsnetz Comfort (InGr)</t>
  </si>
  <si>
    <t>BERG InGround Favorit 270 + Filet de sécurité Comfort (InGr)</t>
  </si>
  <si>
    <t>BERG InGround Favorit 330 + Sicherheitsnetz Comfort (InGr)</t>
  </si>
  <si>
    <t>BERG InGround Favorit 330 + Filet de sécurité Comfort (InGr)</t>
  </si>
  <si>
    <t>BERG InGround Favorit 330 (11 ft) +Safety Net Comfort (InGr)</t>
  </si>
  <si>
    <t>BERG InGround Favorit 380 + Sicherheitsnetz Comfort (InGr)</t>
  </si>
  <si>
    <t>BERG InGround Favorit 380 + Filet de sécurité Comfort (InGr)</t>
  </si>
  <si>
    <t>BERG InGround Favorit 430 + Sicherheitsnetz Comfort (InGr)</t>
  </si>
  <si>
    <t>BERG InGround Favorit 430 + Filet de sécurité Comfort (InGr)</t>
  </si>
  <si>
    <t>BERG Champion 330 + Sicherheitsnetz Deluxe</t>
  </si>
  <si>
    <t>BERG Champion 330 + Filet de sécurité Deluxe</t>
  </si>
  <si>
    <t>BERG InGround Favorit 270 + Sicherheitsnetz Deluxe</t>
  </si>
  <si>
    <t>BERG InGround Favorit 270 + Filet de sécurité Deluxe</t>
  </si>
  <si>
    <t>BERG InGround Favorit 270 (9 ft) + Safety Net Deluxe</t>
  </si>
  <si>
    <t>BERG Champion 270 + Sicherheitsnetz Comfort</t>
  </si>
  <si>
    <t>BERG Champion 270 + Filet de sécurité Comfort</t>
  </si>
  <si>
    <t>BERG Champion 330 + Sicherheitsnetz Comfort</t>
  </si>
  <si>
    <t>BERG Champion 330 + Filet de sécurité Comfort</t>
  </si>
  <si>
    <t>BERG Favorit 270 + Sicherheitsnetz Deluxe</t>
  </si>
  <si>
    <t>BERG Favorit 270 + Filet de sécurité Deluxe</t>
  </si>
  <si>
    <t>BERG Favorit 270 + Safety Net Deluxe</t>
  </si>
  <si>
    <t>BERG Champion 430 + Sicherheitsnetz Comfort</t>
  </si>
  <si>
    <t>BERG Champion 430 + Filet de sécurité Comfort</t>
  </si>
  <si>
    <t>BERG InGround Champion 270 + Sicherheitsnetz Deluxe</t>
  </si>
  <si>
    <t>BERG InGround Champion 270 + Filet de sécurité Deluxe</t>
  </si>
  <si>
    <t>BERG InGround Champion 330 + Sicherheitsnetz Deluxe</t>
  </si>
  <si>
    <t>BERG InGround Champion 330 + Filet de sécurité Deluxe</t>
  </si>
  <si>
    <t>BERG InGround Champion 380 + Sicherheitsnetz Deluxe</t>
  </si>
  <si>
    <t>BERG InGround Champion 380 + Filet de sécurité Deluxe</t>
  </si>
  <si>
    <t>BERG Champion 270 + Sicherheitsnetz Deluxe</t>
  </si>
  <si>
    <t>BERG Champion 270 + Filet de sécurité Deluxe</t>
  </si>
  <si>
    <t>BERG Elite+ Regular Grün 330 + Sicherheitsnetz T-series</t>
  </si>
  <si>
    <t>BERG Elite+ Regular Vert 330 + Filet de sécurité T-series</t>
  </si>
  <si>
    <t>BERG Elite+ Regular Green 330 + Safety Net T-series</t>
  </si>
  <si>
    <t>BERG Sunroof Gran Tour (für GT ab 2015)</t>
  </si>
  <si>
    <t>BERG Sunroof Gran Tour (pour GT depuis 2015)</t>
  </si>
  <si>
    <t>BERG Sunroof Gran Tour (voor GT vanaf 2015)</t>
  </si>
  <si>
    <t>BERG Champion 430 Tattoo + Sicherheitsnetz Deluxe</t>
  </si>
  <si>
    <t>BERG Champion 430 Tattoo + Filet de sécurité Deluxe</t>
  </si>
  <si>
    <t>BERG Elite+ InGround Rot 330 + Sicherheitsnetz T-series</t>
  </si>
  <si>
    <t>BERG Elite+ InGround Rouge 330 + Filet de sécurité T-series</t>
  </si>
  <si>
    <t>BERG Elite+ InGround Red 330 + Safety Net T-series</t>
  </si>
  <si>
    <t>BERG Champion 380 + Sicherheitsnetz Comfort</t>
  </si>
  <si>
    <t>BERG Champion 380 + Filet de sécurité Comfort</t>
  </si>
  <si>
    <t>BERG Champion 430 Tattoo + Sicherheitsnetz Comfort</t>
  </si>
  <si>
    <t>BERG Champion 430 Tattoo + Filet de sécurité Comfort</t>
  </si>
  <si>
    <t>BERG InGround Champion 430 + Sicherheitsnetz Deluxe</t>
  </si>
  <si>
    <t>BERG InGround Champion 430 + Filet de sécurité Deluxe</t>
  </si>
  <si>
    <t>BERG Elite+ InGround Grün 330 + Sicherheitsnetz T-series</t>
  </si>
  <si>
    <t>BERG Elite+ InGround Vert 330 + Filet de sécurité T-series</t>
  </si>
  <si>
    <t>BERG Elite+ InGround Green 330 + Safety Net T-series</t>
  </si>
  <si>
    <t>BERG Elite+ InGround Grün 380 + Sicherheitsnetz T-series</t>
  </si>
  <si>
    <t>BERG Elite+ InGround Vert 380 + Filet de sécurité T-series</t>
  </si>
  <si>
    <t>BERG Elite+ InGround Green 380 + Safety Net T-series</t>
  </si>
  <si>
    <t>BERG Elite+ InGround Rot 380 + Sicherheitsnetz T-series</t>
  </si>
  <si>
    <t>BERG Elite+ InGround Rouge 380 + Filet de sécurité T-series</t>
  </si>
  <si>
    <t>BERG Elite+ InGround Red 380 + Safety Net T-series</t>
  </si>
  <si>
    <t>BERG Champion 380 + Sicherheitsnetz Deluxe</t>
  </si>
  <si>
    <t>BERG Champion 380 + Filet de sécurité Deluxe</t>
  </si>
  <si>
    <t>BERG Champion 430 + Sicherheitsnetz Deluxe</t>
  </si>
  <si>
    <t>BERG Champion 430 + Filet de sécurité Deluxe</t>
  </si>
  <si>
    <t>BERG Elite+ Regular Grün 380 + Sicherheitsnetz T-series</t>
  </si>
  <si>
    <t>BERG Elite+ Regular Vert 380 + Filet de sécurité T-series</t>
  </si>
  <si>
    <t>BERG Elite+ Regular Green 380 + Safety Net T-series</t>
  </si>
  <si>
    <t>BERG Elite+ Regular Rot 330 + Sicherheitsnetz T-series</t>
  </si>
  <si>
    <t>BERG Elite+ Regular Rouge 330 + Filet de sécurité T-series</t>
  </si>
  <si>
    <t>BERG Elite+ Regular Red 330 + Safety Net T-series</t>
  </si>
  <si>
    <t>BERG Elite+ Regular Rot 380 + Sicherheitsnetz T-series</t>
  </si>
  <si>
    <t>BERG Elite+ Regular Rouge 380 + Filet de sécurité T-series</t>
  </si>
  <si>
    <t>BERG Elite+ Regular Red 380 + Safety Net T-series</t>
  </si>
  <si>
    <t>BERG Elite+ InGround Rot 380</t>
  </si>
  <si>
    <t>BERG Elite+ InGround Rouge 380</t>
  </si>
  <si>
    <t>BERG Favorit 270 + Sicherheitsnetz Comfort</t>
  </si>
  <si>
    <t>BERG Favorit 270 + Filet de sécurité Comfort</t>
  </si>
  <si>
    <t>BERG Favorit 270 + Safety Net Comfort</t>
  </si>
  <si>
    <t>BERG Elite+ InGround Grün 430 Tattoo + Sicherh.netz T-series</t>
  </si>
  <si>
    <t>BERG Elite+ InGround Vert 430 Tattoo + Filet séc. T-series</t>
  </si>
  <si>
    <t>BERG Elite+ Regular Grün 430 Tattoo + Sicherh.netz T-series</t>
  </si>
  <si>
    <t>BERG Elite+ Regular Vert 430 Tattoo + Filet séc. T-series</t>
  </si>
  <si>
    <t>BERG Elite+ Regular Green 430 Tattoo + Safety Net T-series</t>
  </si>
  <si>
    <t>BERG Elite+ InGround Grün 380</t>
  </si>
  <si>
    <t>BERG Elite+ InGround Vert 380</t>
  </si>
  <si>
    <t>BERG InGround Grand Champion + Sicherheitsnetz Deluxe</t>
  </si>
  <si>
    <t>BERG InGround Grand Champion + Filet de sécurité Deluxe</t>
  </si>
  <si>
    <t>BERG Elite+ InGround Grün 430 Tattoo</t>
  </si>
  <si>
    <t>BERG Elite+ InGround Vert 430 Tattoo</t>
  </si>
  <si>
    <t>BERG Elite+ InGround Rot 430 + Sicherheitsnetz T-series</t>
  </si>
  <si>
    <t>BERG Elite+ InGround Rouge 430 + Filet de sécurité T-series</t>
  </si>
  <si>
    <t>BERG Elite+ InGround Red 430 + Safety Net T-series</t>
  </si>
  <si>
    <t>BERG EazyFit (Regular) + Sicherheitsnetz Deluxe EazyFit</t>
  </si>
  <si>
    <t>BERG EazyFit (Regular) + Filet de sécurité Deluxe EazyFit</t>
  </si>
  <si>
    <t>BERG Elite+ InGround Rot 330</t>
  </si>
  <si>
    <t>BERG Elite+ InGround Rouge 330</t>
  </si>
  <si>
    <t>BERG Elite+ Regular Rot 430 + Sicherheitsnetz T-series</t>
  </si>
  <si>
    <t>BERG Elite+ Regular Rouge 430 + Filet de sécurité T-series</t>
  </si>
  <si>
    <t>BERG Elite+ Regular Red 430 + Safety Net T-series</t>
  </si>
  <si>
    <t>BERG Elite+ Regular Rot 430 Tattoo + Sicherh.netz T-series</t>
  </si>
  <si>
    <t>BERG Elite+ Regular Rouge 430 Tattoo + Filet séc. T-series</t>
  </si>
  <si>
    <t>BERG Elite+ Regular Red 430 Tattoo + Safety Net T-series</t>
  </si>
  <si>
    <t>BERG Elite+ InGround Grün 330</t>
  </si>
  <si>
    <t>BERG Elite+ InGround Vert 330</t>
  </si>
  <si>
    <t>BERG Sicherheitsnetz Deluxe 270</t>
  </si>
  <si>
    <t>BERG Filet de sécurité Deluxe 270</t>
  </si>
  <si>
    <t>BERG Sicherheitsnetz T-series 430</t>
  </si>
  <si>
    <t>BERG Filet de sécurité T-series 430</t>
  </si>
  <si>
    <t>BERG Sicherheitsnetz Deluxe Grand Champion</t>
  </si>
  <si>
    <t>BERG Filet de sécurité Deluxe Grand Champion</t>
  </si>
  <si>
    <t>BERG Sicherheitsnetz Deluxe EazyFit</t>
  </si>
  <si>
    <t>BERG Filet de sécurité Deluxe EazyFit</t>
  </si>
  <si>
    <t>BERG Elite+ InGround Rot 430</t>
  </si>
  <si>
    <t>BERG Elite+ InGround Rouge 430</t>
  </si>
  <si>
    <t>BERG Elite+ InGround Rot 430 Tattoo</t>
  </si>
  <si>
    <t>BERG Elite+ InGround Rouge 430 Tattoo</t>
  </si>
  <si>
    <t>BERG Sicherheitsnetz T-series 380</t>
  </si>
  <si>
    <t>BERG Filet de sécurité T-series 380</t>
  </si>
  <si>
    <t>BERG InGround Champion 270 + Sicherheitsnetz Comfort</t>
  </si>
  <si>
    <t>BERG InGround Champion 270 + Filet de sécurité Comfort</t>
  </si>
  <si>
    <t>BERG InGround Champion 270  + Safety Net Comfort</t>
  </si>
  <si>
    <t>BERG InGround Champion 330 + Sicherheitsnetz Comfort</t>
  </si>
  <si>
    <t>BERG InGround Champion 330 + Filet de sécurité Comfort</t>
  </si>
  <si>
    <t>BERG InGround Champion 380 + Sicherheitsnetz Comfort</t>
  </si>
  <si>
    <t>BERG InGround Champion 380 + Filet de sécurité Comfort</t>
  </si>
  <si>
    <t>BERG InGround Champion 430 + Sicherheitsnetz Comfort</t>
  </si>
  <si>
    <t>BERG InGround Champion 430+ Filet de sécurité Comfort</t>
  </si>
  <si>
    <t>BERG Sicherheitsnetz Comfort (InGround) 270 (9 ft)</t>
  </si>
  <si>
    <t>BERG Filet de sécurité Comfort (InGround) 270 (9 ft)</t>
  </si>
  <si>
    <t>BERG Sicherheitsnetz Comfort (InGround) 330 (11 ft)</t>
  </si>
  <si>
    <t>BERG Filet de sécurité Comfort (InGround) 330 (11 ft)</t>
  </si>
  <si>
    <t>BERG Sicherheitsnetz Comfort (InGround) 380 (12,5 ft)</t>
  </si>
  <si>
    <t>BERG Filet de sécurité Comfort (InGround) 380 (12,5 ft)</t>
  </si>
  <si>
    <t>BERG Sicherheitsnetz Comfort (InGround) 430 (14 ft)</t>
  </si>
  <si>
    <t>BERG Filet de sécurité Comfort (InGround) 430 (14 ft)</t>
  </si>
  <si>
    <t>Elite+ Padding Rot 330</t>
  </si>
  <si>
    <t>Elite+ Padding Rouge 330</t>
  </si>
  <si>
    <t>Elite+ Padding Rot 380</t>
  </si>
  <si>
    <t>Elite+ Padding Rouge 380</t>
  </si>
  <si>
    <t>BERG Elite+ InGround Rot 430 Tattoo + Sicherh.netz T-series</t>
  </si>
  <si>
    <t>BERG Elite+ InGround Rouge 430 Tattoo + Filet séc. T-series</t>
  </si>
  <si>
    <t>BERG Elite+ InGround Red 430 Tattoo + Safety Net T-series</t>
  </si>
  <si>
    <t>Elite+ Padding Grün 330</t>
  </si>
  <si>
    <t>Elite+ Padding Vert 330</t>
  </si>
  <si>
    <t>Elite+ Padding Grün 380</t>
  </si>
  <si>
    <t>Elite+ Padding Vert 380</t>
  </si>
  <si>
    <t>Elite+ Padding Grün 430</t>
  </si>
  <si>
    <t>Elite+ Padding Vert 430</t>
  </si>
  <si>
    <t>Elite+ Regular 330 (ohne Schutzrand)</t>
  </si>
  <si>
    <t>Elite+ Regular 330 (sans coussin)</t>
  </si>
  <si>
    <t>Elite+ Regular 330 (without padding)</t>
  </si>
  <si>
    <t>Elite+ Regular 380  (ohne Schutzrand)</t>
  </si>
  <si>
    <t>Elite+ Regular 380 (sans coussin)</t>
  </si>
  <si>
    <t>Elite+ Regular 380 (without padding)</t>
  </si>
  <si>
    <t>Elite+ Regular 430 (ohne Schutzrand)</t>
  </si>
  <si>
    <t>Elite+ Regular 430 (sans coussin)</t>
  </si>
  <si>
    <t>Elite+ Regular 430 (without padding)</t>
  </si>
  <si>
    <t>Elite+ Regular 430 Tattoo (ohne Schutzrand)</t>
  </si>
  <si>
    <t>Elite+ Regular 430 Tattoo (sans coussin)</t>
  </si>
  <si>
    <t>Elite+ Regular 430 Tattoo (without padding)</t>
  </si>
  <si>
    <t>Elite+ InGround 330 (ohne Schutzrand)</t>
  </si>
  <si>
    <t>Elite+ InGround 330 (sans coussin)</t>
  </si>
  <si>
    <t>Elite+ InGround 330 (without padding)</t>
  </si>
  <si>
    <t>Elite+ InGround 380 (ohne Schutzrand)</t>
  </si>
  <si>
    <t>Elite+ InGround 380 (sans coussin)</t>
  </si>
  <si>
    <t>Elite+ InGround 380 (without padding)</t>
  </si>
  <si>
    <t>Elite+ InGround 430 (ohne Schutzrand)</t>
  </si>
  <si>
    <t>Elite+ InGround 430 (sans coussin)</t>
  </si>
  <si>
    <t>Elite+ InGround 430 (without padding)</t>
  </si>
  <si>
    <t>Elite+ InGround 430 Tattoo (ohne Schutzrand)</t>
  </si>
  <si>
    <t>Elite+ InGround 430 Tattoo (sans coussin)</t>
  </si>
  <si>
    <t>Elite+ InGround 430 Tattoo (without padding)</t>
  </si>
  <si>
    <t>BERG Hebevorrichtung hinten</t>
  </si>
  <si>
    <t>BERG Système de levage arrière</t>
  </si>
  <si>
    <t>BERG Hefinrichting achter</t>
  </si>
  <si>
    <t>BERG Rear lifting unit</t>
  </si>
  <si>
    <t>BERG Abdeckplane Extra Grand Champion</t>
  </si>
  <si>
    <t>BERG Housse de protection Extra Grand Champion</t>
  </si>
  <si>
    <t>BERG Weather Cover Extra Grand Champion</t>
  </si>
  <si>
    <t>BERG Sicherheitsnetz Deluxe 330</t>
  </si>
  <si>
    <t>BERG Filet de sécurité Deluxe 330</t>
  </si>
  <si>
    <t>BERG E-Gran Tour Offroad 4-Sitzer</t>
  </si>
  <si>
    <t>BERG E-Gran Tour Offroad 4 seater</t>
  </si>
  <si>
    <t>BERG E-Gran Tour Off-Road 4 seater</t>
  </si>
  <si>
    <t>87119010</t>
  </si>
  <si>
    <t>BERG E-Gran Tour frame</t>
  </si>
  <si>
    <t>9029100090</t>
  </si>
  <si>
    <t>BERG Leiter Plattform</t>
  </si>
  <si>
    <t>BERG Echelle plateforme</t>
  </si>
  <si>
    <t>BERG Talent 180 + Sicherheitsnetz Comfort</t>
  </si>
  <si>
    <t>BERG Talent 180 + Filet de sécurité Comfort</t>
  </si>
  <si>
    <t>BERG Talent 180 (6 ft) + Safety Net Comfort</t>
  </si>
  <si>
    <t>BERG Talent 240 + Sicherheitsnetz Comfort</t>
  </si>
  <si>
    <t>BERG Talent 240 + Filet de sécurité Comfort</t>
  </si>
  <si>
    <t>BERG Talent 240 (8 ft) + Safety Net Comfort</t>
  </si>
  <si>
    <t>BERG Talent 300 + Sicherheitsnetz Comfort</t>
  </si>
  <si>
    <t>BERG Talent 300 + Filet de sécurité Comfort</t>
  </si>
  <si>
    <t>BERG Talent 300 (10 ft) + Safety Net Comfort</t>
  </si>
  <si>
    <t>BERG InGround Talent 180 (6 ft)</t>
  </si>
  <si>
    <t>BERG InGround Talent 240 (8 ft)</t>
  </si>
  <si>
    <t>BERG InGround Talent 300 (10 ft)</t>
  </si>
  <si>
    <t>BERG InGround Talent 180 + Sicherheitsnetz Comfort</t>
  </si>
  <si>
    <t>BERG InGround Talent 180 + Filet de sécurité Comfort</t>
  </si>
  <si>
    <t>BERG InGround Talent 180 (6 ft) + Safety Net Comfort</t>
  </si>
  <si>
    <t>BERG InGround Talent 240 + Sicherheitsnetz Comfort</t>
  </si>
  <si>
    <t>BERG InGround Talent 240 + Filet de sécurité Comfort</t>
  </si>
  <si>
    <t>BERG InGround Talent 240 (8 ft) + Safety Net Comfort</t>
  </si>
  <si>
    <t>BERG InGround Talent 300 + Sicherheitsnetz Comfort</t>
  </si>
  <si>
    <t>BERG InGround Talent 300 + Filet de sécurité Comfort</t>
  </si>
  <si>
    <t>BERG InGround Talent 300 (10 ft) + Safety Net Comfort</t>
  </si>
  <si>
    <t>BERG Sicherheitsnetz Comfort 180</t>
  </si>
  <si>
    <t>BERG Filet de sécurité Comfort 180</t>
  </si>
  <si>
    <t>BERG Sicherheitsnetz Comfort 240</t>
  </si>
  <si>
    <t>BERG Filet de sécurité Comfort 240</t>
  </si>
  <si>
    <t>BERG Elite+ InGround Grün 430 + Sicherheitsnetz T-series</t>
  </si>
  <si>
    <t>BERG Elite+ InGround Vert 430 + Filet de sécurité T-series</t>
  </si>
  <si>
    <t>BERG Elite+ InGround Green 430 + Safety Net T-series</t>
  </si>
  <si>
    <t>BERG Elite+ Regular Grün 430 + Sicherheitsnetz T-series</t>
  </si>
  <si>
    <t>BERG Elite+ Regular Vert 430 + Filet de sécurité T-series</t>
  </si>
  <si>
    <t>BERG Elite+ Regular Green 430 + Safety Net T-series</t>
  </si>
  <si>
    <t>BERG Elite+ InGround Grün 430</t>
  </si>
  <si>
    <t>BERG Elite+ InGround Vert 430</t>
  </si>
  <si>
    <t>Elite+ Padding Rot 430</t>
  </si>
  <si>
    <t>Elite+ Padding Rouge 430</t>
  </si>
  <si>
    <t>BERG Grand Champion + Sicherheitsnetz Deluxe</t>
  </si>
  <si>
    <t>BERG Grand Champion + Filet de sécurité Deluxe</t>
  </si>
  <si>
    <t>BERG Sicherheitsnetz Comfort 300</t>
  </si>
  <si>
    <t>BERG Filet de sécurité Comfort 300</t>
  </si>
  <si>
    <t>BERG Abdeckplane Basic 180</t>
  </si>
  <si>
    <t>BERG Housse de protection Basic 180</t>
  </si>
  <si>
    <t>BERG Weather Cover Basic 180 (6 ft)</t>
  </si>
  <si>
    <t>BERG Abdeckplane Basic 240</t>
  </si>
  <si>
    <t>BERG Housse de protection Basic 240</t>
  </si>
  <si>
    <t>BERG Weather Cover Basic 240 (8 ft)</t>
  </si>
  <si>
    <t>BERG Abdeckplane Basic 300</t>
  </si>
  <si>
    <t>BERG Housse de protection Basic 300</t>
  </si>
  <si>
    <t>BERG Weather Cover Basic 300 (10 ft)</t>
  </si>
  <si>
    <t>BERG InGround Champion Grey 330 + Sicherheitsnetz Deluxe</t>
  </si>
  <si>
    <t>BERG InGround Champion Grey 330 + Filet de sécurité Deluxe</t>
  </si>
  <si>
    <t>BERG InGround Champion Grey 380 + Sicherheitsnetz Deluxe</t>
  </si>
  <si>
    <t>BERG InGround Champion Grey 380 + Filet de sécurité Deluxe</t>
  </si>
  <si>
    <t>BERG Sicherheitsnetz Deluxe 380</t>
  </si>
  <si>
    <t>BERG Filet de sécurité Deluxe 380</t>
  </si>
  <si>
    <t>BERG InGround Champion Grey 330 + Sicherheitsnetz Comfort</t>
  </si>
  <si>
    <t>BERG InGround Champion Grey 330 + Filet de sécurité Comfort</t>
  </si>
  <si>
    <t>BERG InGround Champion Grey 380 + Sicherheitsnetz Comfort</t>
  </si>
  <si>
    <t>BERG InGround Champion Grey 380 + Filet de sécurité Comfort</t>
  </si>
  <si>
    <t>BERG Sicherheitsnetz Deluxe 430</t>
  </si>
  <si>
    <t>BERG Filet de sécurité Deluxe 430</t>
  </si>
  <si>
    <t>BERG InGround EazyFit Grey + Sicherheitsnetz Deluxe EazyFit</t>
  </si>
  <si>
    <t>BERG InGround EazyFit Grey + Filet sécurité Deluxe EazyFit</t>
  </si>
  <si>
    <t>BERG InGround EazyFit + Sicherheitsnetz Deluxe EazyFit</t>
  </si>
  <si>
    <t>BERG InGround EazyFit + Filet de sécurité Deluxe EazyFit</t>
  </si>
  <si>
    <t>BERG Abdeckplane Extra 270</t>
  </si>
  <si>
    <t>BERG Housse de protection Extra 270</t>
  </si>
  <si>
    <t>BERG Abdeckplane Extra 330</t>
  </si>
  <si>
    <t>BERG Housse de protection Extra 330</t>
  </si>
  <si>
    <t>BERG Abdeckplane Extra 380</t>
  </si>
  <si>
    <t>BERG Housse de protection Extra 380</t>
  </si>
  <si>
    <t>BERG Abdeckplane Extra 430</t>
  </si>
  <si>
    <t>BERG Housse de protection Extra 430</t>
  </si>
  <si>
    <t>BERG Leiter L</t>
  </si>
  <si>
    <t>BERG Echelle L</t>
  </si>
  <si>
    <t>BERG Leiter M</t>
  </si>
  <si>
    <t>BERG Echelle M</t>
  </si>
  <si>
    <t>BERG Leiter S</t>
  </si>
  <si>
    <t>BERG Echelle S</t>
  </si>
  <si>
    <t>BERG Duo Chopper Frame BF</t>
  </si>
  <si>
    <t>BERG Duo Chopper Theme</t>
  </si>
  <si>
    <t>BERG Duo Chopper BF</t>
  </si>
  <si>
    <t>BERG Bollerwagen Rahmenteile</t>
  </si>
  <si>
    <t>BERG Chariot Cadre</t>
  </si>
  <si>
    <t>BERG Bolderwagen Frame</t>
  </si>
  <si>
    <t>BERG Beach Wagon Frame</t>
  </si>
  <si>
    <t>BERG Buzzy Korb gelb</t>
  </si>
  <si>
    <t>BERG Buzzy Panier jaune</t>
  </si>
  <si>
    <t>BERG Buzzy Basket geel</t>
  </si>
  <si>
    <t>BERG Buzzy Basket yellow</t>
  </si>
  <si>
    <t>BERG Leiter Plattform + Leiter L</t>
  </si>
  <si>
    <t>BERG Echelle Plateforme + Echelle L</t>
  </si>
  <si>
    <t>BERG Leiter Plattform + Leiter M</t>
  </si>
  <si>
    <t>BERG Echelle Plateforme + Echelle M</t>
  </si>
  <si>
    <t>BERG Leiter Plattform + Leiter S</t>
  </si>
  <si>
    <t>BERG Echelle Plateforme + Echelle S</t>
  </si>
  <si>
    <t>BERG Sicherheitsnetz T-series 330</t>
  </si>
  <si>
    <t>BERG Filet de sécurité T-series 330</t>
  </si>
  <si>
    <t>BERG Abdeckplane Extra Grey 330</t>
  </si>
  <si>
    <t>BERG Housse de protection Extra Grey 330</t>
  </si>
  <si>
    <t>BERG Abdeckplane Extra Grey 380</t>
  </si>
  <si>
    <t>BERG Housse de protection Extra Grey 380</t>
  </si>
  <si>
    <t>BERG Abdeckplane Extra Grey 430</t>
  </si>
  <si>
    <t>BERG Housse de protection Extra Grey 430</t>
  </si>
  <si>
    <t>BERG Champion Grey 330 + Sicherheitsnetz Deluxe</t>
  </si>
  <si>
    <t>BERG Champion Grey 330 + Filet de sécurité Deluxe</t>
  </si>
  <si>
    <t>BERG Champion Grey 380 + Sicherheitsnetz Deluxe</t>
  </si>
  <si>
    <t>BERG Champion Grey 380 + Filet de sécurité Deluxe</t>
  </si>
  <si>
    <t>BERG Champion Grey 430 + Sicherheitsnetz Deluxe</t>
  </si>
  <si>
    <t>BERG Champion Grey 430 + Filet de sécurité Deluxe</t>
  </si>
  <si>
    <t>BERG Rahmennetz Extra 270</t>
  </si>
  <si>
    <t>BERG Filet de Cadre Extra 270</t>
  </si>
  <si>
    <t>BERG Rahmennetz Extra 330</t>
  </si>
  <si>
    <t>BERG Filet de Cadre Extra 330</t>
  </si>
  <si>
    <t>BERG Rahmennetz Extra 380</t>
  </si>
  <si>
    <t>BERG Filet de Cadre Extra 380</t>
  </si>
  <si>
    <t>BERG Rahmennetz Extra 430</t>
  </si>
  <si>
    <t>BERG Filet de Cadre Extra 430</t>
  </si>
  <si>
    <t>BERG Rahmennetz Basic 180</t>
  </si>
  <si>
    <t>BERG Filet de Cadre Basic 180</t>
  </si>
  <si>
    <t>BERG Rahmennetz Basic 240</t>
  </si>
  <si>
    <t>BERG Filet de Cadre Basic 240</t>
  </si>
  <si>
    <t>BERG Rahmennetz Basic 300</t>
  </si>
  <si>
    <t>BERG Filet de Cadre Basic 300</t>
  </si>
  <si>
    <t>BERG FlatGround Champion 430 (ohne Schutzrand)</t>
  </si>
  <si>
    <t>BERG FlatGround Champion 430 (sans coussin)</t>
  </si>
  <si>
    <t>BERG FlatGround Champion 430 (zonder beschermrand)</t>
  </si>
  <si>
    <t>BERG FlatGround Champion 430 (14 ft) (without padding)</t>
  </si>
  <si>
    <t>BERG FlatGround Champion Padding Green 430</t>
  </si>
  <si>
    <t>BERG FlatGround Champion Padding Green 430 (14 ft)</t>
  </si>
  <si>
    <t>BERG FlatGround Champion Padding Grey 430</t>
  </si>
  <si>
    <t>BERG FlatGround Champion Padding Grey 430 (14 ft)</t>
  </si>
  <si>
    <t>BERG FlatGround Champion Green 430</t>
  </si>
  <si>
    <t>BERG FlatGround Champion Green 430 (14 ft)</t>
  </si>
  <si>
    <t>BERG FlatGround Champion Grey 430</t>
  </si>
  <si>
    <t>BERG FlatGround Champion Grey 430 (14 ft)</t>
  </si>
  <si>
    <t>BERG Duo Chopper Sidecar</t>
  </si>
  <si>
    <t>BERG Rammschutz, gummiert (Für XL Frame)</t>
  </si>
  <si>
    <t>BERG Pare-chocs en caoutchouc (pour Cadre XL)</t>
  </si>
  <si>
    <t>BERG Stootbumper (voor XL Frame)</t>
  </si>
  <si>
    <t>BERG Rubber Go-kart bumper (for XL Frame)</t>
  </si>
  <si>
    <t>DEU</t>
  </si>
  <si>
    <t>350017</t>
  </si>
  <si>
    <t>RiOn spare</t>
  </si>
  <si>
    <t>BERG Kotflügel-Set vorne Schwarz</t>
  </si>
  <si>
    <t>BERG Garde-boue avant noir</t>
  </si>
  <si>
    <t>BERG Front mudguards  black</t>
  </si>
  <si>
    <t>BERG InGround Champion Grey 430 + Sicherheitsnetz Deluxe</t>
  </si>
  <si>
    <t>BERG InGround Champion Grey 430 + Filet de sécurité Deluxe</t>
  </si>
  <si>
    <t>BERG InGround Champion Grey 430 + Sicherheitsnetz Comfort</t>
  </si>
  <si>
    <t>BERG InGround Champion Grey 430 + Filet de sécurité Comfort</t>
  </si>
  <si>
    <t>BERG FlatGround Champion Grey 330</t>
  </si>
  <si>
    <t>BERG FlatGround Champion Green 330</t>
  </si>
  <si>
    <t>BERG FlatGround Champion Grey 380</t>
  </si>
  <si>
    <t>BERG FlatGround Champion Green 380</t>
  </si>
  <si>
    <t>BERG FlatGround Champion 330 (without padding)</t>
  </si>
  <si>
    <t>BERG FlatGround Champion 380 (without padding)</t>
  </si>
  <si>
    <t>BERG FlatGround Champion Padding Grey 330</t>
  </si>
  <si>
    <t>BERG FlatGround Champion Padding Green 330</t>
  </si>
  <si>
    <t>BERG FlatGround Champion Padding Grey 380</t>
  </si>
  <si>
    <t>BERG FlatGround Champion Padding Green 380</t>
  </si>
  <si>
    <t>BERG Sicherheitsnetz Comfort 270</t>
  </si>
  <si>
    <t>BERG Filet de sécurité Comfort 270</t>
  </si>
  <si>
    <t>BERG Safety Net Comfort 270</t>
  </si>
  <si>
    <t>BERG Sicherheitsnetz Comfort 330</t>
  </si>
  <si>
    <t>BERG Filet de sécurité Comfort 330</t>
  </si>
  <si>
    <t>BERG Safety Net Comfort 330</t>
  </si>
  <si>
    <t>BERG Sicherheitsnetz Comfort 380</t>
  </si>
  <si>
    <t>BERG Filet de sécurité Comfort 380</t>
  </si>
  <si>
    <t>BERG Safety Net Comfort 380</t>
  </si>
  <si>
    <t>BERG Sicherheitsnetz Comfort 430</t>
  </si>
  <si>
    <t>BERG Filet de sécurité Comfort 430</t>
  </si>
  <si>
    <t>BERG Safety Net Comfort 430</t>
  </si>
  <si>
    <t>BERG InGround Favorit 270 + Sicherheitsnetz Comfort</t>
  </si>
  <si>
    <t>BERG InGround Favorit 270 + Filet de sécurité Comfort</t>
  </si>
  <si>
    <t>BERG InGround Favorit 270 + Safety Net Comfort</t>
  </si>
  <si>
    <t>BERG InGround Favorit 330 + Sicherheitsnetz Comfort</t>
  </si>
  <si>
    <t>BERG InGround Favorit 330 + Filet de sécurité Comfort</t>
  </si>
  <si>
    <t>BERG InGround Favorit 330 + Safety Net Comfort</t>
  </si>
  <si>
    <t>BERG InGround Favorit 430 + Sicherheitsnetz Comfort</t>
  </si>
  <si>
    <t>BERG InGround Favorit 430 + Filet de sécurité Comfort</t>
  </si>
  <si>
    <t>BERG InGround Favorit 430 + Safety Net Comfort</t>
  </si>
  <si>
    <t>BERG InGround Favorit 380 + Sicherheitsnetz Comfort</t>
  </si>
  <si>
    <t>BERG InGround Favorit 380 + Filet de sécurité Comfort</t>
  </si>
  <si>
    <t>BERG InGround Favorit 380 + Safety Net Comfort</t>
  </si>
  <si>
    <t>BERG Abdeckplane Extra Grey Grand Champion</t>
  </si>
  <si>
    <t>BERG Housse de protection Extra Grey Grand Champion</t>
  </si>
  <si>
    <t>BERG Afdekhoes Extra Grey Grand Champion</t>
  </si>
  <si>
    <t>BERG Abdeckplane Extra Grey EazyFit (220x330)</t>
  </si>
  <si>
    <t>BERG Housse de protection Extra Grey EazyFit (220x330)</t>
  </si>
  <si>
    <t>BERG Afdekhoes Extra Grey EazyFit (220x330)</t>
  </si>
  <si>
    <t>BERG Champion Grey 330 + Sicherheitsnetz Comfort</t>
  </si>
  <si>
    <t>BERG Champion Grey 330 + Filet de sécurité Comfort</t>
  </si>
  <si>
    <t>BERG Champion Grey 380 + Sicherheitsnetz Comfort</t>
  </si>
  <si>
    <t>BERG Champion Grey 380 + Filet de sécurité Comfort</t>
  </si>
  <si>
    <t>BERG Champion Grey 430 + Sicherheitsnetz Comfort</t>
  </si>
  <si>
    <t>BERG Champion Grey 430 + Filet de sécurité Comfort</t>
  </si>
  <si>
    <t>BERG InGround Champion 430 + Filet de sécurité Comfort</t>
  </si>
  <si>
    <t>BERG InGround Grand Champion Grey + Sicherheitsnetz Deluxe</t>
  </si>
  <si>
    <t>BERG InGround Grand Champion Grey + Filet de sécurité Deluxe</t>
  </si>
  <si>
    <t>BERG Grand Champion Grey + Sicherheitsnetz Deluxe</t>
  </si>
  <si>
    <t>BERG Grand Champion Grey + Filet de sécurité Deluxe</t>
  </si>
  <si>
    <t>BERG EazyFit (Regular) Grey + Sicherheitsnetz Deluxe EazyFit</t>
  </si>
  <si>
    <t>BERG EazyFit (Regular) Grey + Filet de sécurité Deluxe</t>
  </si>
  <si>
    <t>24.50.00.00</t>
  </si>
  <si>
    <t>BERG GO²</t>
  </si>
  <si>
    <t>Kostprijs</t>
  </si>
  <si>
    <t>Bruto TF</t>
  </si>
  <si>
    <t>Verschil in prijs</t>
  </si>
  <si>
    <t>Diff</t>
  </si>
  <si>
    <t>NVT</t>
  </si>
  <si>
    <t>BERG GO² Blue</t>
  </si>
  <si>
    <t>BERG GO² Pink</t>
  </si>
  <si>
    <t>BERG GO² Mint</t>
  </si>
  <si>
    <t>Kostp. RMB</t>
  </si>
  <si>
    <t>BERG Carrying Strap</t>
  </si>
  <si>
    <t>16.00.01.00</t>
  </si>
  <si>
    <t>16.50.00.00</t>
  </si>
  <si>
    <t>BERG Push Handle XS</t>
  </si>
  <si>
    <t>BERG Safety Flag XS</t>
  </si>
  <si>
    <t>16.00.00.00</t>
  </si>
  <si>
    <t>BERG GO² SparX Red</t>
  </si>
  <si>
    <t>BERG GO² SparX Yellow</t>
  </si>
  <si>
    <t>24.50.03.00</t>
  </si>
  <si>
    <t>24.50.04.00</t>
  </si>
  <si>
    <t>Nieuwe kostprijs RMB</t>
  </si>
  <si>
    <r>
      <t xml:space="preserve">Nieuwe kostprijs </t>
    </r>
    <r>
      <rPr>
        <b/>
        <sz val="10"/>
        <rFont val="Calibri"/>
        <family val="2"/>
      </rPr>
      <t>€</t>
    </r>
  </si>
  <si>
    <t>Verschil in kostprijs %</t>
  </si>
  <si>
    <t>BERG Accessoires</t>
  </si>
  <si>
    <t>Bruto
TF</t>
  </si>
  <si>
    <t>BERG Biky</t>
  </si>
  <si>
    <t>24.75.10.00</t>
  </si>
  <si>
    <t>24.75.11.00</t>
  </si>
  <si>
    <t>24.75.30.00</t>
  </si>
  <si>
    <t>24.75.31.00</t>
  </si>
  <si>
    <t>24.75.50.00</t>
  </si>
  <si>
    <t>24.75.51.00</t>
  </si>
  <si>
    <t>24.75.70.00</t>
  </si>
  <si>
    <t>24.75.71.00</t>
  </si>
  <si>
    <t>24.75.72.00</t>
  </si>
  <si>
    <t>BERG Biky Mini Green</t>
  </si>
  <si>
    <t>BERG Biky Mini Red</t>
  </si>
  <si>
    <t>BERG Biky City Green</t>
  </si>
  <si>
    <t>BERG Biky City Red</t>
  </si>
  <si>
    <t>BERG Biky Retro Green</t>
  </si>
  <si>
    <t>BERG Biky Retro Pink</t>
  </si>
  <si>
    <t>BERG Biky Cross Green</t>
  </si>
  <si>
    <t>BERG Biky Cross Red</t>
  </si>
  <si>
    <t>BERG Biky Cross Grey</t>
  </si>
  <si>
    <t>24.50.07.00</t>
  </si>
  <si>
    <t>24.50.08.00</t>
  </si>
  <si>
    <t>BERG GO² Retro Pink</t>
  </si>
  <si>
    <t>BERG GO² Retro Green</t>
  </si>
  <si>
    <t>BERG BeachWagon</t>
  </si>
  <si>
    <t>BERG Helmet S</t>
  </si>
  <si>
    <t>BERG Biky Protection Cushion</t>
  </si>
  <si>
    <t>BERG Biky Kickstand</t>
  </si>
  <si>
    <t>BERG Biky Safety Flag</t>
  </si>
  <si>
    <t>16.00.04.00</t>
  </si>
  <si>
    <t>16.00.05.00</t>
  </si>
  <si>
    <t>16.00.06.00</t>
  </si>
  <si>
    <t>16.00.07.00</t>
  </si>
  <si>
    <t>24.74.30.00</t>
  </si>
  <si>
    <t>24.74.70.00</t>
  </si>
  <si>
    <t>24.74.71.00</t>
  </si>
  <si>
    <t>24.52.00.00</t>
  </si>
  <si>
    <t>24.52.01.00</t>
  </si>
  <si>
    <t>BERG Biky City Blue Handbrake</t>
  </si>
  <si>
    <t>BERG Biky Cross Blue Handbrake</t>
  </si>
  <si>
    <t>BERG Biky Cross Grey Handbrake</t>
  </si>
  <si>
    <t>BERG GO</t>
  </si>
  <si>
    <t>BERG GO Twirl Turquoise</t>
  </si>
  <si>
    <t>BERG GO Twirl Multicolor</t>
  </si>
  <si>
    <t>Upcharge vrachtkosten</t>
  </si>
  <si>
    <t>Benodigde upcharge</t>
  </si>
  <si>
    <t>Container waarde</t>
  </si>
  <si>
    <t>Resultaat</t>
  </si>
  <si>
    <t>QTY per container</t>
  </si>
  <si>
    <t>Totaal verhoging MRSP</t>
  </si>
  <si>
    <t>Aangepaste prijs</t>
  </si>
  <si>
    <t>Geel gemarkeerd prijzen nog niet 100% final</t>
  </si>
  <si>
    <t>$13.000 container price</t>
  </si>
  <si>
    <t>$15.000 container price</t>
  </si>
  <si>
    <t>New product</t>
  </si>
  <si>
    <t>BERG SportsGoal</t>
  </si>
  <si>
    <t>20.30.01.00</t>
  </si>
  <si>
    <t>20.30.02.00</t>
  </si>
  <si>
    <t>20.30.03.00</t>
  </si>
  <si>
    <t>8715839090741</t>
  </si>
  <si>
    <t>8715839090758</t>
  </si>
  <si>
    <t>8715839091823</t>
  </si>
  <si>
    <t>20.31.01.00</t>
  </si>
  <si>
    <t>BERG SportsGoal Target Net S</t>
  </si>
  <si>
    <t>20.31.02.00</t>
  </si>
  <si>
    <t>BERG SportsGoal Target Net M</t>
  </si>
  <si>
    <t>20.31.03.00</t>
  </si>
  <si>
    <t>BERG SportsGoal Target Net L</t>
  </si>
  <si>
    <t>8715839091830</t>
  </si>
  <si>
    <t>8715839091847</t>
  </si>
  <si>
    <t>8715839091854</t>
  </si>
  <si>
    <t>20.31.10.00</t>
  </si>
  <si>
    <t>8715839091861</t>
  </si>
  <si>
    <t>BERG SportsGoal S</t>
  </si>
  <si>
    <t>BERG SportsGoal M</t>
  </si>
  <si>
    <t>BERG SportsGoal L</t>
  </si>
  <si>
    <t>BERG Soccer Ball Size 5</t>
  </si>
  <si>
    <t>BERG SportsGoal Kits</t>
  </si>
  <si>
    <t>22.70.00.00</t>
  </si>
  <si>
    <t>22.70.01.00</t>
  </si>
  <si>
    <t>22.70.02.00</t>
  </si>
  <si>
    <t>BERG SportsGoal S + Target Net</t>
  </si>
  <si>
    <t>BERG SportsGoal M + Target Net</t>
  </si>
  <si>
    <t>BERG SportsGoal L + Target Net</t>
  </si>
  <si>
    <t>8715839105032</t>
  </si>
  <si>
    <t>8715839105049</t>
  </si>
  <si>
    <t>8715839105056</t>
  </si>
  <si>
    <t>Dealerprice</t>
  </si>
  <si>
    <t>excl. VAT</t>
  </si>
  <si>
    <t>35.82.01.00</t>
  </si>
  <si>
    <t>BERG Infinity Pods - Set 3</t>
  </si>
  <si>
    <t>8715839090482</t>
  </si>
  <si>
    <t>35.82.02.00</t>
  </si>
  <si>
    <t>BERG Infinity Pods - Set 6</t>
  </si>
  <si>
    <t>8715839090499</t>
  </si>
  <si>
    <t>35.82.03.00</t>
  </si>
  <si>
    <t>BERG Infinity Pods - Single Pod</t>
  </si>
  <si>
    <t>8715839090505</t>
  </si>
  <si>
    <t>BERG Infinity Pods</t>
  </si>
  <si>
    <t>All product information and prices subject to change without notice</t>
  </si>
  <si>
    <t>General terms and conditions BERG Toys apply. These can be found at www.bergtoys.com. A copy can be supplied on request.</t>
  </si>
  <si>
    <t>WWW.DEALERZONE.NET</t>
  </si>
  <si>
    <t>Valid as per 1 January 2026</t>
  </si>
  <si>
    <t>BERG AirTrack</t>
  </si>
  <si>
    <t>36.01.14.01</t>
  </si>
  <si>
    <t>BERG AirTrack Home 300</t>
  </si>
  <si>
    <t>8715839103489</t>
  </si>
  <si>
    <t>36.01.24.01</t>
  </si>
  <si>
    <t>BERG AirTrack Home 500</t>
  </si>
  <si>
    <t>8715839103496</t>
  </si>
  <si>
    <t>36.02.24.01</t>
  </si>
  <si>
    <t>BERG AirTrack Sport 500</t>
  </si>
  <si>
    <t>8715839103502</t>
  </si>
  <si>
    <t>SPORTS</t>
  </si>
  <si>
    <t>Selective distrubution</t>
  </si>
  <si>
    <t>8715839085334</t>
  </si>
  <si>
    <t>8715839085341</t>
  </si>
  <si>
    <t>8715839065404</t>
  </si>
  <si>
    <t>8715839070460</t>
  </si>
  <si>
    <t>8715839076028</t>
  </si>
  <si>
    <t>8715839076035</t>
  </si>
  <si>
    <t>BERG Moov</t>
  </si>
  <si>
    <t>24.81.00.00</t>
  </si>
  <si>
    <t>BERG MOOV 10 Blue</t>
  </si>
  <si>
    <t>8715839102475</t>
  </si>
  <si>
    <t>24.81.01.00</t>
  </si>
  <si>
    <t>BERG MOOV 10 Green</t>
  </si>
  <si>
    <t>8715839102482</t>
  </si>
  <si>
    <t>24.81.02.00</t>
  </si>
  <si>
    <t>BERG MOOV 10 Pink</t>
  </si>
  <si>
    <t>8715839102499</t>
  </si>
  <si>
    <t>24.81.03.00</t>
  </si>
  <si>
    <t>BERG MOOV 10 Sand Beige</t>
  </si>
  <si>
    <t>8715839105223</t>
  </si>
  <si>
    <t>24.82.00.00</t>
  </si>
  <si>
    <t>BERG MOOV 12 Sage Green</t>
  </si>
  <si>
    <t>8715839105865</t>
  </si>
  <si>
    <t>24.82.01.00</t>
  </si>
  <si>
    <t>BERG MOOV 12 Lavender Purple</t>
  </si>
  <si>
    <t>8715839105872</t>
  </si>
  <si>
    <t>24.82.02.00</t>
  </si>
  <si>
    <t>BERG MOOV 12 Sand Beige</t>
  </si>
  <si>
    <t>8715839105889</t>
  </si>
  <si>
    <t>24.82.03.00</t>
  </si>
  <si>
    <t>BERG MOOV 12 Retro Black</t>
  </si>
  <si>
    <t>8715839105896</t>
  </si>
  <si>
    <t>24.82.04.00</t>
  </si>
  <si>
    <t>BERG MOOV 12 Retro Pink</t>
  </si>
  <si>
    <t>8715839105902</t>
  </si>
  <si>
    <t>8715839077810</t>
  </si>
  <si>
    <t>8715839077773</t>
  </si>
  <si>
    <t>8715839077780</t>
  </si>
  <si>
    <t>8715839085358</t>
  </si>
  <si>
    <t>8715839085365</t>
  </si>
  <si>
    <t>24.74.72.00</t>
  </si>
  <si>
    <t>BERG Biky Trail Green Handbrake</t>
  </si>
  <si>
    <t>8715839090819</t>
  </si>
  <si>
    <t>24.74.73.00</t>
  </si>
  <si>
    <t>BERG Biky Cross Black Handbrake</t>
  </si>
  <si>
    <t>8715839100310</t>
  </si>
  <si>
    <t>24.74.74.00</t>
  </si>
  <si>
    <t>BERG Biky Cross White Handbrake</t>
  </si>
  <si>
    <t>8715839100655</t>
  </si>
  <si>
    <t>24.74.75.00</t>
  </si>
  <si>
    <t>BERG Biky Cross Purple Handbrake</t>
  </si>
  <si>
    <t>8715839100662</t>
  </si>
  <si>
    <t>24.74.76.00</t>
  </si>
  <si>
    <t>BERG Biky Cross Green Handbrake</t>
  </si>
  <si>
    <t>8715839103366</t>
  </si>
  <si>
    <t>24.74.77.00</t>
  </si>
  <si>
    <t>BERG Biky Trail Sand Handbrake</t>
  </si>
  <si>
    <t>8715839103373</t>
  </si>
  <si>
    <t>24.74.78.00</t>
  </si>
  <si>
    <t>BERG Biky Cross Red Handbrake</t>
  </si>
  <si>
    <t>8715839105216</t>
  </si>
  <si>
    <t>BERG Nexo</t>
  </si>
  <si>
    <t>24.77.00.00</t>
  </si>
  <si>
    <t>BERG Nexo Foldable Lime</t>
  </si>
  <si>
    <t>8715839090529</t>
  </si>
  <si>
    <t>24.77.01.00</t>
  </si>
  <si>
    <t>BERG Nexo Foldable Blue</t>
  </si>
  <si>
    <t>8715839090536</t>
  </si>
  <si>
    <t>24.77.02.00</t>
  </si>
  <si>
    <t>BERG Nexo Foldable Red</t>
  </si>
  <si>
    <t>8715839090543</t>
  </si>
  <si>
    <t>24.77.03.00</t>
  </si>
  <si>
    <t>BERG Nexo Foldable Mint</t>
  </si>
  <si>
    <t>8715839090550</t>
  </si>
  <si>
    <t>24.77.04.00</t>
  </si>
  <si>
    <t>BERG Nexo Foldable Lights Lime</t>
  </si>
  <si>
    <t>8715839090567</t>
  </si>
  <si>
    <t>24.77.05.00</t>
  </si>
  <si>
    <t>BERG Nexo Foldable Lights Blue</t>
  </si>
  <si>
    <t>8715839090574</t>
  </si>
  <si>
    <t>24.77.06.00</t>
  </si>
  <si>
    <t>BERG Nexo Foldable Lights Red</t>
  </si>
  <si>
    <t>8715839090581</t>
  </si>
  <si>
    <t>24.77.07.00</t>
  </si>
  <si>
    <t>BERG Nexo Foldable Lights Mint</t>
  </si>
  <si>
    <t>8715839090598</t>
  </si>
  <si>
    <t>24.77.08.00</t>
  </si>
  <si>
    <t>BERG Nexo Foldable Lights LED-deck Lime</t>
  </si>
  <si>
    <t>8715839090604</t>
  </si>
  <si>
    <t>24.77.09.00</t>
  </si>
  <si>
    <t>BERG Nexo Foldable Lights LED-deck Blue</t>
  </si>
  <si>
    <t>8715839090611</t>
  </si>
  <si>
    <t>24.77.10.00</t>
  </si>
  <si>
    <t>BERG Nexo Foldable Lights LED-deck Red</t>
  </si>
  <si>
    <t>8715839090628</t>
  </si>
  <si>
    <t>24.77.11.00</t>
  </si>
  <si>
    <t>BERG Nexo Foldable Lights LED-deck Mint</t>
  </si>
  <si>
    <t>8715839090635</t>
  </si>
  <si>
    <t>24.77.12.00</t>
  </si>
  <si>
    <t>BERG Nexo Foldable Lights Magnet-deck Lime</t>
  </si>
  <si>
    <t>8715839090642</t>
  </si>
  <si>
    <t>24.77.13.00</t>
  </si>
  <si>
    <t>BERG Nexo Foldable Lights Magnet-deck Blue</t>
  </si>
  <si>
    <t>8715839090659</t>
  </si>
  <si>
    <t>24.77.14.00</t>
  </si>
  <si>
    <t>BERG Nexo Foldable Lights Magnet-deck Red</t>
  </si>
  <si>
    <t>8715839090666</t>
  </si>
  <si>
    <t>24.77.15.00</t>
  </si>
  <si>
    <t>BERG Nexo Foldable Lights Magnet-deck Mint</t>
  </si>
  <si>
    <t>8715839090673</t>
  </si>
  <si>
    <t>BERG Dash</t>
  </si>
  <si>
    <t>24.90.00.00</t>
  </si>
  <si>
    <t>BERG Dash 14 Sage Green</t>
  </si>
  <si>
    <t>8715839103533</t>
  </si>
  <si>
    <t>24.90.01.00</t>
  </si>
  <si>
    <t>BERG Dash 14 Sand Beige</t>
  </si>
  <si>
    <t>8715839103557</t>
  </si>
  <si>
    <t>24.90.02.00</t>
  </si>
  <si>
    <t>BERG Dash 14 Terracotta Red</t>
  </si>
  <si>
    <t>8715839103564</t>
  </si>
  <si>
    <t>24.90.03.00</t>
  </si>
  <si>
    <t>BERG Dash 14 Lavender Purple</t>
  </si>
  <si>
    <t>8715839103571</t>
  </si>
  <si>
    <t>24.91.00.00</t>
  </si>
  <si>
    <t>BERG Dash 16 Sage Green</t>
  </si>
  <si>
    <t>8715839103588</t>
  </si>
  <si>
    <t>24.91.01.00</t>
  </si>
  <si>
    <t>BERG Dash 16 Sand Beige</t>
  </si>
  <si>
    <t>8715839103595</t>
  </si>
  <si>
    <t>24.91.02.00</t>
  </si>
  <si>
    <t>BERG Dash 16 Terracotta Red</t>
  </si>
  <si>
    <t>8715839103601</t>
  </si>
  <si>
    <t>24.91.03.00</t>
  </si>
  <si>
    <t>BERG Dash 16 Lavender Purple</t>
  </si>
  <si>
    <t>8715839103618</t>
  </si>
  <si>
    <t>BERG Proxus</t>
  </si>
  <si>
    <t>24.80.00.00</t>
  </si>
  <si>
    <t>BERG Proxus X1 Blue/Lime</t>
  </si>
  <si>
    <t>8715839091953</t>
  </si>
  <si>
    <t>24.80.01.00</t>
  </si>
  <si>
    <t>BERG Proxus X1 Green/Orange</t>
  </si>
  <si>
    <t>8715839091960</t>
  </si>
  <si>
    <t>24.80.02.00</t>
  </si>
  <si>
    <t>BERG Proxus X1 Grey/Pink</t>
  </si>
  <si>
    <t>8715839091977</t>
  </si>
  <si>
    <t>24.80.03.00</t>
  </si>
  <si>
    <t>BERG Proxus X1 Neochrome/Black</t>
  </si>
  <si>
    <t>8715839091984</t>
  </si>
  <si>
    <t>BERG Beach Wagon</t>
  </si>
  <si>
    <t>18.07.12.00</t>
  </si>
  <si>
    <t>BERG Beach Wagon L Black</t>
  </si>
  <si>
    <t>8715839092028</t>
  </si>
  <si>
    <t>18.07.18.00</t>
  </si>
  <si>
    <t>BERG Beach Wagon XL Black</t>
  </si>
  <si>
    <t>8715839092035</t>
  </si>
  <si>
    <r>
      <t>BERG Safety Flag XS</t>
    </r>
    <r>
      <rPr>
        <sz val="9"/>
        <rFont val="PF Centro Sans Pro"/>
        <family val="3"/>
      </rPr>
      <t xml:space="preserve"> (BERG GO²)</t>
    </r>
  </si>
  <si>
    <t>8715839065732</t>
  </si>
  <si>
    <t>8715839065749</t>
  </si>
  <si>
    <t>8715839065725</t>
  </si>
  <si>
    <t>8715839078909</t>
  </si>
  <si>
    <t>16.00.17.00</t>
  </si>
  <si>
    <t>BERG Helmet M</t>
  </si>
  <si>
    <t>8715839091885</t>
  </si>
  <si>
    <t>8715839078916</t>
  </si>
  <si>
    <t>8715839078923</t>
  </si>
  <si>
    <t>16.00.07.01</t>
  </si>
  <si>
    <t>16.00.18.00</t>
  </si>
  <si>
    <t>BERG Protection Set S</t>
  </si>
  <si>
    <t>8715839091892</t>
  </si>
  <si>
    <t>16.00.19.00</t>
  </si>
  <si>
    <t>BERG Protection Set M</t>
  </si>
  <si>
    <t>8715839091908</t>
  </si>
  <si>
    <t>16.00.20.00</t>
  </si>
  <si>
    <t>BERG Biky Mudguard set</t>
  </si>
  <si>
    <t>8715839091915</t>
  </si>
  <si>
    <t>16.00.23.00</t>
  </si>
  <si>
    <t>BERG Biky Number Plate</t>
  </si>
  <si>
    <t>8715839100174</t>
  </si>
  <si>
    <t>16.00.10.00</t>
  </si>
  <si>
    <t>BERG Nexo LED Add-On</t>
  </si>
  <si>
    <t>8715839090000</t>
  </si>
  <si>
    <t>16.00.12.00</t>
  </si>
  <si>
    <t>BERG Nexo Magnet Add-On</t>
  </si>
  <si>
    <t>8715839090680</t>
  </si>
  <si>
    <t>16.00.13.00</t>
  </si>
  <si>
    <t>BERG Nexo Wheels 120x40mm Lights Blue</t>
  </si>
  <si>
    <t>8715839090697</t>
  </si>
  <si>
    <t>16.00.14.00</t>
  </si>
  <si>
    <t>BERG Nexo Wheels 120x40mm Lights Orange</t>
  </si>
  <si>
    <t>8715839090703</t>
  </si>
  <si>
    <t>16.00.15.00</t>
  </si>
  <si>
    <t>BERG Nexo Wheels 120x40mm Lights Mint</t>
  </si>
  <si>
    <t>8715839090710</t>
  </si>
  <si>
    <t>16.00.16.00</t>
  </si>
  <si>
    <t>BERG Nexo Wheels 120x40mm Lights Pink</t>
  </si>
  <si>
    <t>8715839090727</t>
  </si>
  <si>
    <t>16.00.24.00</t>
  </si>
  <si>
    <t>BERG MOOV 10 Kickstand</t>
  </si>
  <si>
    <t>8715839103465</t>
  </si>
  <si>
    <t>16.00.35.00</t>
  </si>
  <si>
    <t>BERG MOOV 12 Kickstand</t>
  </si>
  <si>
    <t>8715839105919</t>
  </si>
  <si>
    <t>16.00.25.00</t>
  </si>
  <si>
    <t>BERG Dash 14 Kickstand</t>
  </si>
  <si>
    <t>8715839105117</t>
  </si>
  <si>
    <t>16.00.26.00</t>
  </si>
  <si>
    <t>BERG Dash 16 Kickstand</t>
  </si>
  <si>
    <t>8715839105551</t>
  </si>
  <si>
    <t>16.00.27.00</t>
  </si>
  <si>
    <t>BERG Dash 14 Mudguard Set</t>
  </si>
  <si>
    <t>8715839105537</t>
  </si>
  <si>
    <t>16.00.28.00</t>
  </si>
  <si>
    <t>BERG Dash 16 Mudguard Set</t>
  </si>
  <si>
    <t>8715839105544</t>
  </si>
  <si>
    <t>16.00.29.00</t>
  </si>
  <si>
    <t>BERG Bicycle Helmet S</t>
  </si>
  <si>
    <t>8715839103625</t>
  </si>
  <si>
    <t>16.00.30.00</t>
  </si>
  <si>
    <t>BERG Bicycle Helmet M</t>
  </si>
  <si>
    <t>8715839103632</t>
  </si>
  <si>
    <t>16.00.31.00</t>
  </si>
  <si>
    <t>BERG Chain Lock</t>
  </si>
  <si>
    <t>8715839103748</t>
  </si>
  <si>
    <t>16.00.32.00</t>
  </si>
  <si>
    <t>BERG Bicycle Bell</t>
  </si>
  <si>
    <t>8715839103755</t>
  </si>
  <si>
    <t>16.00.33.00</t>
  </si>
  <si>
    <t>BERG MOOV Safety Flag</t>
  </si>
  <si>
    <t>8715839104776</t>
  </si>
  <si>
    <t>Ending product</t>
  </si>
  <si>
    <t>PLAY</t>
  </si>
  <si>
    <t>BERG PlayBase Wall</t>
  </si>
  <si>
    <t>22.00.01.00</t>
  </si>
  <si>
    <t>8715839102345</t>
  </si>
  <si>
    <t>22.00.02.00</t>
  </si>
  <si>
    <t>BERG PlayBase Wall Green</t>
  </si>
  <si>
    <t>8715839105131</t>
  </si>
  <si>
    <t>22.01.02.00</t>
  </si>
  <si>
    <t>BERG PlayBase Wall + Swing set</t>
  </si>
  <si>
    <t>8715839104417</t>
  </si>
  <si>
    <t>22.01.03.00</t>
  </si>
  <si>
    <t>BERG PlayBase Wall + Family set</t>
  </si>
  <si>
    <t>8715839104424</t>
  </si>
  <si>
    <t>22.01.04.00</t>
  </si>
  <si>
    <t>BERG PlayBase Wall + Peak set</t>
  </si>
  <si>
    <t>8715839104431</t>
  </si>
  <si>
    <t>22.01.05.00</t>
  </si>
  <si>
    <t>BERG PlayBase Wall + Sports set</t>
  </si>
  <si>
    <t>8715839104448</t>
  </si>
  <si>
    <t>BERG Playbase Medium</t>
  </si>
  <si>
    <t>22.20.01.00</t>
  </si>
  <si>
    <t>BERG PlayBase Medium</t>
  </si>
  <si>
    <t>8715839081824</t>
  </si>
  <si>
    <t>22.20.04.00</t>
  </si>
  <si>
    <t>BERG PlayBase Medium Green</t>
  </si>
  <si>
    <t>8715839105148</t>
  </si>
  <si>
    <t>22.22.00.00</t>
  </si>
  <si>
    <t>BERG PlayBase Medium TL (Climbing net M+Boxing bag)</t>
  </si>
  <si>
    <t>8715839081749</t>
  </si>
  <si>
    <t>22.21.05.00</t>
  </si>
  <si>
    <t>BERG PlayBase Medium + Swing set</t>
  </si>
  <si>
    <t>8715839104455</t>
  </si>
  <si>
    <t>22.21.06.00</t>
  </si>
  <si>
    <t>BERG PlayBase Medium + Active set</t>
  </si>
  <si>
    <t>8715839104462</t>
  </si>
  <si>
    <t>22.21.07.00</t>
  </si>
  <si>
    <t>BERG PlayBase Medium + Toddler set</t>
  </si>
  <si>
    <t>8715839104479</t>
  </si>
  <si>
    <t>22.21.08.00</t>
  </si>
  <si>
    <t>BERG PlayBase Medium + Ultimate set</t>
  </si>
  <si>
    <t>8715839104486</t>
  </si>
  <si>
    <t>22.21.09.00</t>
  </si>
  <si>
    <t>BERG PlayBase Medium + Play set</t>
  </si>
  <si>
    <t>8715839104493</t>
  </si>
  <si>
    <t>22.22.01.00</t>
  </si>
  <si>
    <t>BERG PlayBase Medium + Sports set</t>
  </si>
  <si>
    <t>8715839104509</t>
  </si>
  <si>
    <t>BERG Playbase Large</t>
  </si>
  <si>
    <t>22.40.01.00</t>
  </si>
  <si>
    <t>BERG PlayBase Large</t>
  </si>
  <si>
    <t>8715839081855</t>
  </si>
  <si>
    <t>22.40.05.00</t>
  </si>
  <si>
    <t>BERG PlayBase Large Green</t>
  </si>
  <si>
    <t>8715839103731</t>
  </si>
  <si>
    <t>22.42.00.00</t>
  </si>
  <si>
    <t>BERG PlayBase Large TL (Climbing net L+Boxing bag)</t>
  </si>
  <si>
    <t>8715839081800</t>
  </si>
  <si>
    <t>22.43.00.00</t>
  </si>
  <si>
    <t>BERG PlayBase Large TT (Hammock)</t>
  </si>
  <si>
    <t>8715839081763</t>
  </si>
  <si>
    <t>22.41.04.00</t>
  </si>
  <si>
    <t>BERG PlayBase Large + Toddler set</t>
  </si>
  <si>
    <t>8715839104516</t>
  </si>
  <si>
    <t>22.41.05.00</t>
  </si>
  <si>
    <t>BERG PlayBase Large + Family set</t>
  </si>
  <si>
    <t>8715839104523</t>
  </si>
  <si>
    <t>22.41.06.00</t>
  </si>
  <si>
    <t>BERG PlayBase Large + Peak set</t>
  </si>
  <si>
    <t>8715839104530</t>
  </si>
  <si>
    <t>22.41.07.00</t>
  </si>
  <si>
    <t>BERG PlayBase Large + Ultimate set</t>
  </si>
  <si>
    <t>8715839104547</t>
  </si>
  <si>
    <t>22.41.08.00</t>
  </si>
  <si>
    <t>BERG PlayBase Large + Play set</t>
  </si>
  <si>
    <t>8715839104554</t>
  </si>
  <si>
    <t>22.42.01.00</t>
  </si>
  <si>
    <t>BERG PlayBase Large + Sports set</t>
  </si>
  <si>
    <t>8715839104561</t>
  </si>
  <si>
    <t>BERG PlayBase Extra Large</t>
  </si>
  <si>
    <t>22.60.00.00</t>
  </si>
  <si>
    <t>8715839102338</t>
  </si>
  <si>
    <t>22.60.01.00</t>
  </si>
  <si>
    <t>BERG PlayBase Extra Large Green</t>
  </si>
  <si>
    <t>8715839105155</t>
  </si>
  <si>
    <t>22.61.00.00</t>
  </si>
  <si>
    <t>BERG PlayBase Extra Large + Active set</t>
  </si>
  <si>
    <t>8715839104578</t>
  </si>
  <si>
    <t>22.61.01.00</t>
  </si>
  <si>
    <t>BERG PlayBase Extra Large + Family set</t>
  </si>
  <si>
    <t>8715839104585</t>
  </si>
  <si>
    <t>22.61.02.00</t>
  </si>
  <si>
    <t>BERG PlayBase Extra Large + Ultimate set</t>
  </si>
  <si>
    <t>8715839104592</t>
  </si>
  <si>
    <t>22.61.03.00</t>
  </si>
  <si>
    <t>BERG PlayBase Extra Large + Play set</t>
  </si>
  <si>
    <t>8715839104608</t>
  </si>
  <si>
    <t>22.62.00.00</t>
  </si>
  <si>
    <t>BERG PlayBase Extra Large + Sports set</t>
  </si>
  <si>
    <t>8715839104615</t>
  </si>
  <si>
    <t>BERG PlayBase accessories</t>
  </si>
  <si>
    <t>22.00.00.00</t>
  </si>
  <si>
    <t>BERG PlayBase Platform + Slide</t>
  </si>
  <si>
    <t>8715839100549</t>
  </si>
  <si>
    <t>20.20.00.00</t>
  </si>
  <si>
    <t>BERG PlayBase Baby seat</t>
  </si>
  <si>
    <t>8715839077919</t>
  </si>
  <si>
    <t>20.21.11.00</t>
  </si>
  <si>
    <t>BERG Baby swing</t>
  </si>
  <si>
    <t>8715839103816</t>
  </si>
  <si>
    <t>20.20.01.00</t>
  </si>
  <si>
    <t>BERG PlayBase Basketball hoop</t>
  </si>
  <si>
    <t>8715839086119</t>
  </si>
  <si>
    <t>20.20.03.00</t>
  </si>
  <si>
    <t>BERG PlayBase Soccer target net M</t>
  </si>
  <si>
    <t>8715839102161</t>
  </si>
  <si>
    <t>20.20.02.00</t>
  </si>
  <si>
    <t>BERG PlayBase Soccer target net L</t>
  </si>
  <si>
    <t>8715839086164</t>
  </si>
  <si>
    <t>20.20.04.00</t>
  </si>
  <si>
    <t>BERG PlayBase Soccer target net XL</t>
  </si>
  <si>
    <t>8715839102178</t>
  </si>
  <si>
    <t>20.21.09.00</t>
  </si>
  <si>
    <t>BERG Seat swing</t>
  </si>
  <si>
    <t>8715839103427</t>
  </si>
  <si>
    <t>20.21.02.00</t>
  </si>
  <si>
    <t>BERG PlayBase Wooden disc swing</t>
  </si>
  <si>
    <t>8715839077940</t>
  </si>
  <si>
    <t>20.21.08.00</t>
  </si>
  <si>
    <t>BERG Disc swing</t>
  </si>
  <si>
    <t>8715839103434</t>
  </si>
  <si>
    <t>20.21.07.00</t>
  </si>
  <si>
    <t>BERG Nest swing</t>
  </si>
  <si>
    <t>8715839103700</t>
  </si>
  <si>
    <t>20.21.06.00</t>
  </si>
  <si>
    <t>BERG Gym rings</t>
  </si>
  <si>
    <t>8715839103458</t>
  </si>
  <si>
    <t>20.21.10.00</t>
  </si>
  <si>
    <t>BERG Trapeze</t>
  </si>
  <si>
    <t>8715839103441</t>
  </si>
  <si>
    <t>20.22.00.00</t>
  </si>
  <si>
    <t>BERG PlayBase Climbing wall</t>
  </si>
  <si>
    <t>8715839077988</t>
  </si>
  <si>
    <t>20.22.06.00</t>
  </si>
  <si>
    <t>8715839103519</t>
  </si>
  <si>
    <t>20.22.01.00</t>
  </si>
  <si>
    <t>BERG PlayBase Climbing net M</t>
  </si>
  <si>
    <t>8715839077995</t>
  </si>
  <si>
    <t>20.22.02.00</t>
  </si>
  <si>
    <t>BERG PlayBase Climbing net L</t>
  </si>
  <si>
    <t>8715839078008</t>
  </si>
  <si>
    <t>20.22.05.00</t>
  </si>
  <si>
    <t>BERG PlayBase Climbing net XL</t>
  </si>
  <si>
    <t>8715839103380</t>
  </si>
  <si>
    <t>20.23.00.00</t>
  </si>
  <si>
    <t>BERG PlayBase Boxing bag</t>
  </si>
  <si>
    <t>8715839078015</t>
  </si>
  <si>
    <t>20.23.01.00</t>
  </si>
  <si>
    <t>BERG PlayBase Dip bar</t>
  </si>
  <si>
    <t>8715839086126</t>
  </si>
  <si>
    <t>20.23.02.00</t>
  </si>
  <si>
    <t>BERG PlayBase Pull-Up bar</t>
  </si>
  <si>
    <t>8715839086133</t>
  </si>
  <si>
    <t>20.23.03.00</t>
  </si>
  <si>
    <t>BERG PlayBase Fitness rope</t>
  </si>
  <si>
    <t>8715839086140</t>
  </si>
  <si>
    <t>20.23.04.00</t>
  </si>
  <si>
    <t>BERG PlayBase Resistance bands</t>
  </si>
  <si>
    <t>8715839086157</t>
  </si>
  <si>
    <t>20.24.00.00</t>
  </si>
  <si>
    <t>BERG PlayBase Hammock</t>
  </si>
  <si>
    <t>8715839078022</t>
  </si>
  <si>
    <t>Selective distribution</t>
  </si>
  <si>
    <t>24.30.08.00</t>
  </si>
  <si>
    <t>BERG Buzzy Orange</t>
  </si>
  <si>
    <t>8715839100372</t>
  </si>
  <si>
    <t>24.30.15.00</t>
  </si>
  <si>
    <t>BERG Buzzy Retro Green</t>
  </si>
  <si>
    <t>8715839091182</t>
  </si>
  <si>
    <t>24.32.00.00</t>
  </si>
  <si>
    <t>BERG Buzzy Nitro 2-in-1</t>
  </si>
  <si>
    <t>8715839068320</t>
  </si>
  <si>
    <t>24.32.02.00</t>
  </si>
  <si>
    <t>BERG Buzzy Retro 2-in-1 Green</t>
  </si>
  <si>
    <t>8715839075991</t>
  </si>
  <si>
    <t>24.30.12.00</t>
  </si>
  <si>
    <t>JEEP Buzzy Sahara</t>
  </si>
  <si>
    <t>8715839066661</t>
  </si>
  <si>
    <t>24.30.16.00</t>
  </si>
  <si>
    <t>BERG Buzzy Green</t>
  </si>
  <si>
    <t>8715839105063</t>
  </si>
  <si>
    <t>24.30.17.00</t>
  </si>
  <si>
    <t>BERG Buzzy Pink</t>
  </si>
  <si>
    <t>8715839105100</t>
  </si>
  <si>
    <t>24.30.22.00</t>
  </si>
  <si>
    <t>BERG Buzzy Police</t>
  </si>
  <si>
    <t>8715839086102</t>
  </si>
  <si>
    <t>BERG Reppy</t>
  </si>
  <si>
    <t>24.60.07.00</t>
  </si>
  <si>
    <t>BERG Reppy Blue</t>
  </si>
  <si>
    <t>8715839101522</t>
  </si>
  <si>
    <t>24.60.04.00</t>
  </si>
  <si>
    <t>BERG Reppy Roadster</t>
  </si>
  <si>
    <t>8715839075328</t>
  </si>
  <si>
    <t>24.60.02.00</t>
  </si>
  <si>
    <t>BERG Reppy Rebel</t>
  </si>
  <si>
    <t>8715839066630</t>
  </si>
  <si>
    <t>24.61.01.00</t>
  </si>
  <si>
    <t>BERG Reppy GP</t>
  </si>
  <si>
    <t>8715839081893</t>
  </si>
  <si>
    <t>24.61.00.00</t>
  </si>
  <si>
    <t>BERG Reppy BMW</t>
  </si>
  <si>
    <t>8715839068993</t>
  </si>
  <si>
    <t>24.60.09.00</t>
  </si>
  <si>
    <t>BERG Reppy Volt Black</t>
  </si>
  <si>
    <t>8715839105087</t>
  </si>
  <si>
    <t>24.20.60.03</t>
  </si>
  <si>
    <t>BERG Buddy B-Orange</t>
  </si>
  <si>
    <t>8715839067705</t>
  </si>
  <si>
    <t>24.20.64.01</t>
  </si>
  <si>
    <t>BERG Buddy Lua</t>
  </si>
  <si>
    <t>8715839068207</t>
  </si>
  <si>
    <t>24.20.65.01</t>
  </si>
  <si>
    <t>24.20.68.00</t>
  </si>
  <si>
    <t>BERG Buddy Retro Green</t>
  </si>
  <si>
    <t>8715839101799</t>
  </si>
  <si>
    <t>24.20.69.00</t>
  </si>
  <si>
    <t>BERG Buddy Trail Green</t>
  </si>
  <si>
    <t>8715839105070</t>
  </si>
  <si>
    <t>24.20.70.00</t>
  </si>
  <si>
    <t>BERG Buddy Cross Black</t>
  </si>
  <si>
    <t>8715839105377</t>
  </si>
  <si>
    <t>24.20.71.00</t>
  </si>
  <si>
    <t>BERG Buddy Purple</t>
  </si>
  <si>
    <t>8715839105414</t>
  </si>
  <si>
    <t>24.21.24.03</t>
  </si>
  <si>
    <t>8715839100419</t>
  </si>
  <si>
    <t>24.21.34.03</t>
  </si>
  <si>
    <t>Jeep® Buddy Wrangler</t>
  </si>
  <si>
    <t>8715839100044</t>
  </si>
  <si>
    <t>24.21.54.02</t>
  </si>
  <si>
    <t>8715839100426</t>
  </si>
  <si>
    <t>24.15.01.01</t>
  </si>
  <si>
    <t>BERG Choppy Neo</t>
  </si>
  <si>
    <t>8715839070187</t>
  </si>
  <si>
    <t>24.20.66.00</t>
  </si>
  <si>
    <t>24.40.01.00</t>
  </si>
  <si>
    <t>BERG Rally NRG Orange</t>
  </si>
  <si>
    <t>8715839082012</t>
  </si>
  <si>
    <t>24.40.02.00</t>
  </si>
  <si>
    <t>BERG Rally APX Blue</t>
  </si>
  <si>
    <t>8715839081992</t>
  </si>
  <si>
    <t>24.40.03.00</t>
  </si>
  <si>
    <t>BERG Rally DRT Green</t>
  </si>
  <si>
    <t>8715839086072</t>
  </si>
  <si>
    <t>24.40.11.00</t>
  </si>
  <si>
    <t>Jeep® Rally Cherokee</t>
  </si>
  <si>
    <t>8715839086096</t>
  </si>
  <si>
    <t>24.41.02.00</t>
  </si>
  <si>
    <t>BERG Rally APX Red 3 Gears</t>
  </si>
  <si>
    <t>8715839082005</t>
  </si>
  <si>
    <t>24.41.03.00</t>
  </si>
  <si>
    <t>BERG Rally DRT Yellow 3 Gears</t>
  </si>
  <si>
    <t>8715839086089</t>
  </si>
  <si>
    <t>24.41.04.00</t>
  </si>
  <si>
    <t>BERG Rally DRT Black 3 Gears</t>
  </si>
  <si>
    <t>8715839103526</t>
  </si>
  <si>
    <t>24.10.01.00</t>
  </si>
  <si>
    <t>BERG Street-X Venom</t>
  </si>
  <si>
    <t>8715839076387</t>
  </si>
  <si>
    <t>24.10.02.00</t>
  </si>
  <si>
    <t>BERG Street-X Vibes</t>
  </si>
  <si>
    <t>8715839076394</t>
  </si>
  <si>
    <t xml:space="preserve">BERG Specials </t>
  </si>
  <si>
    <t>BERG XL Chopper BFR</t>
  </si>
  <si>
    <t>BERG XL Duo Chopper BF</t>
  </si>
  <si>
    <t>07.17.00.00</t>
  </si>
  <si>
    <t>BERG Duo Coaster BFR</t>
  </si>
  <si>
    <t>8715839070668</t>
  </si>
  <si>
    <t>07.47.00.00</t>
  </si>
  <si>
    <t>BERG Duo Coaster E-BFR</t>
  </si>
  <si>
    <t>8715839073409</t>
  </si>
  <si>
    <t>29.07.30.01</t>
  </si>
  <si>
    <t>BERG Gran Tour Off-Road</t>
  </si>
  <si>
    <t>8715839070255</t>
  </si>
  <si>
    <t>29.07.40.01</t>
  </si>
  <si>
    <t>BERG Gran Tour Racer</t>
  </si>
  <si>
    <t>8715839070262</t>
  </si>
  <si>
    <t>BERG Sunroof Gran Tour</t>
  </si>
  <si>
    <t>XL BFR</t>
  </si>
  <si>
    <t>07.10.20.00</t>
  </si>
  <si>
    <t>BERG XL B.Pure Blue BFR</t>
  </si>
  <si>
    <t>07.10.21.00</t>
  </si>
  <si>
    <t>BERG XL B.Rapid Blue BFR</t>
  </si>
  <si>
    <t>07.10.22.00</t>
  </si>
  <si>
    <t>BERG XL B.Super Blue BFR</t>
  </si>
  <si>
    <t>07.10.23.00</t>
  </si>
  <si>
    <t>BERG XL B.Super Red BFR</t>
  </si>
  <si>
    <t>07.10.24.00</t>
  </si>
  <si>
    <t>BERG XL B.Super Yellow BFR</t>
  </si>
  <si>
    <t>8715839078992</t>
  </si>
  <si>
    <t>BERG XL Black Edition BFR</t>
  </si>
  <si>
    <t>07.10.14.00</t>
  </si>
  <si>
    <t>BERG XL Race GTS BFR</t>
  </si>
  <si>
    <t>8715839067651</t>
  </si>
  <si>
    <t>07.10.15.00</t>
  </si>
  <si>
    <t>BERG XL Race GTS BFR - Full spec</t>
  </si>
  <si>
    <t>8715839068801</t>
  </si>
  <si>
    <t>07.10.17.00</t>
  </si>
  <si>
    <t>BERG XL X-ite BFR</t>
  </si>
  <si>
    <t>8715839072761</t>
  </si>
  <si>
    <t>07.10.08.01</t>
  </si>
  <si>
    <t>BERG XL X-Cross BFR</t>
  </si>
  <si>
    <t>8715839070101</t>
  </si>
  <si>
    <t>BERG XL X-Plore BFR</t>
  </si>
  <si>
    <t>Jeep® Revolution pedal go-kart XL BFR</t>
  </si>
  <si>
    <t>07.10.19.00</t>
  </si>
  <si>
    <t>BERG XL X-Treme BFR</t>
  </si>
  <si>
    <t>8715839075274</t>
  </si>
  <si>
    <t>BERG XL Case IH BFR</t>
  </si>
  <si>
    <t>BERG XL CLAAS BFR</t>
  </si>
  <si>
    <t>BERG XL DEUTZ-FAHR BFR</t>
  </si>
  <si>
    <t>BERG XL Fendt BFR</t>
  </si>
  <si>
    <t>BERG XL John Deere BFR</t>
  </si>
  <si>
    <t>BERG XL New Holland BFR</t>
  </si>
  <si>
    <t>BERG XXL-BFR</t>
  </si>
  <si>
    <t>07.15.22.00</t>
  </si>
  <si>
    <t>BERG XXL B.Super Blue BFR</t>
  </si>
  <si>
    <t>07.15.23.00</t>
  </si>
  <si>
    <t>BERG XXL B.Super Red BFR</t>
  </si>
  <si>
    <t>07.15.24.00</t>
  </si>
  <si>
    <t>BERG XXL B.Super Yellow BFR</t>
  </si>
  <si>
    <t>8715839079111</t>
  </si>
  <si>
    <t>07.15.14.00</t>
  </si>
  <si>
    <t>BERG XXL Race GTS BFR</t>
  </si>
  <si>
    <t>8715839067675</t>
  </si>
  <si>
    <t>07.15.17.00</t>
  </si>
  <si>
    <t>BERG XXL X-ite BFR</t>
  </si>
  <si>
    <t>8715839072778</t>
  </si>
  <si>
    <t>07.15.08.01</t>
  </si>
  <si>
    <t>8715839070118</t>
  </si>
  <si>
    <t>07.15.09.00</t>
  </si>
  <si>
    <t>BERG XXL X-Treme BFR</t>
  </si>
  <si>
    <t>8715839064599</t>
  </si>
  <si>
    <t>XL BFR-3</t>
  </si>
  <si>
    <t>07.20.22.00</t>
  </si>
  <si>
    <t>BERG XL B.Super Blue BFR-3</t>
  </si>
  <si>
    <t>07.20.23.00</t>
  </si>
  <si>
    <t>BERG XL B.Super Red BFR-3</t>
  </si>
  <si>
    <t>07.20.24.00</t>
  </si>
  <si>
    <t>BERG XL B.Super Yellow BFR-3</t>
  </si>
  <si>
    <t>8715839079029</t>
  </si>
  <si>
    <t>BERG XL Black Edition BFR-3</t>
  </si>
  <si>
    <t>07.20.14.00</t>
  </si>
  <si>
    <t>BERG XL Race GTS BFR-3</t>
  </si>
  <si>
    <t>8715839067668</t>
  </si>
  <si>
    <t>07.20.15.00</t>
  </si>
  <si>
    <t>BERG XL Race GTS BFR-3 - Full spec</t>
  </si>
  <si>
    <t>8715839068818</t>
  </si>
  <si>
    <t>07.20.17.00</t>
  </si>
  <si>
    <t>BERG XL X-ite BFR-3</t>
  </si>
  <si>
    <t>8715839072785</t>
  </si>
  <si>
    <t>07.20.08.01</t>
  </si>
  <si>
    <t>BERG XL X-Cross BFR-3</t>
  </si>
  <si>
    <t>8715839070125</t>
  </si>
  <si>
    <t>BERG XL X-Plore BFR-3</t>
  </si>
  <si>
    <t>Jeep® Revolution pedal go-kart XL BFR-3</t>
  </si>
  <si>
    <t>07.20.19.00</t>
  </si>
  <si>
    <t>BERG XL X-Treme BFR-3</t>
  </si>
  <si>
    <t>8715839075281</t>
  </si>
  <si>
    <t>BERG XL Case IH BFR-3</t>
  </si>
  <si>
    <t>BERG XL CLAAS BFR-3</t>
  </si>
  <si>
    <t>BERG XL DEUTZ-FAHR BFR-3</t>
  </si>
  <si>
    <t>BERG XL Fendt BFR-3</t>
  </si>
  <si>
    <t>BERG XL John Deere BFR-3</t>
  </si>
  <si>
    <t>BERG XL New Holland BFR-3</t>
  </si>
  <si>
    <t>BERG E-BFR</t>
  </si>
  <si>
    <t>07.45.22.00</t>
  </si>
  <si>
    <t>BERG XXL B.Super Blue E-BFR</t>
  </si>
  <si>
    <t>07.45.23.00</t>
  </si>
  <si>
    <t>BERG XXL B.Super Red E-BFR</t>
  </si>
  <si>
    <t>07.45.24.00</t>
  </si>
  <si>
    <t>BERG XXL B.Super Yellow E-BFR</t>
  </si>
  <si>
    <t>8715839079081</t>
  </si>
  <si>
    <t>BERG XXL Black Edition E-BFR</t>
  </si>
  <si>
    <t>07.45.14.00</t>
  </si>
  <si>
    <t>BERG XXL Race GTS E-BFR</t>
  </si>
  <si>
    <t>8715839067682</t>
  </si>
  <si>
    <t>07.45.17.00</t>
  </si>
  <si>
    <t>BERG XXL X-ite E-BFR</t>
  </si>
  <si>
    <t>8715839072792</t>
  </si>
  <si>
    <t>07.45.08.01</t>
  </si>
  <si>
    <t>BERG XXL X-Cross E-BFR</t>
  </si>
  <si>
    <t>8715839070132</t>
  </si>
  <si>
    <t>BERG XXL X-Plore E-BFR</t>
  </si>
  <si>
    <t>Jeep® Revolution pedal go-kart XXL E-BFR</t>
  </si>
  <si>
    <t>07.45.19.00</t>
  </si>
  <si>
    <t>BERG XXL X-Treme E-BFR</t>
  </si>
  <si>
    <t>8715839075298</t>
  </si>
  <si>
    <t>BERG XXL Case IH E-BFR</t>
  </si>
  <si>
    <t>BERG XXL CLAAS E-BFR</t>
  </si>
  <si>
    <t>BERG XXL DEUTZ-FAHR E-BFR</t>
  </si>
  <si>
    <t>BERG XXL Fendt E-BFR</t>
  </si>
  <si>
    <t>BERG XXL John Deere E-BFR</t>
  </si>
  <si>
    <t>BERG XXL New Holland E-BFR</t>
  </si>
  <si>
    <t>BERG Passenger seat</t>
  </si>
  <si>
    <t>BERG Passenger seat Blue XL</t>
  </si>
  <si>
    <t>BERG Passenger seat Jeep® XL</t>
  </si>
  <si>
    <t>BERG Passenger seat John Deere XL</t>
  </si>
  <si>
    <t>BERG Passenger seat CLAAS XL</t>
  </si>
  <si>
    <t>BERG Passenger seat Case IH XL</t>
  </si>
  <si>
    <t>BERG Passenger seat New Holland XL</t>
  </si>
  <si>
    <t>BERG Passenger seat Fendt XL</t>
  </si>
  <si>
    <t>BERG Passenger seat DEUTZ-FAHR XL</t>
  </si>
  <si>
    <t>BERG Passenger seat X-Cross XL</t>
  </si>
  <si>
    <t>BERG Passenger seat X-Plore XL</t>
  </si>
  <si>
    <t>BERG Passenger seat Black Edition XL</t>
  </si>
  <si>
    <t>BERG Passenger seat Red XL</t>
  </si>
  <si>
    <t>15.37.15.00</t>
  </si>
  <si>
    <t>BERG Passenger seat Race GTS XL</t>
  </si>
  <si>
    <t>8715839067927</t>
  </si>
  <si>
    <t>15.37.16.00</t>
  </si>
  <si>
    <t>BERG Passenger seat Black XL</t>
  </si>
  <si>
    <t>8715839073614</t>
  </si>
  <si>
    <t>15.37.18.00</t>
  </si>
  <si>
    <t>BERG Passenger seat Yellow XL</t>
  </si>
  <si>
    <t>8715839079425</t>
  </si>
  <si>
    <t>BERG Spare wheel</t>
  </si>
  <si>
    <t>BERG Spare wheel X-Plore XL</t>
  </si>
  <si>
    <t>BERG Spare wheel Jeep® XL</t>
  </si>
  <si>
    <t>BERG Trailers</t>
  </si>
  <si>
    <t>BERG Trailer S</t>
  </si>
  <si>
    <t>18.24.60.00</t>
  </si>
  <si>
    <t>BERG Trailer M</t>
  </si>
  <si>
    <t>8715839066623</t>
  </si>
  <si>
    <t>BERG Trailer L</t>
  </si>
  <si>
    <t>BERG Tandem Trailer L</t>
  </si>
  <si>
    <t>BERG Trailer XL</t>
  </si>
  <si>
    <t>BERG Steel Trailer XL</t>
  </si>
  <si>
    <t>18.08.04.00</t>
  </si>
  <si>
    <t>BERG Tandem Trailer XL</t>
  </si>
  <si>
    <t>8715839066579</t>
  </si>
  <si>
    <t>18.09.00.00</t>
  </si>
  <si>
    <t>BERG Passenger Trailer Buddy Rally</t>
  </si>
  <si>
    <t>8715839104851</t>
  </si>
  <si>
    <t>BERG Comfort seat XL</t>
  </si>
  <si>
    <t>BERG Front mudguards  black XL</t>
  </si>
  <si>
    <t>15.03.33.00</t>
  </si>
  <si>
    <t>BERG Front mudguards Race GTS XL</t>
  </si>
  <si>
    <t>8715839067699</t>
  </si>
  <si>
    <t>BERG Rubber Go-kart bumper XL</t>
  </si>
  <si>
    <t>BERG Support strut XL</t>
  </si>
  <si>
    <t>BERG Light set XL</t>
  </si>
  <si>
    <t>BERG Mirror set XL</t>
  </si>
  <si>
    <t>BERG Speedometer XL</t>
  </si>
  <si>
    <t>BERG Horn 2-tones XL</t>
  </si>
  <si>
    <t>BERG Flashing light orange on pole XL</t>
  </si>
  <si>
    <t>BERG Flashing light orange for roll-bar XL</t>
  </si>
  <si>
    <t>BERG Flashing light cover blue L/XL</t>
  </si>
  <si>
    <t>BERG Rear lifting unit XL</t>
  </si>
  <si>
    <t>BERG Front lifting unit XL</t>
  </si>
  <si>
    <t>BERG Lift bucket XL</t>
  </si>
  <si>
    <t>BERG Pallet fork XL</t>
  </si>
  <si>
    <t>BERG Bulldozer blade XL</t>
  </si>
  <si>
    <t>15.63.02.00</t>
  </si>
  <si>
    <t>BERG Roll bar Farm black XL</t>
  </si>
  <si>
    <t>8715839071627</t>
  </si>
  <si>
    <t>BERG Roll bar Off-Road XL</t>
  </si>
  <si>
    <t>BERG Exhaust Farm XL</t>
  </si>
  <si>
    <t>BERG Heavy duty brake pads (for XL Frame) XL</t>
  </si>
  <si>
    <t>BERG License plate kit (for XL Frame) XL</t>
  </si>
  <si>
    <t>BERG Go-kart Cover XL</t>
  </si>
  <si>
    <t>15.63.51.00</t>
  </si>
  <si>
    <t>BERG Side skirts Race GTS XL</t>
  </si>
  <si>
    <t>8715839067644</t>
  </si>
  <si>
    <t>15.07.01.00</t>
  </si>
  <si>
    <t>BERG Tire marker Red</t>
  </si>
  <si>
    <t>8715839068825</t>
  </si>
  <si>
    <t>16.00.02.00</t>
  </si>
  <si>
    <t>BERG Sound box Race S/M/L</t>
  </si>
  <si>
    <t>8715839068337</t>
  </si>
  <si>
    <t>BERG Towbar L</t>
  </si>
  <si>
    <t>16.67.01.00</t>
  </si>
  <si>
    <t>BERG Buzzy Basket black S</t>
  </si>
  <si>
    <t>8715839100433</t>
  </si>
  <si>
    <t>16.00.03.01</t>
  </si>
  <si>
    <t>BERG Safety Flag Buzzy Reppy</t>
  </si>
  <si>
    <t>16.00.08.01</t>
  </si>
  <si>
    <t>BERG Safety Flag Buddy Rally</t>
  </si>
  <si>
    <t>16.00.09.01</t>
  </si>
  <si>
    <t>BERG Safety Flag XL</t>
  </si>
  <si>
    <t>16.00.11.00</t>
  </si>
  <si>
    <t>BERG Bottle + Holder XL</t>
  </si>
  <si>
    <t>8715839090468</t>
  </si>
  <si>
    <t>16.24.00.00</t>
  </si>
  <si>
    <t>BERG Handbrake Buddy</t>
  </si>
  <si>
    <t>8715839102307</t>
  </si>
  <si>
    <t>16.24.31.00</t>
  </si>
  <si>
    <t>BERG Towbar Buzzy Reppy</t>
  </si>
  <si>
    <t>8715839104837</t>
  </si>
  <si>
    <t>16.24.71.00</t>
  </si>
  <si>
    <t>BERG Flashing light Buzzy Reppy</t>
  </si>
  <si>
    <t>8715839104783</t>
  </si>
  <si>
    <t>16.24.72.00</t>
  </si>
  <si>
    <t>BERG Flashing light Buddy Rally</t>
  </si>
  <si>
    <t>8715839104844</t>
  </si>
  <si>
    <t>Pricelist Spare parts</t>
  </si>
  <si>
    <t xml:space="preserve">   Valid as per 1 January 2026</t>
  </si>
  <si>
    <t>Product number</t>
  </si>
  <si>
    <t>Product name EN-US</t>
  </si>
  <si>
    <t>EAN code</t>
  </si>
  <si>
    <t>51.07.00.82</t>
  </si>
  <si>
    <t>XL Frame - Steering rod secure spring (20x)</t>
  </si>
  <si>
    <t>8715839066029</t>
  </si>
  <si>
    <t>51.07.00.83</t>
  </si>
  <si>
    <t>XL Frame - U-bracket plastic for chair frame (10x)</t>
  </si>
  <si>
    <t>8715839066111</t>
  </si>
  <si>
    <t>XL Frame - Plastic parts</t>
  </si>
  <si>
    <t>51.07.00.84</t>
  </si>
  <si>
    <t>XXL Frame - Chain guard front part</t>
  </si>
  <si>
    <t>8715839066036</t>
  </si>
  <si>
    <t>51.07.00.85</t>
  </si>
  <si>
    <t>XXL Frame - Crank shaft with crank set 140, 36T + pedals</t>
  </si>
  <si>
    <t>8715839066128</t>
  </si>
  <si>
    <t>51.08.00.00</t>
  </si>
  <si>
    <t>E-Frame - Battery 10Ah/24V</t>
  </si>
  <si>
    <t>8715839066135</t>
  </si>
  <si>
    <t>51.08.00.01</t>
  </si>
  <si>
    <t>E-Frame - Charger 24V</t>
  </si>
  <si>
    <t>8715839066142</t>
  </si>
  <si>
    <t>51.08.00.02</t>
  </si>
  <si>
    <t>E-Frame - Central motor 24V/250W incl. crank set</t>
  </si>
  <si>
    <t>8715839066159</t>
  </si>
  <si>
    <t>51.08.00.03</t>
  </si>
  <si>
    <t>E-Frame - Battery connector</t>
  </si>
  <si>
    <t>8715839066166</t>
  </si>
  <si>
    <t>51.08.00.04</t>
  </si>
  <si>
    <t>E-Frame - Sensor and magnet (set)</t>
  </si>
  <si>
    <t>8715839066173</t>
  </si>
  <si>
    <t>51.08.00.05</t>
  </si>
  <si>
    <t>E-Frame - Display with bracing rod (296mm)</t>
  </si>
  <si>
    <t>8715839066180</t>
  </si>
  <si>
    <t>51.08.00.06</t>
  </si>
  <si>
    <t>E-Frame - Chain 136s + chain 44s</t>
  </si>
  <si>
    <t>8715839066197</t>
  </si>
  <si>
    <t>51.08.00.07</t>
  </si>
  <si>
    <t>E-Frame - Chain guard front part</t>
  </si>
  <si>
    <t>8715839066203</t>
  </si>
  <si>
    <t>51.08.00.08</t>
  </si>
  <si>
    <t>E-Frame - Steering tube for display</t>
  </si>
  <si>
    <t>8715839066210</t>
  </si>
  <si>
    <t>43.42.01.03</t>
  </si>
  <si>
    <t>Wheel 5-spoke sport black 4.30/150-12 slick left</t>
  </si>
  <si>
    <t>8715839066043</t>
  </si>
  <si>
    <t>43.42.01.04</t>
  </si>
  <si>
    <t>Wheel 5-spoke sport black 4.30/150-12 slick right</t>
  </si>
  <si>
    <t>8715839066456</t>
  </si>
  <si>
    <t>43.42.01.05</t>
  </si>
  <si>
    <t>Wheel 5-spoke orange 460/165-8 all terrain</t>
  </si>
  <si>
    <t>8715839066463</t>
  </si>
  <si>
    <t>51.15.00.65</t>
  </si>
  <si>
    <t>XL Frame - Front mudguards Hybrid</t>
  </si>
  <si>
    <t>8715839066050</t>
  </si>
  <si>
    <t>51.15.00.66</t>
  </si>
  <si>
    <t>XL Frame - Spoiler Hybrid</t>
  </si>
  <si>
    <t>8715839066227</t>
  </si>
  <si>
    <t>51.15.00.67</t>
  </si>
  <si>
    <t>XL Frame - Rear mudguards 71° Hybrid</t>
  </si>
  <si>
    <t>8715839066234</t>
  </si>
  <si>
    <t>51.15.00.68</t>
  </si>
  <si>
    <t>XL Frame - Rear mudguards 71° X-Treme</t>
  </si>
  <si>
    <t>8715839066241</t>
  </si>
  <si>
    <t>51.15.00.69</t>
  </si>
  <si>
    <t>XL Frame - Sticker set Hybrid</t>
  </si>
  <si>
    <t>8715839066258</t>
  </si>
  <si>
    <t>51.15.00.70</t>
  </si>
  <si>
    <t>XL Frame - Sticker set X-Treme</t>
  </si>
  <si>
    <t>8715839066265</t>
  </si>
  <si>
    <t>Front lifting unit - Assembly set</t>
  </si>
  <si>
    <t>Rear lifting unit - Assembly set</t>
  </si>
  <si>
    <t>51.15.00.71</t>
  </si>
  <si>
    <t>XL Frame - Spoiler X-Treme</t>
  </si>
  <si>
    <t>8715839066272</t>
  </si>
  <si>
    <t>51.24.40.01</t>
  </si>
  <si>
    <t>Chain 98 links</t>
  </si>
  <si>
    <t>8715839066067</t>
  </si>
  <si>
    <t>51.42.00.19</t>
  </si>
  <si>
    <t>Tire 12x2.50-9 all terrain</t>
  </si>
  <si>
    <t>8715839066296</t>
  </si>
  <si>
    <t>51.42.00.20</t>
  </si>
  <si>
    <t>Inner tube 12x2.5 -9</t>
  </si>
  <si>
    <t>8715839066302</t>
  </si>
  <si>
    <t>51.24.40.03</t>
  </si>
  <si>
    <t>Rally - Towbar (for Rally 1.0, before 2023)</t>
  </si>
  <si>
    <t>8715839066289</t>
  </si>
  <si>
    <t>51.24.40.05</t>
  </si>
  <si>
    <t>Assembly set crankshaft</t>
  </si>
  <si>
    <t>8715839066074</t>
  </si>
  <si>
    <t>51.24.40.09</t>
  </si>
  <si>
    <t>Rally - Steering pen (42 cm)</t>
  </si>
  <si>
    <t>8715839066319</t>
  </si>
  <si>
    <t>51.24.40.10</t>
  </si>
  <si>
    <t>Rally - Internal rear axle</t>
  </si>
  <si>
    <t>8715839066326</t>
  </si>
  <si>
    <t>51.24.40.11</t>
  </si>
  <si>
    <t>Rally - External rear axle</t>
  </si>
  <si>
    <t>8715839066333</t>
  </si>
  <si>
    <t>51.24.40.13</t>
  </si>
  <si>
    <t>Rally - Stub axle set</t>
  </si>
  <si>
    <t>8715839066364</t>
  </si>
  <si>
    <t>51.24.40.16</t>
  </si>
  <si>
    <t>Rally - Crank shaft with crank set 110 + pedals</t>
  </si>
  <si>
    <t>8715839066388</t>
  </si>
  <si>
    <t>51.24.40.17</t>
  </si>
  <si>
    <t>Chain 38 links</t>
  </si>
  <si>
    <t>8715839066395</t>
  </si>
  <si>
    <t>51.42.00.21</t>
  </si>
  <si>
    <t>Wheel green 12.5x2.50-9 all terrain</t>
  </si>
  <si>
    <t>8715839066401</t>
  </si>
  <si>
    <t>XL Frame -  Steering Chopper</t>
  </si>
  <si>
    <t>51.24.40.02</t>
  </si>
  <si>
    <t>Rally - Sticker set Force</t>
  </si>
  <si>
    <t>8715839066357</t>
  </si>
  <si>
    <t>XL Frame -  Front mudguard Chopper</t>
  </si>
  <si>
    <t>51.24.40.06</t>
  </si>
  <si>
    <t>Rally - Spoiler Force</t>
  </si>
  <si>
    <t>8715839066098</t>
  </si>
  <si>
    <t>51.24.40.07</t>
  </si>
  <si>
    <t>Rally - Seat Force incl. frame</t>
  </si>
  <si>
    <t>8715839066418</t>
  </si>
  <si>
    <t>XL Frame -  Plastic caps Chopper</t>
  </si>
  <si>
    <t>51.24.40.08</t>
  </si>
  <si>
    <t>Rally - Chain guard Force</t>
  </si>
  <si>
    <t>8715839066425</t>
  </si>
  <si>
    <t>XL Frame -  Assembly set Chopper</t>
  </si>
  <si>
    <t>Spare wheel - Frame</t>
  </si>
  <si>
    <t>Passenger seat - Assembly set</t>
  </si>
  <si>
    <t>43.42.01.08</t>
  </si>
  <si>
    <t>Wheel 5-spoke orange 4.80/400-8 block</t>
  </si>
  <si>
    <t>8715839075014</t>
  </si>
  <si>
    <t>51.07.00.86</t>
  </si>
  <si>
    <t>BF-1 hub (2000-2014)</t>
  </si>
  <si>
    <t>8715839066609</t>
  </si>
  <si>
    <t>Street-X Venom - Handle right</t>
  </si>
  <si>
    <t>Street-X Venom - Handle left</t>
  </si>
  <si>
    <t>51.42.00.22</t>
  </si>
  <si>
    <t>Wheel grey 300x4 needle bearing</t>
  </si>
  <si>
    <t>8715839066685</t>
  </si>
  <si>
    <t>Street X - Mudguard green with carrier</t>
  </si>
  <si>
    <t>51.18.00.14</t>
  </si>
  <si>
    <t>Large Trailer - Container, green</t>
  </si>
  <si>
    <t>8715839066692</t>
  </si>
  <si>
    <t>51.18.00.15</t>
  </si>
  <si>
    <t>Large Trailer - Assembly set Tandem Trailer XL</t>
  </si>
  <si>
    <t>8715839066708</t>
  </si>
  <si>
    <t>51.15.00.72</t>
  </si>
  <si>
    <t>XL Frame - Sticker set Chopper</t>
  </si>
  <si>
    <t>8715839066715</t>
  </si>
  <si>
    <t>Chain 68 links</t>
  </si>
  <si>
    <t>Crank 110, 32T</t>
  </si>
  <si>
    <t>Crank 110</t>
  </si>
  <si>
    <t>Street X - Seat green</t>
  </si>
  <si>
    <t>Street X - Assembly set</t>
  </si>
  <si>
    <t>Street-X - Internal frame axle</t>
  </si>
  <si>
    <t>51.29.00.55</t>
  </si>
  <si>
    <t>Gran Tour - Mudguard set - Front &amp; Rear</t>
  </si>
  <si>
    <t>8715839075229</t>
  </si>
  <si>
    <t>Street X - Sticker set</t>
  </si>
  <si>
    <t>51.29.00.56</t>
  </si>
  <si>
    <t>Gran Tour - Steering Wheel and Steering Tube</t>
  </si>
  <si>
    <t>8715839075236</t>
  </si>
  <si>
    <t>Wheel  green 12.5x3.00-9 slick</t>
  </si>
  <si>
    <t>Hand grip d27x120mm (2x)</t>
  </si>
  <si>
    <t>Hand grip d22x92mm (2x)</t>
  </si>
  <si>
    <t>Brake-bearing for Compact (2x)</t>
  </si>
  <si>
    <t>Bolt for Brake disc (10x)</t>
  </si>
  <si>
    <t>8715839066654</t>
  </si>
  <si>
    <t>XL Frame - Stub axle set Compact</t>
  </si>
  <si>
    <t>51.24.10.19</t>
  </si>
  <si>
    <t>Street-X - Crankshaft</t>
  </si>
  <si>
    <t>8715839066937</t>
  </si>
  <si>
    <t>XL Frame - Steering bar Compact</t>
  </si>
  <si>
    <t>51.07.00.90</t>
  </si>
  <si>
    <t>Duo Coaster - Middle Rear Frame</t>
  </si>
  <si>
    <t>8715839075731</t>
  </si>
  <si>
    <t>E-Gran Tour - Sprocket 32T</t>
  </si>
  <si>
    <t>51.07.00.91</t>
  </si>
  <si>
    <t>Duo Coaster - Brake Bar</t>
  </si>
  <si>
    <t>8715839075748</t>
  </si>
  <si>
    <t>51.07.00.92</t>
  </si>
  <si>
    <t>Duo Coaster - Rear Axle Right</t>
  </si>
  <si>
    <t>8715839075755</t>
  </si>
  <si>
    <t>paint pin green RAL 6003</t>
  </si>
  <si>
    <t>Spare wheel cover 400</t>
  </si>
  <si>
    <t>51.07.00.93</t>
  </si>
  <si>
    <t>Duo Coaster - Bracing Rod</t>
  </si>
  <si>
    <t>8715839075762</t>
  </si>
  <si>
    <t>51.07.00.94</t>
  </si>
  <si>
    <t>XL/XXL Frame - Heavy Duty Hub BFR</t>
  </si>
  <si>
    <t>8715839075779</t>
  </si>
  <si>
    <t>Spare wheel cover Jeep®</t>
  </si>
  <si>
    <t>51.07.00.95</t>
  </si>
  <si>
    <t>Duo Coaster - Steering Tube</t>
  </si>
  <si>
    <t>8715839075786</t>
  </si>
  <si>
    <t>51.07.00.96</t>
  </si>
  <si>
    <t>Duo Coaster - Rear Frame Extenders</t>
  </si>
  <si>
    <t>8715839075793</t>
  </si>
  <si>
    <t>51.07.00.97</t>
  </si>
  <si>
    <t>Duo Coaster - Passenger Support Bar</t>
  </si>
  <si>
    <t>8715839075809</t>
  </si>
  <si>
    <t>51.07.00.98</t>
  </si>
  <si>
    <t>Duo Coaster - Steering Rod Set</t>
  </si>
  <si>
    <t>8715839075816</t>
  </si>
  <si>
    <t>Paint pin Orange RAL 2000</t>
  </si>
  <si>
    <t>51.15.00.83</t>
  </si>
  <si>
    <t>Duo Coaster - Sticker Set</t>
  </si>
  <si>
    <t>8715839075823</t>
  </si>
  <si>
    <t>51.07.00.99</t>
  </si>
  <si>
    <t>Duo Coaster - Plastic Parts</t>
  </si>
  <si>
    <t>8715839075830</t>
  </si>
  <si>
    <t>51.07.01.00</t>
  </si>
  <si>
    <t>Duo Coaster - Assembly Set</t>
  </si>
  <si>
    <t>8715839075847</t>
  </si>
  <si>
    <t>Paint pin red RAL 3020</t>
  </si>
  <si>
    <t>51.07.01.01</t>
  </si>
  <si>
    <t>Duo Coaster - Brake Bar Supports</t>
  </si>
  <si>
    <t>8715839075854</t>
  </si>
  <si>
    <t>Paint pin black RAL 9005</t>
  </si>
  <si>
    <t>Paint pin Silver IE702077510</t>
  </si>
  <si>
    <t>51.29.00.37</t>
  </si>
  <si>
    <t>E-Gran Tour - Revised battery + charger</t>
  </si>
  <si>
    <t>8715839066944</t>
  </si>
  <si>
    <t>Rally - Sticker set Jeep® Adventure</t>
  </si>
  <si>
    <t>Automatic Freewheel</t>
  </si>
  <si>
    <t>51.42.00.23</t>
  </si>
  <si>
    <t>Tire 12.5x2.50-9 slick</t>
  </si>
  <si>
    <t>8715839066951</t>
  </si>
  <si>
    <t>51.42.00.24</t>
  </si>
  <si>
    <t>Wheel pink 12.5x2.5-9 slick</t>
  </si>
  <si>
    <t>8715839066968</t>
  </si>
  <si>
    <t>51.24.40.18</t>
  </si>
  <si>
    <t>Rally - Sticker set Pearl</t>
  </si>
  <si>
    <t>8715839066975</t>
  </si>
  <si>
    <t>51.24.40.19</t>
  </si>
  <si>
    <t>Rally - Spoiler Pearl</t>
  </si>
  <si>
    <t>8715839066982</t>
  </si>
  <si>
    <t>51.24.40.20</t>
  </si>
  <si>
    <t>Rally - Seat Pearl incl. frame</t>
  </si>
  <si>
    <t>8715839066999</t>
  </si>
  <si>
    <t>51.24.40.23</t>
  </si>
  <si>
    <t>Rally - Under spoiler Pearl</t>
  </si>
  <si>
    <t>8715839067026</t>
  </si>
  <si>
    <t>Front Spoiler red</t>
  </si>
  <si>
    <t>Front Spoiler Black/red</t>
  </si>
  <si>
    <t>Gran Tour Braking set</t>
  </si>
  <si>
    <t>GranTour - Crank 140, 22T + chain (2x)</t>
  </si>
  <si>
    <t>XL Frame - Steering bearing + end cone</t>
  </si>
  <si>
    <t>51.07.00.87</t>
  </si>
  <si>
    <t>XL/XXL Frame - Assembly set</t>
  </si>
  <si>
    <t>8715839067996</t>
  </si>
  <si>
    <t>Fastening plate Brake caliper</t>
  </si>
  <si>
    <t>51.07.00.88</t>
  </si>
  <si>
    <t>XXL Frame - Chain 134s + chain 44s</t>
  </si>
  <si>
    <t>8715839068191</t>
  </si>
  <si>
    <t>51.07.00.89</t>
  </si>
  <si>
    <t>XL Frame - Sprocket for rear axle</t>
  </si>
  <si>
    <t>8715839068252</t>
  </si>
  <si>
    <t>43.42.01.09</t>
  </si>
  <si>
    <t>Gran Tour Racer wheel right (2x)</t>
  </si>
  <si>
    <t>8715839076875</t>
  </si>
  <si>
    <t>51.07.01.03</t>
  </si>
  <si>
    <t>XL Frame - Reinforced Chopper Frame Clamp + fasteners</t>
  </si>
  <si>
    <t>8715839076899</t>
  </si>
  <si>
    <t>XL Frame - Spoiler Compact Sport</t>
  </si>
  <si>
    <t>XL Frame - Spoiler Compact Pink</t>
  </si>
  <si>
    <t>XL Frame - Seat Compact Sport</t>
  </si>
  <si>
    <t>XL Frame - Seat Compact Pink</t>
  </si>
  <si>
    <t>XL Frame - Sticker set Compact Sport</t>
  </si>
  <si>
    <t>XL Frame - Sticker set Compact Pink</t>
  </si>
  <si>
    <t>XL Frame - Steering parts Compact</t>
  </si>
  <si>
    <t>XL Frame  - Assembly set  rear frame</t>
  </si>
  <si>
    <t>Tire 4.00-6 radiall</t>
  </si>
  <si>
    <t>Wheel white 4.00-6 radiall</t>
  </si>
  <si>
    <t>E-Gran Tour - E-Controller 5A</t>
  </si>
  <si>
    <t>51.15.00.73</t>
  </si>
  <si>
    <t>XL Frame - Spoiler Race GTS</t>
  </si>
  <si>
    <t>8715839068948</t>
  </si>
  <si>
    <t>51.15.00.74</t>
  </si>
  <si>
    <t>XL Frame - Seat Race GTS</t>
  </si>
  <si>
    <t>8715839068955</t>
  </si>
  <si>
    <t>51.15.00.75</t>
  </si>
  <si>
    <t>XL Frame - Rear mudguards 71° Race GTS</t>
  </si>
  <si>
    <t>8715839068962</t>
  </si>
  <si>
    <t>51.15.00.76</t>
  </si>
  <si>
    <t>XL Frame - Sticker set Race GTS</t>
  </si>
  <si>
    <t>8715839068979</t>
  </si>
  <si>
    <t>51.24.10.22</t>
  </si>
  <si>
    <t>Street-X Vibes - Handle right</t>
  </si>
  <si>
    <t>8715839078572</t>
  </si>
  <si>
    <t>51.24.10.23</t>
  </si>
  <si>
    <t>Street-X Vibes - Handle left</t>
  </si>
  <si>
    <t>8715839078589</t>
  </si>
  <si>
    <t>51.24.10.24</t>
  </si>
  <si>
    <t>Street-X Venom - Mudguard with carrier</t>
  </si>
  <si>
    <t>8715839078596</t>
  </si>
  <si>
    <t>51.24.10.25</t>
  </si>
  <si>
    <t>Street-X Vibes - Mudguard with carrier</t>
  </si>
  <si>
    <t>8715839078602</t>
  </si>
  <si>
    <t>51.24.10.26</t>
  </si>
  <si>
    <t>Street-X Venom - Seat</t>
  </si>
  <si>
    <t>8715839078619</t>
  </si>
  <si>
    <t>51.24.10.27</t>
  </si>
  <si>
    <t>Street-X Vibes - Seat</t>
  </si>
  <si>
    <t>8715839078626</t>
  </si>
  <si>
    <t>51.24.10.30</t>
  </si>
  <si>
    <t>Street-X Vibes - Assembly set</t>
  </si>
  <si>
    <t>8715839078633</t>
  </si>
  <si>
    <t>51.24.10.29</t>
  </si>
  <si>
    <t>Street-X Venom - Assembly set</t>
  </si>
  <si>
    <t>8715839078640</t>
  </si>
  <si>
    <t>51.24.10.32</t>
  </si>
  <si>
    <t>Street-X Vibes - Sticker set</t>
  </si>
  <si>
    <t>8715839078657</t>
  </si>
  <si>
    <t>51.24.10.31</t>
  </si>
  <si>
    <t>Street-X Venom - Sticker set</t>
  </si>
  <si>
    <t>8715839078664</t>
  </si>
  <si>
    <t>51.24.10.34</t>
  </si>
  <si>
    <t>Street-X Vibes - Chain guard</t>
  </si>
  <si>
    <t>8715839078671</t>
  </si>
  <si>
    <t>51.24.10.33</t>
  </si>
  <si>
    <t>Street-X Venom - Chain guard</t>
  </si>
  <si>
    <t>8715839078688</t>
  </si>
  <si>
    <t>E-Gran Tour - Revised battery</t>
  </si>
  <si>
    <t>E-Gran Tour - Motor incl. cooling fins</t>
  </si>
  <si>
    <t>51.29.00.57</t>
  </si>
  <si>
    <t>E-Gran Tour - Battery charger 36V 7A</t>
  </si>
  <si>
    <t>8715839079388</t>
  </si>
  <si>
    <t>Windwerk Takel</t>
  </si>
  <si>
    <t>51.42.00.25</t>
  </si>
  <si>
    <t>Wheel black 12.5x2.50-9 slick</t>
  </si>
  <si>
    <t>8715839069662</t>
  </si>
  <si>
    <t>51.15.00.84</t>
  </si>
  <si>
    <t>XL/XXL Frame - Spoiler B.Super Blue</t>
  </si>
  <si>
    <t>8715839079814</t>
  </si>
  <si>
    <t>51.15.00.87</t>
  </si>
  <si>
    <t>XL/XXL Frame - Spoiler B.Super Red</t>
  </si>
  <si>
    <t>8715839079821</t>
  </si>
  <si>
    <t>51.15.00.90</t>
  </si>
  <si>
    <t>XL/XXL Frame - Spoiler B.Super Yellow</t>
  </si>
  <si>
    <t>8715839079838</t>
  </si>
  <si>
    <t>51.15.00.85</t>
  </si>
  <si>
    <t>XL/XXL Frame - Seat B.Pure/B.Rapid/B.Super Blue</t>
  </si>
  <si>
    <t>8715839079845</t>
  </si>
  <si>
    <t>51.15.00.88</t>
  </si>
  <si>
    <t>XL/XXL Frame - Seat B.Super Red</t>
  </si>
  <si>
    <t>8715839079852</t>
  </si>
  <si>
    <t>51.15.00.91</t>
  </si>
  <si>
    <t>XL/XXL Frame - Seat B.Super Yellow</t>
  </si>
  <si>
    <t>8715839079869</t>
  </si>
  <si>
    <t>51.15.00.86</t>
  </si>
  <si>
    <t>XL/XXL Frame - Sticker set B.Super Blue</t>
  </si>
  <si>
    <t>8715839079876</t>
  </si>
  <si>
    <t>51.15.00.89</t>
  </si>
  <si>
    <t>XL/XXL Frame - Sticker set B.Super Red</t>
  </si>
  <si>
    <t>8715839079883</t>
  </si>
  <si>
    <t>51.15.00.92</t>
  </si>
  <si>
    <t>XL/XXL Frame - Sticker set B.Super Yellow</t>
  </si>
  <si>
    <t>8715839079890</t>
  </si>
  <si>
    <t>51.15.00.93</t>
  </si>
  <si>
    <t>XL/XXL Frame - Sticker set B.Pure Blue</t>
  </si>
  <si>
    <t>8715839079906</t>
  </si>
  <si>
    <t>51.15.00.94</t>
  </si>
  <si>
    <t>XL/XXL Frame - Sticker set B.Rapid Blue</t>
  </si>
  <si>
    <t>8715839079913</t>
  </si>
  <si>
    <t>Inner tube 400x4</t>
  </si>
  <si>
    <t>Inner tube 400/650x8</t>
  </si>
  <si>
    <t>Inner tube 410/350x6</t>
  </si>
  <si>
    <t>56.07.00.06</t>
  </si>
  <si>
    <t>Front bracket; Race Spoiler</t>
  </si>
  <si>
    <t>8715839068764</t>
  </si>
  <si>
    <t>51.24.40.24</t>
  </si>
  <si>
    <t>Rally - Assembly set</t>
  </si>
  <si>
    <t>8715839069983</t>
  </si>
  <si>
    <t>51.24.40.25</t>
  </si>
  <si>
    <t>Rally - Plastic parts Orange</t>
  </si>
  <si>
    <t>8715839069990</t>
  </si>
  <si>
    <t>51.24.40.26</t>
  </si>
  <si>
    <t>Rally - Plastic parts Jeep® Adventure</t>
  </si>
  <si>
    <t>8715839070002</t>
  </si>
  <si>
    <t>51.24.40.27</t>
  </si>
  <si>
    <t>Rally - Plastic parts Force</t>
  </si>
  <si>
    <t>8715839070019</t>
  </si>
  <si>
    <t>Rally - Grille Jeep® Adventure</t>
  </si>
  <si>
    <t>Rally - Seat Ford Mustang GT incl. frame</t>
  </si>
  <si>
    <t>Wheel black 12.5x2.50-9 all terrain</t>
  </si>
  <si>
    <t>Chain Guard Components</t>
  </si>
  <si>
    <t>Bended strip chain guard black</t>
  </si>
  <si>
    <t>Tire 12.5x3.00-9 slick</t>
  </si>
  <si>
    <t>51.08.00.09</t>
  </si>
  <si>
    <t>E-Frame - Crank set 140 + pedals</t>
  </si>
  <si>
    <t>8715839070231</t>
  </si>
  <si>
    <t>Under Spoiler Ferrari</t>
  </si>
  <si>
    <t>Rear Spoiler Ferrari</t>
  </si>
  <si>
    <t>Strip Chain Guard 122 black</t>
  </si>
  <si>
    <t>XL Frame - Brake lever</t>
  </si>
  <si>
    <t>XL Frame - Mudguard carrier 460, 71°</t>
  </si>
  <si>
    <t>XL Frame - Mudguard carrier 400, 71°</t>
  </si>
  <si>
    <t>XL Frame - Mudguard carrier 400, 90°</t>
  </si>
  <si>
    <t>XL Frame - Mudguard carrier 400, 0°</t>
  </si>
  <si>
    <t>XL Frame - Steering rod set</t>
  </si>
  <si>
    <t>XL Frame - Bracing rod (296mm)</t>
  </si>
  <si>
    <t>XL Frame - Steering tube</t>
  </si>
  <si>
    <t>XL Frame - Chain 118s + chain 44s</t>
  </si>
  <si>
    <t>XL Frame - Crank shaft with crank set 140, 36T + pedals</t>
  </si>
  <si>
    <t>Crank set 140, 36T + pedals</t>
  </si>
  <si>
    <t>XL Frame - Assembly set for theme box</t>
  </si>
  <si>
    <t>XL Frame - Assembly set for frame box</t>
  </si>
  <si>
    <t>XL Frame - Grip shift BFR-3</t>
  </si>
  <si>
    <t>XL Frame - Hub BFR-3</t>
  </si>
  <si>
    <t>XL Frame - Hub BFR</t>
  </si>
  <si>
    <t>BERG Steering wheel</t>
  </si>
  <si>
    <t>Set pedals 90x80 (FP-829)</t>
  </si>
  <si>
    <t>Seat for tricycle</t>
  </si>
  <si>
    <t>51.07.01.04</t>
  </si>
  <si>
    <t>XXL Frame E-BFR-3 - Chain 140s + chain 44s</t>
  </si>
  <si>
    <t>8715839080353</t>
  </si>
  <si>
    <t>51.24.40.29</t>
  </si>
  <si>
    <t>Rally - Sticker set Orange</t>
  </si>
  <si>
    <t>8715839070699</t>
  </si>
  <si>
    <t>XL Frame - Rear axle left</t>
  </si>
  <si>
    <t>XL Frame - Rear axle right</t>
  </si>
  <si>
    <t>XL Frame - Seat Orange</t>
  </si>
  <si>
    <t>Duo Chopper/Coaster - Rear axle left</t>
  </si>
  <si>
    <t>XL Frame - Seat frame Sidecar Duo Chopper</t>
  </si>
  <si>
    <t>51.07.01.05</t>
  </si>
  <si>
    <t>Duo Coaster E-BFR - Bracing Rod + Display</t>
  </si>
  <si>
    <t>8715839081107</t>
  </si>
  <si>
    <t>Wheel black 12.5x2.25-8 slick + BFR-Hub</t>
  </si>
  <si>
    <t>Inner tube 460/165x8 (16x6.50-8 TR13)</t>
  </si>
  <si>
    <t>Inner tube 350/100-8</t>
  </si>
  <si>
    <t>Grantour - Seat frame front (2x)</t>
  </si>
  <si>
    <t>XL Frame - BFR-3 shift mechanism</t>
  </si>
  <si>
    <t>XL Frame - Rear mudguards 90° black</t>
  </si>
  <si>
    <t>XL Frame - Rear mudguards 71° Black Edition</t>
  </si>
  <si>
    <t>XL Frame - Rear mudguards 71° X-Plore</t>
  </si>
  <si>
    <t>XL Frame - Rear mudguards 90° Jeep®</t>
  </si>
  <si>
    <t>XL Frame - Rear mudguards 71° black</t>
  </si>
  <si>
    <t>XL Frame - Rear mudguards 71° John Deere</t>
  </si>
  <si>
    <t>XL Frame - Rear mudguards 71° Fendt</t>
  </si>
  <si>
    <t>XL Frame - Rear mudguards 71° DEUTZ-FAHR</t>
  </si>
  <si>
    <t>XL Frame - Rear mudguards 71° CLAAS</t>
  </si>
  <si>
    <t>XL Frame - Rear mudguards 71° New Holland</t>
  </si>
  <si>
    <t>XL Frame - Rear mudguards 71° Case IH</t>
  </si>
  <si>
    <t>XL Frame - Spoiler Extra Sport Blue</t>
  </si>
  <si>
    <t>XL Frame - Spoiler X-Cross</t>
  </si>
  <si>
    <t>XL Frame - Spoiler Black Edition</t>
  </si>
  <si>
    <t>XL Frame - Spoiler X-Plore</t>
  </si>
  <si>
    <t>XL Frame - Spoiler Jeep® Revolution</t>
  </si>
  <si>
    <t>XL Frame - Spoiler John Deere</t>
  </si>
  <si>
    <t>XL Frame - Spoiler Fendt</t>
  </si>
  <si>
    <t>XL Frame - Spoiler DEUTZ-FAHR</t>
  </si>
  <si>
    <t>XL Frame - Spoiler CLAAS</t>
  </si>
  <si>
    <t>XL Frame - Spoiler New Holland</t>
  </si>
  <si>
    <t>XL Frame - Spoiler Case IH</t>
  </si>
  <si>
    <t>XL Frame - Seat blue</t>
  </si>
  <si>
    <t>XL Frame - Seat X-Cross</t>
  </si>
  <si>
    <t>XL Frame - Seat Black Edition</t>
  </si>
  <si>
    <t>XL Frame - Seat X-Plore</t>
  </si>
  <si>
    <t>XL Frame - Seat Jeep® Revolution</t>
  </si>
  <si>
    <t>XL Frame - Seat John Deere</t>
  </si>
  <si>
    <t>XL Frame - Seat black</t>
  </si>
  <si>
    <t>XL Frame - Seat DEUTZ-FAHR</t>
  </si>
  <si>
    <t>XL Frame - Seat CLAAS</t>
  </si>
  <si>
    <t>XL Frame - Seat New Holland</t>
  </si>
  <si>
    <t>XL Frame - Seat Case IH</t>
  </si>
  <si>
    <t>XL Frame - Front mudguards X-Plore</t>
  </si>
  <si>
    <t>XL Frame - Sticker set Basic/Extra Blue</t>
  </si>
  <si>
    <t>XL Frame - Sticker set X-Cross</t>
  </si>
  <si>
    <t>XL Frame - Sticker set Black Edition</t>
  </si>
  <si>
    <t>XL Frame - Sticker set X-Plore</t>
  </si>
  <si>
    <t>XL Frame - Sticker set Race</t>
  </si>
  <si>
    <t>XL Frame - Sticker set Jeep® Revolution</t>
  </si>
  <si>
    <t>XL Frame - Sticker set John Deere</t>
  </si>
  <si>
    <t>XL Frame - Sticker set Fendt</t>
  </si>
  <si>
    <t>XL Frame - Sticker set DEUTZ-FAHR</t>
  </si>
  <si>
    <t>XL Frame - Sticker set CLAAS</t>
  </si>
  <si>
    <t>XL Frame - Sticker set New Holland</t>
  </si>
  <si>
    <t>XL Frame - Sticker set Case IH</t>
  </si>
  <si>
    <t>51.24.40.31</t>
  </si>
  <si>
    <t>Rally - Rear frame Orange</t>
  </si>
  <si>
    <t>8715839083712</t>
  </si>
  <si>
    <t>51.24.40.32</t>
  </si>
  <si>
    <t>Rally - Rear frame Force</t>
  </si>
  <si>
    <t>8715839083729</t>
  </si>
  <si>
    <t>51.24.40.33</t>
  </si>
  <si>
    <t>Rally - Rear frame Pearl</t>
  </si>
  <si>
    <t>8715839083736</t>
  </si>
  <si>
    <t>51.24.40.34</t>
  </si>
  <si>
    <t>Rally - Rear frame Jeep®</t>
  </si>
  <si>
    <t>8715839083743</t>
  </si>
  <si>
    <t>Wheel 5-spoke orange 4.80/400-8</t>
  </si>
  <si>
    <t>Bulldozer blade -Spare parts</t>
  </si>
  <si>
    <t>Wheel 5-spoke black 400/140-8 slick left</t>
  </si>
  <si>
    <t>Wheel 5-spoke black 400/140-8 slick right</t>
  </si>
  <si>
    <t>Wheel 5-spoke green 400/140-8 all terrain</t>
  </si>
  <si>
    <t>Brake grip</t>
  </si>
  <si>
    <t>Brake disc</t>
  </si>
  <si>
    <t>Brake caliper 2010</t>
  </si>
  <si>
    <t>GranTour - Crank 140, 36T + chain (2x)</t>
  </si>
  <si>
    <t>Brake pad 2010</t>
  </si>
  <si>
    <t>Set pedals 90x80 Prof (FP-910)</t>
  </si>
  <si>
    <t>Roll-bar - Assembly set</t>
  </si>
  <si>
    <t>XL Frame - Chain guard rear part</t>
  </si>
  <si>
    <t>XL Frame - Chain guard front part</t>
  </si>
  <si>
    <t>Crankshaft complete</t>
  </si>
  <si>
    <t>51.18.00.08</t>
  </si>
  <si>
    <t>Large Trailer - Rear hatch black, high</t>
  </si>
  <si>
    <t>8715839064414</t>
  </si>
  <si>
    <t>51.18.00.09</t>
  </si>
  <si>
    <t>Large Trailer - Container, blue</t>
  </si>
  <si>
    <t>8715839064520</t>
  </si>
  <si>
    <t>51.18.00.10</t>
  </si>
  <si>
    <t>Large Trailer - Assembly set Steel Trailer</t>
  </si>
  <si>
    <t>8715839064537</t>
  </si>
  <si>
    <t>Revision set AF</t>
  </si>
  <si>
    <t>51.18.00.11</t>
  </si>
  <si>
    <t>Large Trailer - Toprail set</t>
  </si>
  <si>
    <t>8715839064544</t>
  </si>
  <si>
    <t>43.42.01.02</t>
  </si>
  <si>
    <t>Wheel grey 4.80/400-8</t>
  </si>
  <si>
    <t>8715839064421</t>
  </si>
  <si>
    <t>51.15.00.60</t>
  </si>
  <si>
    <t>XL Frame - Seat red</t>
  </si>
  <si>
    <t>8715839064681</t>
  </si>
  <si>
    <t>51.15.00.61</t>
  </si>
  <si>
    <t>XL Frame - Spoiler Extra Sport red</t>
  </si>
  <si>
    <t>8715839065978</t>
  </si>
  <si>
    <t>56.01.77.00</t>
  </si>
  <si>
    <t>Assembly set Go-Kart Lock</t>
  </si>
  <si>
    <t>8715839103779</t>
  </si>
  <si>
    <t>Assembly set spoiler</t>
  </si>
  <si>
    <t>Assembly Set Basic/Extra</t>
  </si>
  <si>
    <t>Assembly set BERG Racer</t>
  </si>
  <si>
    <t>51.15.00.79</t>
  </si>
  <si>
    <t>XL Frame - Sticker set X-ite</t>
  </si>
  <si>
    <t>8715839073126</t>
  </si>
  <si>
    <t>51.15.00.80</t>
  </si>
  <si>
    <t>XL Frame - Seat X-ite</t>
  </si>
  <si>
    <t>8715839073133</t>
  </si>
  <si>
    <t>51.15.00.81</t>
  </si>
  <si>
    <t>XL Frame - Spoiler X-ite</t>
  </si>
  <si>
    <t>8715839073140</t>
  </si>
  <si>
    <t>51.15.00.82</t>
  </si>
  <si>
    <t>XL Frame - Rear mudguards 71° X-ite</t>
  </si>
  <si>
    <t>8715839073157</t>
  </si>
  <si>
    <t>Spare parts On-Board Computer</t>
  </si>
  <si>
    <t>Assembly set Sunroof</t>
  </si>
  <si>
    <t>Gran Tour - Set wheel caps orange</t>
  </si>
  <si>
    <t>Crancshaft complete</t>
  </si>
  <si>
    <t>Mudguards front red</t>
  </si>
  <si>
    <t>Caps and grips for Compact</t>
  </si>
  <si>
    <t>Assembly set fusee Compact</t>
  </si>
  <si>
    <t>51.29.00.38</t>
  </si>
  <si>
    <t>Gran Tour - Bearing Racer (8x)</t>
  </si>
  <si>
    <t>8715839073607</t>
  </si>
  <si>
    <t>Rally - Spoiler Orange</t>
  </si>
  <si>
    <t>Rally - Spoiler Jeep® Adventure</t>
  </si>
  <si>
    <t>Rally - Under spoiler Orange</t>
  </si>
  <si>
    <t>Rally - Seat Orange incl. frame</t>
  </si>
  <si>
    <t>Rally - Seat Jeep® Adventure incl. frame</t>
  </si>
  <si>
    <t>Rally - Chain guard black</t>
  </si>
  <si>
    <t>Rally - Chain guard Jeep® Adventure</t>
  </si>
  <si>
    <t>Rally - Steering strip</t>
  </si>
  <si>
    <t>Rally - Carrier for spare wheel</t>
  </si>
  <si>
    <t>Large Trailer - Hook</t>
  </si>
  <si>
    <t>Large Trailer - Red poles</t>
  </si>
  <si>
    <t>Large Trailer - Container, black</t>
  </si>
  <si>
    <t>Large Trailer - Rear hatch black</t>
  </si>
  <si>
    <t>Large Trailer - Wheel cap cover (2x)</t>
  </si>
  <si>
    <t>Large Trailer - Assembly set</t>
  </si>
  <si>
    <t>Large Trailer - Sticker set</t>
  </si>
  <si>
    <t>E-Gran Tour - Battery 15Ah/36V</t>
  </si>
  <si>
    <t>E-Gran Tour - Battery assembly set</t>
  </si>
  <si>
    <t>E-Gran Tour - Crank shaft sensor</t>
  </si>
  <si>
    <t>E-Gran Tour - Motor sprocket + chain</t>
  </si>
  <si>
    <t>E-Gran Tour - Rear axle left</t>
  </si>
  <si>
    <t>E-Gran Tour - Crank shaft with crank set 140, 28T + sensor</t>
  </si>
  <si>
    <t>Wheel Antracite 4.00-6 radiall</t>
  </si>
  <si>
    <t>Wheel grey  4.00-4 needle bearing</t>
  </si>
  <si>
    <t>Inner tube 2.75x17</t>
  </si>
  <si>
    <t>Wheel 5-spoke black 4.80/400-8 block</t>
  </si>
  <si>
    <t>Tire 2.75x17</t>
  </si>
  <si>
    <t>Wheel red 4.80/400-8</t>
  </si>
  <si>
    <t>Wheel 6-spoke grey 2.75x17 left</t>
  </si>
  <si>
    <t>Wheel 6-spoke grey 2.75x17 right</t>
  </si>
  <si>
    <t>Gran Tour - Seat belt</t>
  </si>
  <si>
    <t>Gran Tour - Sticker set</t>
  </si>
  <si>
    <t>Wheel white 4.80/400-8</t>
  </si>
  <si>
    <t>Gran Tour - Chain guard (2x)</t>
  </si>
  <si>
    <t>Gran Tour - Assembly set</t>
  </si>
  <si>
    <t>Gran Tour - Steering rod set</t>
  </si>
  <si>
    <t>Wheel black 400/100-8 radiall</t>
  </si>
  <si>
    <t>Gran Tour - Plastic parts</t>
  </si>
  <si>
    <t>Gran Tour - Stub axle left</t>
  </si>
  <si>
    <t>Gran Tour - Stub axle right</t>
  </si>
  <si>
    <t>Gran Tour - Rear axle left</t>
  </si>
  <si>
    <t>Wheel white 400/140-8 slick left</t>
  </si>
  <si>
    <t>Gran Tour - Rear axle right</t>
  </si>
  <si>
    <t>Gran Tour - Crank shaft with crank set 140, 28T + pedals</t>
  </si>
  <si>
    <t>Gran Tour - Seat frame rear</t>
  </si>
  <si>
    <t>Ball bearing 6004 2RS (4x) + ball bearing 6904 RS (2x)</t>
  </si>
  <si>
    <t>Wheel 5-spoke black 460/165-8 all terrain</t>
  </si>
  <si>
    <t>Gran Tour - Universal wheel connectors</t>
  </si>
  <si>
    <t>51.07.00.80</t>
  </si>
  <si>
    <t>XL/XXL Frame - Seat frame 400 (67mm)</t>
  </si>
  <si>
    <t>8715839065916</t>
  </si>
  <si>
    <t>Wheel red 400/140-8 Farm left</t>
  </si>
  <si>
    <t>51.07.00.81</t>
  </si>
  <si>
    <t>XL/XXL Frame - Seat frame 460 (92mm)</t>
  </si>
  <si>
    <t>8715839065992</t>
  </si>
  <si>
    <t>Wheel red 400/140-8 Farm right</t>
  </si>
  <si>
    <t>Wheel yellow 400/140-8 Farm left</t>
  </si>
  <si>
    <t>Wheel yellow 400/140-8 Farm right</t>
  </si>
  <si>
    <t>51.18.00.12</t>
  </si>
  <si>
    <t>Large Trailer - Container, orange</t>
  </si>
  <si>
    <t>8715839066005</t>
  </si>
  <si>
    <t>Wheel grey 400/140-8 Farm left</t>
  </si>
  <si>
    <t>51.18.00.13</t>
  </si>
  <si>
    <t>Large Trailer - Assembly set Tandem Trailer L</t>
  </si>
  <si>
    <t>8715839066012</t>
  </si>
  <si>
    <t>Wheel grey 400/140-8 Farm right</t>
  </si>
  <si>
    <t>Wheel white 400/140-8 Farm left</t>
  </si>
  <si>
    <t>Wheel white 400/140-8 Farm right</t>
  </si>
  <si>
    <t>Wheel red 460/165-8 Farm left</t>
  </si>
  <si>
    <t>Wheel red 460/165-8 Farm right</t>
  </si>
  <si>
    <t>Wheel yellow 460/165-8 Farm left</t>
  </si>
  <si>
    <t>Wheel yellow 460/165-8 Farm right</t>
  </si>
  <si>
    <t>Wheel grey 460/165-8 Farm left</t>
  </si>
  <si>
    <t>Wheel grey 460/165-8 Farm right</t>
  </si>
  <si>
    <t>Wheel white 460/165-8 Farm left</t>
  </si>
  <si>
    <t>Wheel white 460/165-8 Farm right</t>
  </si>
  <si>
    <t>Wheel black 400/140-8 all terrain</t>
  </si>
  <si>
    <t>Wheel black 460/165-8 all terrain</t>
  </si>
  <si>
    <t>Wheel silver 4.30/150-12 slick left</t>
  </si>
  <si>
    <t>Wheel silver 4.30/150-12 slick right</t>
  </si>
  <si>
    <t>Wheel black 4.80/400-8</t>
  </si>
  <si>
    <t>Tire 460/165-8 all terrain</t>
  </si>
  <si>
    <t>Tire 460/165-8 Farm</t>
  </si>
  <si>
    <t>Tire 4.30/150-12 slick</t>
  </si>
  <si>
    <t>Tire 4.00-4</t>
  </si>
  <si>
    <t>Tire 4.80/400-8 block</t>
  </si>
  <si>
    <t>Tire 4.80/400-8</t>
  </si>
  <si>
    <t>Tire 400/100-8 radiall</t>
  </si>
  <si>
    <t>Tire 400/140-8 slick</t>
  </si>
  <si>
    <t>Tire 400/140-8 all terrain</t>
  </si>
  <si>
    <t>Tire 400/140-8 Farm</t>
  </si>
  <si>
    <t>Crank set 140, 28T + pedals</t>
  </si>
  <si>
    <t>Tire 320/60-8 slick</t>
  </si>
  <si>
    <t>XL Frame - Mudguard carrier 360, 0°</t>
  </si>
  <si>
    <t>XL Frame - Steering tube + bracing rod Compact</t>
  </si>
  <si>
    <t>XL Frame - Brake lever Compact</t>
  </si>
  <si>
    <t>XL Frame - Assembly set Compact frame</t>
  </si>
  <si>
    <t>XL Frame - Chain 122s + chain 44s</t>
  </si>
  <si>
    <t>BF-3 + Grip shift (2000-2014)</t>
  </si>
  <si>
    <t>43.42.01.06</t>
  </si>
  <si>
    <t>Wheel 5-spoke green 4.80/400-8 uni</t>
  </si>
  <si>
    <t>8715839074277</t>
  </si>
  <si>
    <t>43.42.01.07</t>
  </si>
  <si>
    <t>Wheel 5-spoke blue 4.80/400-8 uni</t>
  </si>
  <si>
    <t>8715839074284</t>
  </si>
  <si>
    <t>51.29.00.39</t>
  </si>
  <si>
    <t>Gran Tour - Retractable Seat Belt</t>
  </si>
  <si>
    <t>8715839074383</t>
  </si>
  <si>
    <t>51.29.00.40</t>
  </si>
  <si>
    <t>8715839074390</t>
  </si>
  <si>
    <t>51.29.00.41</t>
  </si>
  <si>
    <t>8715839074406</t>
  </si>
  <si>
    <t>51.29.00.42</t>
  </si>
  <si>
    <t>Gran Tour - Sturmey Archer Freewheel 22T</t>
  </si>
  <si>
    <t>8715839074413</t>
  </si>
  <si>
    <t>51.29.00.43</t>
  </si>
  <si>
    <t>8715839074420</t>
  </si>
  <si>
    <t>51.29.00.44</t>
  </si>
  <si>
    <t>Gran Tour - Brake Bar Set</t>
  </si>
  <si>
    <t>8715839074444</t>
  </si>
  <si>
    <t>51.29.00.45</t>
  </si>
  <si>
    <t>8715839074451</t>
  </si>
  <si>
    <t>51.29.00.46</t>
  </si>
  <si>
    <t>8715839074468</t>
  </si>
  <si>
    <t>51.29.00.47</t>
  </si>
  <si>
    <t>Gran Tour - Sticker Set Racer</t>
  </si>
  <si>
    <t>8715839074475</t>
  </si>
  <si>
    <t>51.29.00.48</t>
  </si>
  <si>
    <t>8715839074482</t>
  </si>
  <si>
    <t>51.29.00.49</t>
  </si>
  <si>
    <t>Gran Tour - Wheel Adapter Racer (2x)</t>
  </si>
  <si>
    <t>8715839074499</t>
  </si>
  <si>
    <t>51.29.00.50</t>
  </si>
  <si>
    <t>8715839074505</t>
  </si>
  <si>
    <t>51.29.00.51</t>
  </si>
  <si>
    <t>Gran Tour - Stub Axle Limiter (2x)</t>
  </si>
  <si>
    <t>8715839074512</t>
  </si>
  <si>
    <t>51.29.00.52</t>
  </si>
  <si>
    <t>Gran Tour - Sticker Set Off-Road</t>
  </si>
  <si>
    <t>8715839081145</t>
  </si>
  <si>
    <t>51.29.00.53</t>
  </si>
  <si>
    <t>XL Frame - Set Wheel Caps Black (4x)</t>
  </si>
  <si>
    <t>8715839074529</t>
  </si>
  <si>
    <t>51.29.00.54</t>
  </si>
  <si>
    <t>Gran Tour - Wheel Adapter Off-Road (2x)</t>
  </si>
  <si>
    <t>8715839074536</t>
  </si>
  <si>
    <t>Sunroof Gran Tour - Cloth</t>
  </si>
  <si>
    <t>Sunroof Gran Tour - Assembly set</t>
  </si>
  <si>
    <t>51.15.00.64</t>
  </si>
  <si>
    <t>XL Frame - Rear mudguards 71° Chopper</t>
  </si>
  <si>
    <t>8715839065954</t>
  </si>
  <si>
    <t>51.24.40.35</t>
  </si>
  <si>
    <t>Rally - Plastic Steering Tube Bearings</t>
  </si>
  <si>
    <t>8715839087765</t>
  </si>
  <si>
    <t>51.24.40.36</t>
  </si>
  <si>
    <t>Rally - BFR Hub</t>
  </si>
  <si>
    <t>8715839087772</t>
  </si>
  <si>
    <t>51.24.40.37</t>
  </si>
  <si>
    <t>Rally - BFR-3 Hub excl. Grip Shift</t>
  </si>
  <si>
    <t>8715839087789</t>
  </si>
  <si>
    <t>51.24.40.38</t>
  </si>
  <si>
    <t>Rally - Long Chain BFR Hub</t>
  </si>
  <si>
    <t>8715839087796</t>
  </si>
  <si>
    <t>51.24.40.39</t>
  </si>
  <si>
    <t>Rally - Short Chain BFR Hub</t>
  </si>
  <si>
    <t>8715839087802</t>
  </si>
  <si>
    <t>51.24.40.40</t>
  </si>
  <si>
    <t>Rally - Long Chain BFR-3 Hub</t>
  </si>
  <si>
    <t>8715839087819</t>
  </si>
  <si>
    <t>51.24.40.41</t>
  </si>
  <si>
    <t>Rally - Short Chain BFR-3 Hub</t>
  </si>
  <si>
    <t>8715839087826</t>
  </si>
  <si>
    <t>51.24.40.42</t>
  </si>
  <si>
    <t>Rally - Crank Assembly + Fasteners</t>
  </si>
  <si>
    <t>8715839087833</t>
  </si>
  <si>
    <t>51.24.40.43</t>
  </si>
  <si>
    <t>Rally - Steering Tube</t>
  </si>
  <si>
    <t>8715839087840</t>
  </si>
  <si>
    <t>51.24.40.44</t>
  </si>
  <si>
    <t>Rally - Internal Rear Axle + Bearings</t>
  </si>
  <si>
    <t>8715839087857</t>
  </si>
  <si>
    <t>51.24.40.45</t>
  </si>
  <si>
    <t>8715839087864</t>
  </si>
  <si>
    <t>51.24.40.46</t>
  </si>
  <si>
    <t>Rally - Steering Pivot Set L + R</t>
  </si>
  <si>
    <t>8715839087871</t>
  </si>
  <si>
    <t>51.24.40.47</t>
  </si>
  <si>
    <t>Rally - Assembly Set Generic</t>
  </si>
  <si>
    <t>8715839087888</t>
  </si>
  <si>
    <t>51.24.40.48</t>
  </si>
  <si>
    <t>Rally - Seat Black excl. Frame</t>
  </si>
  <si>
    <t>8715839087895</t>
  </si>
  <si>
    <t>51.24.40.49</t>
  </si>
  <si>
    <t>Rally - Seat Frame</t>
  </si>
  <si>
    <t>8715839087901</t>
  </si>
  <si>
    <t>51.24.40.50</t>
  </si>
  <si>
    <t>Rally - Steering Rod + Ball Joints</t>
  </si>
  <si>
    <t>8715839087918</t>
  </si>
  <si>
    <t>51.24.40.51</t>
  </si>
  <si>
    <t>Rally - Hand Brake Bar + Grip</t>
  </si>
  <si>
    <t>8715839087925</t>
  </si>
  <si>
    <t>51.24.40.52</t>
  </si>
  <si>
    <t>Rally - Parking Brake Strip (Rally 2.0, 2023/2024)</t>
  </si>
  <si>
    <t>8715839087932</t>
  </si>
  <si>
    <t>51.24.40.53</t>
  </si>
  <si>
    <t>Rally - Crank Set</t>
  </si>
  <si>
    <t>8715839087949</t>
  </si>
  <si>
    <t>51.24.40.54</t>
  </si>
  <si>
    <t>Rally - Sticker Set NRG Orange</t>
  </si>
  <si>
    <t>8715839087956</t>
  </si>
  <si>
    <t>51.24.40.55</t>
  </si>
  <si>
    <t>Rally - Steering Wheel NRG Orange</t>
  </si>
  <si>
    <t>8715839087963</t>
  </si>
  <si>
    <t>51.24.40.56</t>
  </si>
  <si>
    <t>Rally - Small Parts NRG Orange</t>
  </si>
  <si>
    <t>8715839087970</t>
  </si>
  <si>
    <t>51.24.40.57</t>
  </si>
  <si>
    <t>Rally - Spoiler NRG Orange</t>
  </si>
  <si>
    <t>8715839087987</t>
  </si>
  <si>
    <t>51.24.40.58</t>
  </si>
  <si>
    <t>Rally - Bumper NRG Orange</t>
  </si>
  <si>
    <t>8715839087994</t>
  </si>
  <si>
    <t>51.24.40.59</t>
  </si>
  <si>
    <t>Rally - Chainguard Set NRG Orange</t>
  </si>
  <si>
    <t>8715839088007</t>
  </si>
  <si>
    <t>51.24.40.60</t>
  </si>
  <si>
    <t>Rally - Sticker Set APX Blue</t>
  </si>
  <si>
    <t>8715839088014</t>
  </si>
  <si>
    <t>51.24.40.61</t>
  </si>
  <si>
    <t>Rally - Steering Wheel APX Blue</t>
  </si>
  <si>
    <t>8715839088021</t>
  </si>
  <si>
    <t>51.24.40.62</t>
  </si>
  <si>
    <t>Rally - Small Parts APX Blue</t>
  </si>
  <si>
    <t>8715839088038</t>
  </si>
  <si>
    <t>51.24.40.63</t>
  </si>
  <si>
    <t>Rally - Spoiler APX Blue</t>
  </si>
  <si>
    <t>8715839088045</t>
  </si>
  <si>
    <t>51.24.40.64</t>
  </si>
  <si>
    <t>Rally - Bumper APX Blue</t>
  </si>
  <si>
    <t>8715839088052</t>
  </si>
  <si>
    <t>51.24.40.65</t>
  </si>
  <si>
    <t>Rally - Chainguard Set APX Blue</t>
  </si>
  <si>
    <t>8715839088069</t>
  </si>
  <si>
    <t>51.24.40.66</t>
  </si>
  <si>
    <t>Rally - Controller Light Set APX Blue</t>
  </si>
  <si>
    <t>8715839088076</t>
  </si>
  <si>
    <t>51.24.40.67</t>
  </si>
  <si>
    <t>Rally - Headlight Unit Right Race</t>
  </si>
  <si>
    <t>8715839088083</t>
  </si>
  <si>
    <t>51.24.40.68</t>
  </si>
  <si>
    <t>Rally - Headlight Unit Left Race</t>
  </si>
  <si>
    <t>8715839088090</t>
  </si>
  <si>
    <t>51.24.40.69</t>
  </si>
  <si>
    <t>Rally - Sticker Set APX Red 3 Gears</t>
  </si>
  <si>
    <t>8715839088106</t>
  </si>
  <si>
    <t>51.24.40.70</t>
  </si>
  <si>
    <t>Rally - Steering Wheel APX Red</t>
  </si>
  <si>
    <t>8715839088113</t>
  </si>
  <si>
    <t>51.24.40.71</t>
  </si>
  <si>
    <t>Rally - Small Parts APX Red</t>
  </si>
  <si>
    <t>8715839088120</t>
  </si>
  <si>
    <t>51.24.40.72</t>
  </si>
  <si>
    <t>Rally - Spoiler APX Red 3 Gears</t>
  </si>
  <si>
    <t>8715839088137</t>
  </si>
  <si>
    <t>51.24.40.73</t>
  </si>
  <si>
    <t>Rally - Bumper APX Red</t>
  </si>
  <si>
    <t>8715839088144</t>
  </si>
  <si>
    <t>51.24.40.74</t>
  </si>
  <si>
    <t>Rally - Chainguard Set APX Red 3 Gears</t>
  </si>
  <si>
    <t>8715839088151</t>
  </si>
  <si>
    <t>51.24.40.75</t>
  </si>
  <si>
    <t>Rally - Controller Light Set APX Red</t>
  </si>
  <si>
    <t>8715839088168</t>
  </si>
  <si>
    <t>51.24.40.76</t>
  </si>
  <si>
    <t>Rally - Sticker Set DRT Green</t>
  </si>
  <si>
    <t>8715839088175</t>
  </si>
  <si>
    <t>51.24.40.77</t>
  </si>
  <si>
    <t>Rally - Steering Wheel DRT Green</t>
  </si>
  <si>
    <t>8715839088182</t>
  </si>
  <si>
    <t>51.24.40.78</t>
  </si>
  <si>
    <t>Rally - Small Parts DRT Green</t>
  </si>
  <si>
    <t>8715839088199</t>
  </si>
  <si>
    <t>51.24.40.79</t>
  </si>
  <si>
    <t>Rally - Spoiler DRT Green</t>
  </si>
  <si>
    <t>8715839088205</t>
  </si>
  <si>
    <t>51.24.40.80</t>
  </si>
  <si>
    <t>Rally - Chainguard Set DRT Green</t>
  </si>
  <si>
    <t>8715839088212</t>
  </si>
  <si>
    <t>51.24.40.81</t>
  </si>
  <si>
    <t>Rally - Strut Set Blue</t>
  </si>
  <si>
    <t>8715839088229</t>
  </si>
  <si>
    <t>51.24.40.82</t>
  </si>
  <si>
    <t>Rally - Sticker Set DRT Yellow 3 Gears</t>
  </si>
  <si>
    <t>8715839088236</t>
  </si>
  <si>
    <t>51.24.40.83</t>
  </si>
  <si>
    <t>Rally - Steering Wheel DRT Yellow</t>
  </si>
  <si>
    <t>8715839088243</t>
  </si>
  <si>
    <t>51.24.40.84</t>
  </si>
  <si>
    <t>Rally - Small Parts DRT Yellow</t>
  </si>
  <si>
    <t>8715839088250</t>
  </si>
  <si>
    <t>51.24.40.85</t>
  </si>
  <si>
    <t>Rally - Spoiler DRT Yellow 3 Gears</t>
  </si>
  <si>
    <t>8715839088267</t>
  </si>
  <si>
    <t>51.24.40.86</t>
  </si>
  <si>
    <t>Rally - Chainguard Set DRT Yellow 3 Gears</t>
  </si>
  <si>
    <t>8715839088274</t>
  </si>
  <si>
    <t>51.24.40.87</t>
  </si>
  <si>
    <t>Rally - Sticker Set Jeep Rally Cherokee</t>
  </si>
  <si>
    <t>8715839088281</t>
  </si>
  <si>
    <t>51.24.40.88</t>
  </si>
  <si>
    <t>Rally - Steering Wheel Jeep Rally Cherokee</t>
  </si>
  <si>
    <t>8715839088298</t>
  </si>
  <si>
    <t>51.24.40.89</t>
  </si>
  <si>
    <t>Rally - Small Parts Jeep Rally Cherokee</t>
  </si>
  <si>
    <t>8715839088304</t>
  </si>
  <si>
    <t>51.24.40.90</t>
  </si>
  <si>
    <t>Rally - Spoiler Jeep Rally Cherokee</t>
  </si>
  <si>
    <t>8715839088311</t>
  </si>
  <si>
    <t>51.24.40.91</t>
  </si>
  <si>
    <t>Rally - Bumper Jeep Rally Cherokee</t>
  </si>
  <si>
    <t>8715839088328</t>
  </si>
  <si>
    <t>51.24.40.92</t>
  </si>
  <si>
    <t>Rally - Chainguard Set Jeep Rally Cherokee</t>
  </si>
  <si>
    <t>8715839088335</t>
  </si>
  <si>
    <t>51.24.40.93</t>
  </si>
  <si>
    <t>Rally - Controller Light Set Jeep Rally Cherokee</t>
  </si>
  <si>
    <t>8715839088342</t>
  </si>
  <si>
    <t>51.24.40.94</t>
  </si>
  <si>
    <t>Rally - Headlight Unit Right Jeep</t>
  </si>
  <si>
    <t>8715839088359</t>
  </si>
  <si>
    <t>51.24.40.95</t>
  </si>
  <si>
    <t>Rally - Headlight Unit Left Jeep</t>
  </si>
  <si>
    <t>8715839088366</t>
  </si>
  <si>
    <t>51.24.40.96</t>
  </si>
  <si>
    <t>Rally - Strut Set Green</t>
  </si>
  <si>
    <t>8715839088373</t>
  </si>
  <si>
    <t>51.42.00.40</t>
  </si>
  <si>
    <t>Wheel grey 12.5x2.50-9 slick</t>
  </si>
  <si>
    <t>8715839088380</t>
  </si>
  <si>
    <t>51.42.00.41</t>
  </si>
  <si>
    <t>Wheel blue 12.5x2.50-9 slick</t>
  </si>
  <si>
    <t>8715839088397</t>
  </si>
  <si>
    <t>51.42.00.42</t>
  </si>
  <si>
    <t>Wheel red 12.5x2.50-9 slick</t>
  </si>
  <si>
    <t>8715839088403</t>
  </si>
  <si>
    <t>51.42.00.43</t>
  </si>
  <si>
    <t>8715839088410</t>
  </si>
  <si>
    <t>51.24.40.97</t>
  </si>
  <si>
    <t>Rally - Grip Shift BFR-3</t>
  </si>
  <si>
    <t>8715839090093</t>
  </si>
  <si>
    <t>15.07.40.00</t>
  </si>
  <si>
    <t>Paint pin green PMS368C</t>
  </si>
  <si>
    <t>8715839091519</t>
  </si>
  <si>
    <t>15.07.41.00</t>
  </si>
  <si>
    <t>Paint pin grey RAL7011</t>
  </si>
  <si>
    <t>8715839091526</t>
  </si>
  <si>
    <t>15.07.43.00</t>
  </si>
  <si>
    <t>Paint pin lime PMS389C</t>
  </si>
  <si>
    <t>8715839091540</t>
  </si>
  <si>
    <t>51.07.01.06</t>
  </si>
  <si>
    <t>XL Frame - Ring rear axle (2x)</t>
  </si>
  <si>
    <t>8715839092394</t>
  </si>
  <si>
    <t>51.07.01.07</t>
  </si>
  <si>
    <t>Duo Coaster - Sprocket for rear axle</t>
  </si>
  <si>
    <t>8715839100440</t>
  </si>
  <si>
    <t>51.24.10.35</t>
  </si>
  <si>
    <t>Street-X - Hand guards black (2x)</t>
  </si>
  <si>
    <t>8715839101461</t>
  </si>
  <si>
    <t>51.15.00.97</t>
  </si>
  <si>
    <t>XL/XXL Frame - Sticker set B.Super Black</t>
  </si>
  <si>
    <t>8715839101669</t>
  </si>
  <si>
    <t>51.24.40.98</t>
  </si>
  <si>
    <t>Rally - Spoiler mounting bracket</t>
  </si>
  <si>
    <t>8715839101805</t>
  </si>
  <si>
    <t>51.24.40.99</t>
  </si>
  <si>
    <t>Rally - Parking Brake (Rally 2.0, from 2025)</t>
  </si>
  <si>
    <t>8715839103762</t>
  </si>
  <si>
    <t>51.24.41.00</t>
  </si>
  <si>
    <t>Rally - Sticker Set DRT Black 3 Gears</t>
  </si>
  <si>
    <t>8715839103649</t>
  </si>
  <si>
    <t>51.24.41.01</t>
  </si>
  <si>
    <t>Rally - Steering Wheel DRT Black</t>
  </si>
  <si>
    <t>8715839103656</t>
  </si>
  <si>
    <t>51.24.41.02</t>
  </si>
  <si>
    <t>Rally - Small Parts DRT Black</t>
  </si>
  <si>
    <t>8715839103663</t>
  </si>
  <si>
    <t>51.24.41.03</t>
  </si>
  <si>
    <t>Rally - Spoiler DRT Black 3 Gears</t>
  </si>
  <si>
    <t>8715839103670</t>
  </si>
  <si>
    <t>51.24.41.04</t>
  </si>
  <si>
    <t>Rally - Chainguard Set DRT Black 3 Gears</t>
  </si>
  <si>
    <t>8715839103687</t>
  </si>
  <si>
    <t>51.20.00.00</t>
  </si>
  <si>
    <t>PlayBase - Frame Corner</t>
  </si>
  <si>
    <t>8715839088427</t>
  </si>
  <si>
    <t>51.20.00.03</t>
  </si>
  <si>
    <t>PlayBase - Top Frame Medium, Female - Female</t>
  </si>
  <si>
    <t>8715839088458</t>
  </si>
  <si>
    <t>51.20.00.04</t>
  </si>
  <si>
    <t>PlayBase - Top Frame Medium, Male - Female (+ Sticker)</t>
  </si>
  <si>
    <t>8715839088465</t>
  </si>
  <si>
    <t>51.20.00.05</t>
  </si>
  <si>
    <t>PlayBase - Monkey Bar, Round hole for Swing Knob</t>
  </si>
  <si>
    <t>8715839088472</t>
  </si>
  <si>
    <t>51.20.00.06</t>
  </si>
  <si>
    <t>PlayBase -  Swing knob assembly for round hole (2x)</t>
  </si>
  <si>
    <t>8715839088489</t>
  </si>
  <si>
    <t>51.20.00.07</t>
  </si>
  <si>
    <t>PlayBase - Carbine hook (2x)</t>
  </si>
  <si>
    <t>8715839088496</t>
  </si>
  <si>
    <t>51.20.00.08</t>
  </si>
  <si>
    <t>PlayBase - Frame stickerset</t>
  </si>
  <si>
    <t>8715839088502</t>
  </si>
  <si>
    <t>51.20.00.09</t>
  </si>
  <si>
    <t>PlayBase - Tapered self tapping screw (10x)</t>
  </si>
  <si>
    <t>8715839088519</t>
  </si>
  <si>
    <t>51.20.00.10</t>
  </si>
  <si>
    <t>PlayBase - Monkey bar dual screw set (10x)</t>
  </si>
  <si>
    <t>8715839088526</t>
  </si>
  <si>
    <t>51.20.00.11</t>
  </si>
  <si>
    <t>PlayBase - Side Frame, 1x  Connection Point</t>
  </si>
  <si>
    <t>8715839088533</t>
  </si>
  <si>
    <t>51.20.00.12</t>
  </si>
  <si>
    <t>PlayBase - Side Frame, No Connection Point</t>
  </si>
  <si>
    <t>8715839088540</t>
  </si>
  <si>
    <t>51.20.00.15</t>
  </si>
  <si>
    <t>PlayBase - Ladder Rung, Tumble Bar</t>
  </si>
  <si>
    <t>8715839088571</t>
  </si>
  <si>
    <t>51.20.00.16</t>
  </si>
  <si>
    <t>PlayBase - Underground Frame, Connection Bar</t>
  </si>
  <si>
    <t>8715839088588</t>
  </si>
  <si>
    <t>51.20.00.17</t>
  </si>
  <si>
    <t>PlayBase - Underground Frame, S-Leg</t>
  </si>
  <si>
    <t>8715839088595</t>
  </si>
  <si>
    <t>51.20.00.18</t>
  </si>
  <si>
    <t>PlayBase - Underground Frame, Bottom Plate</t>
  </si>
  <si>
    <t>8715839088601</t>
  </si>
  <si>
    <t>51.20.00.19</t>
  </si>
  <si>
    <t>PlayBase - Bottom Plate screw set (4x)</t>
  </si>
  <si>
    <t>8715839088618</t>
  </si>
  <si>
    <t>51.20.30.00</t>
  </si>
  <si>
    <t>BERG SportsGoal S - Net including netstrap</t>
  </si>
  <si>
    <t>8715839100068</t>
  </si>
  <si>
    <t>51.20.30.01</t>
  </si>
  <si>
    <t>BERG SportsGoal M - Net including netstrap</t>
  </si>
  <si>
    <t>8715839100075</t>
  </si>
  <si>
    <t>51.20.30.02</t>
  </si>
  <si>
    <t>BERG SportsGoal L - Net including netstrap</t>
  </si>
  <si>
    <t>8715839100082</t>
  </si>
  <si>
    <t>51.20.30.03</t>
  </si>
  <si>
    <t>BERG SportsGoal – Netclips (6x)</t>
  </si>
  <si>
    <t>8715839100099</t>
  </si>
  <si>
    <t>51.20.30.04</t>
  </si>
  <si>
    <t>BERG SportsGoal S – Bolts set</t>
  </si>
  <si>
    <t>8715839100105</t>
  </si>
  <si>
    <t>51.20.30.05</t>
  </si>
  <si>
    <t>BERG SportsGoal M &amp; L – Bolt set</t>
  </si>
  <si>
    <t>8715839100112</t>
  </si>
  <si>
    <t>51.20.30.06</t>
  </si>
  <si>
    <t>BERG SportsGoal – Springbracket set</t>
  </si>
  <si>
    <t>8715839100129</t>
  </si>
  <si>
    <t>51.20.30.07</t>
  </si>
  <si>
    <t>BERG SportsGoal S &amp; M - Plastic feet ground tube (4x)</t>
  </si>
  <si>
    <t>8715839100136</t>
  </si>
  <si>
    <t>51.20.30.08</t>
  </si>
  <si>
    <t>BERG SportsGoal L - Plastic feet ground tube (4x)</t>
  </si>
  <si>
    <t>8715839100143</t>
  </si>
  <si>
    <t>51.20.30.09</t>
  </si>
  <si>
    <t>BERG SportsGoal - Anchor (2x)</t>
  </si>
  <si>
    <t>8715839100150</t>
  </si>
  <si>
    <t>51.20.30.10</t>
  </si>
  <si>
    <t>BERG SportsGoal – Cones (4x)</t>
  </si>
  <si>
    <t>8715839100167</t>
  </si>
  <si>
    <t>51.20.00.20</t>
  </si>
  <si>
    <t>PlayBase - Monkey Bar, Square hole for Swing Knob</t>
  </si>
  <si>
    <t>8715839100495</t>
  </si>
  <si>
    <t>51.20.00.21</t>
  </si>
  <si>
    <t>8715839100501</t>
  </si>
  <si>
    <t>51.20.00.22</t>
  </si>
  <si>
    <t>8715839100518</t>
  </si>
  <si>
    <t>51.20.00.23</t>
  </si>
  <si>
    <t>PlayBase - Swing knob assembly for square hole (2x)</t>
  </si>
  <si>
    <t>8715839100556</t>
  </si>
  <si>
    <t>51.20.00.24</t>
  </si>
  <si>
    <t>PlayBase - Top Frame Large, Female - Female</t>
  </si>
  <si>
    <t>8715839100709</t>
  </si>
  <si>
    <t>51.20.00.25</t>
  </si>
  <si>
    <t>PlayBase - Top Frame Large, Male - Female (+ Sticker)</t>
  </si>
  <si>
    <t>8715839100716</t>
  </si>
  <si>
    <t>51.20.00.26</t>
  </si>
  <si>
    <t>8715839100723</t>
  </si>
  <si>
    <t>51.20.00.27</t>
  </si>
  <si>
    <t>8715839100730</t>
  </si>
  <si>
    <t>51.20.00.28</t>
  </si>
  <si>
    <t>8715839100747</t>
  </si>
  <si>
    <t>51.20.00.29</t>
  </si>
  <si>
    <t>PlayBase - Side Frame, 4x  Connection Points</t>
  </si>
  <si>
    <t>8715839100754</t>
  </si>
  <si>
    <t>51.20.00.30</t>
  </si>
  <si>
    <t>PlayBase - Side Frame, 3x  Connection Points</t>
  </si>
  <si>
    <t>8715839100761</t>
  </si>
  <si>
    <t>Beach Wagon - Assembly set</t>
  </si>
  <si>
    <t>Touch-up pencil RAL 1018</t>
  </si>
  <si>
    <t>Paint pin blue Ral 5005</t>
  </si>
  <si>
    <t>Beach Wagon - Frame parts</t>
  </si>
  <si>
    <t>51.24.30.46</t>
  </si>
  <si>
    <t>BERG GO² Retro Green - Handlebar Set</t>
  </si>
  <si>
    <t>8715839078770</t>
  </si>
  <si>
    <t>51.24.30.47</t>
  </si>
  <si>
    <t>BERG GO² Retro Green - Front Wheel Cover (2x)</t>
  </si>
  <si>
    <t>8715839078787</t>
  </si>
  <si>
    <t>51.24.30.48</t>
  </si>
  <si>
    <t>BERG GO² Retro Green - Rear Wheel Cover (2x)</t>
  </si>
  <si>
    <t>8715839078794</t>
  </si>
  <si>
    <t>51.24.30.49</t>
  </si>
  <si>
    <t>BERG GO² Retro - Pedal (2x)</t>
  </si>
  <si>
    <t>8715839078800</t>
  </si>
  <si>
    <t>51.24.30.50</t>
  </si>
  <si>
    <t>BERG GO² Retro - Seat</t>
  </si>
  <si>
    <t>8715839078817</t>
  </si>
  <si>
    <t>51.24.30.51</t>
  </si>
  <si>
    <t>BERG GO² Retro - Front Wheel</t>
  </si>
  <si>
    <t>8715839078824</t>
  </si>
  <si>
    <t>51.24.30.52</t>
  </si>
  <si>
    <t>BERG GO² Retro - Rear Wheel</t>
  </si>
  <si>
    <t>8715839078831</t>
  </si>
  <si>
    <t>51.24.30.53</t>
  </si>
  <si>
    <t>BERG GO² Retro - Handgrip (2x)</t>
  </si>
  <si>
    <t>8715839078848</t>
  </si>
  <si>
    <t>51.24.30.54</t>
  </si>
  <si>
    <t>BERG GO² Retro Green - Sticker set</t>
  </si>
  <si>
    <t>8715839078855</t>
  </si>
  <si>
    <t>51.24.30.55</t>
  </si>
  <si>
    <t>BERG GO² Retro Pink - Handlebar Set</t>
  </si>
  <si>
    <t>8715839078862</t>
  </si>
  <si>
    <t>51.24.30.56</t>
  </si>
  <si>
    <t>BERG GO² Retro Pink - Front Wheel Cover (2x)</t>
  </si>
  <si>
    <t>8715839078879</t>
  </si>
  <si>
    <t>51.24.30.57</t>
  </si>
  <si>
    <t>BERG GO² Retro Pink - Rear Wheel Cover (2x)</t>
  </si>
  <si>
    <t>8715839078886</t>
  </si>
  <si>
    <t>51.24.30.58</t>
  </si>
  <si>
    <t>BERG GO² Retro Pink - Sticker set</t>
  </si>
  <si>
    <t>8715839078893</t>
  </si>
  <si>
    <t>Wheel red 300x4 needle bearing</t>
  </si>
  <si>
    <t>Dempy - Bucket green incl. stickers</t>
  </si>
  <si>
    <t>Dempy - Sticker set</t>
  </si>
  <si>
    <t>Inner tube 300x4</t>
  </si>
  <si>
    <t>51.75.00.00</t>
  </si>
  <si>
    <t>Wheel 10'' - Black EVA+</t>
  </si>
  <si>
    <t>8715839080032</t>
  </si>
  <si>
    <t>51.75.00.01</t>
  </si>
  <si>
    <t>Wheel 12'' Slick - Black</t>
  </si>
  <si>
    <t>8715839080049</t>
  </si>
  <si>
    <t>51.75.00.03</t>
  </si>
  <si>
    <t>Wheel 12'' Retro - Black/Beige</t>
  </si>
  <si>
    <t>8715839080063</t>
  </si>
  <si>
    <t>51.75.00.05</t>
  </si>
  <si>
    <t>Biky - Saddle sport Black</t>
  </si>
  <si>
    <t>8715839080087</t>
  </si>
  <si>
    <t>51.75.00.06</t>
  </si>
  <si>
    <t>Biky - Saddle retro Brown</t>
  </si>
  <si>
    <t>8715839080094</t>
  </si>
  <si>
    <t>51.75.00.07</t>
  </si>
  <si>
    <t>Biky - Wheel axle set</t>
  </si>
  <si>
    <t>8715839080100</t>
  </si>
  <si>
    <t>51.75.00.08</t>
  </si>
  <si>
    <t>Biky - Bearing set ballhead</t>
  </si>
  <si>
    <t>8715839080117</t>
  </si>
  <si>
    <t>51.75.00.09</t>
  </si>
  <si>
    <t>Biky – Handgrip set Black</t>
  </si>
  <si>
    <t>8715839080124</t>
  </si>
  <si>
    <t>51.75.00.10</t>
  </si>
  <si>
    <t>Biky – Handgrip set Brown</t>
  </si>
  <si>
    <t>8715839080131</t>
  </si>
  <si>
    <t>51.75.00.11</t>
  </si>
  <si>
    <t>Biky – Retro bag Brown</t>
  </si>
  <si>
    <t>8715839080148</t>
  </si>
  <si>
    <t>51.75.00.12</t>
  </si>
  <si>
    <t>Biky – Griptape set Grey</t>
  </si>
  <si>
    <t>8715839080155</t>
  </si>
  <si>
    <t>51.75.00.13</t>
  </si>
  <si>
    <t>Biky - Gold anodized washers</t>
  </si>
  <si>
    <t>8715839080360</t>
  </si>
  <si>
    <t>51.75.00.15</t>
  </si>
  <si>
    <t>Biky Cross - Double front fork</t>
  </si>
  <si>
    <t>8715839080384</t>
  </si>
  <si>
    <t>51.75.00.16</t>
  </si>
  <si>
    <t>Biky Retro - Double front fork</t>
  </si>
  <si>
    <t>8715839080391</t>
  </si>
  <si>
    <t>51.75.00.17</t>
  </si>
  <si>
    <t>Biky Mini/City Green - Logo + Sleeves</t>
  </si>
  <si>
    <t>8715839080407</t>
  </si>
  <si>
    <t>51.75.00.18</t>
  </si>
  <si>
    <t>Biky Mini/City Red - Logo + Sleeves</t>
  </si>
  <si>
    <t>8715839080414</t>
  </si>
  <si>
    <t>51.75.00.19</t>
  </si>
  <si>
    <t>Biky Cross Green - Logo + Sleeves + Cover</t>
  </si>
  <si>
    <t>8715839080421</t>
  </si>
  <si>
    <t>51.75.00.20</t>
  </si>
  <si>
    <t>Biky Cross Red - Logo + Sleeves + Cover</t>
  </si>
  <si>
    <t>8715839080438</t>
  </si>
  <si>
    <t>51.75.00.21</t>
  </si>
  <si>
    <t>Biky Cross Grey - Logo + Sleeves + Cover</t>
  </si>
  <si>
    <t>8715839080445</t>
  </si>
  <si>
    <t>51.75.00.22</t>
  </si>
  <si>
    <t>Biky Retro Green - Logo + Sleeves</t>
  </si>
  <si>
    <t>8715839080452</t>
  </si>
  <si>
    <t>51.75.00.23</t>
  </si>
  <si>
    <t>Biky Retro Pink - Logo + Sleeves</t>
  </si>
  <si>
    <t>8715839080469</t>
  </si>
  <si>
    <t>51.75.00.24</t>
  </si>
  <si>
    <t>Biky - Assembly set</t>
  </si>
  <si>
    <t>8715839080476</t>
  </si>
  <si>
    <t>51.75.00.25</t>
  </si>
  <si>
    <t>Biky - Sticker set Mini Green</t>
  </si>
  <si>
    <t>8715839080506</t>
  </si>
  <si>
    <t>51.75.00.26</t>
  </si>
  <si>
    <t>Biky - Stickers set Mini Red</t>
  </si>
  <si>
    <t>8715839080513</t>
  </si>
  <si>
    <t>51.75.00.27</t>
  </si>
  <si>
    <t>Biky - Sticker set City Green</t>
  </si>
  <si>
    <t>8715839080520</t>
  </si>
  <si>
    <t>51.75.00.28</t>
  </si>
  <si>
    <t>Biky - Sticker set City Red</t>
  </si>
  <si>
    <t>8715839080537</t>
  </si>
  <si>
    <t>51.75.00.29</t>
  </si>
  <si>
    <t>Biky - Stickers set Cross Green</t>
  </si>
  <si>
    <t>8715839080544</t>
  </si>
  <si>
    <t>51.75.00.30</t>
  </si>
  <si>
    <t>Biky - Sticker set Cross Red</t>
  </si>
  <si>
    <t>8715839080551</t>
  </si>
  <si>
    <t>51.75.00.31</t>
  </si>
  <si>
    <t>Biky - Sticker set Cross Grey</t>
  </si>
  <si>
    <t>8715839080568</t>
  </si>
  <si>
    <t>51.75.00.32</t>
  </si>
  <si>
    <t>Biky - Sticker set Retro Green</t>
  </si>
  <si>
    <t>8715839080575</t>
  </si>
  <si>
    <t>51.75.00.33</t>
  </si>
  <si>
    <t>Biky - Sticker set Retro Pink</t>
  </si>
  <si>
    <t>8715839080582</t>
  </si>
  <si>
    <t>6x set Handles</t>
  </si>
  <si>
    <t>Dempy - Assembly set</t>
  </si>
  <si>
    <t>51.24.30.28</t>
  </si>
  <si>
    <t>BERG GO² SparX Red - Handlebar Set</t>
  </si>
  <si>
    <t>8715839072921</t>
  </si>
  <si>
    <t>51.24.30.29</t>
  </si>
  <si>
    <t>BERG GO² SparX Red - Front Wheel Cover (2x)</t>
  </si>
  <si>
    <t>8715839072938</t>
  </si>
  <si>
    <t>51.24.30.30</t>
  </si>
  <si>
    <t>BERG GO² SparX Red - Rear Wheel Cover (2x)</t>
  </si>
  <si>
    <t>8715839072945</t>
  </si>
  <si>
    <t>51.24.30.31</t>
  </si>
  <si>
    <t>BERG GO² SparX Red - Pedal (2x)</t>
  </si>
  <si>
    <t>8715839072952</t>
  </si>
  <si>
    <t>51.24.30.32</t>
  </si>
  <si>
    <t>BERG GO² SparX Red - Seat</t>
  </si>
  <si>
    <t>8715839072969</t>
  </si>
  <si>
    <t>51.24.30.33</t>
  </si>
  <si>
    <t>BERG GO² SparX Red - Front Wheel</t>
  </si>
  <si>
    <t>8715839072976</t>
  </si>
  <si>
    <t>51.24.30.34</t>
  </si>
  <si>
    <t>BERG GO² SparX Red - Rear Wheel</t>
  </si>
  <si>
    <t>8715839072983</t>
  </si>
  <si>
    <t>51.24.30.35</t>
  </si>
  <si>
    <t>BERG GO² SparX Red - Handgrip (2x)</t>
  </si>
  <si>
    <t>8715839072990</t>
  </si>
  <si>
    <t>51.24.30.36</t>
  </si>
  <si>
    <t>BERG GO² SparX Red - Sticker set</t>
  </si>
  <si>
    <t>8715839073003</t>
  </si>
  <si>
    <t>51.24.30.37</t>
  </si>
  <si>
    <t>BERG GO² SparX Yellow - Handlebar Set</t>
  </si>
  <si>
    <t>8715839073010</t>
  </si>
  <si>
    <t>51.24.30.38</t>
  </si>
  <si>
    <t>BERG GO² SparX Yellow - Front Wheel Cover (2x)</t>
  </si>
  <si>
    <t>8715839073027</t>
  </si>
  <si>
    <t>51.24.30.39</t>
  </si>
  <si>
    <t>BERG GO² SparX Yellow - Rear Wheel Cover (2x)</t>
  </si>
  <si>
    <t>8715839073034</t>
  </si>
  <si>
    <t>51.24.30.40</t>
  </si>
  <si>
    <t>BERG GO² SparX Yellow - Pedal (2x)</t>
  </si>
  <si>
    <t>8715839073041</t>
  </si>
  <si>
    <t>51.24.30.41</t>
  </si>
  <si>
    <t>BERG GO² SparX Yellow - Seat</t>
  </si>
  <si>
    <t>8715839073058</t>
  </si>
  <si>
    <t>51.24.30.42</t>
  </si>
  <si>
    <t>BERG GO² SparX Yellow - Front Wheel</t>
  </si>
  <si>
    <t>8715839073065</t>
  </si>
  <si>
    <t>51.24.30.43</t>
  </si>
  <si>
    <t>BERG GO² SparX Yellow - Rear Wheel</t>
  </si>
  <si>
    <t>8715839073072</t>
  </si>
  <si>
    <t>51.24.30.44</t>
  </si>
  <si>
    <t>BERG GO² SparX Yellow - Handgrip (2x)</t>
  </si>
  <si>
    <t>8715839073089</t>
  </si>
  <si>
    <t>51.24.30.45</t>
  </si>
  <si>
    <t>BERG GO² SparX Yellow - Sticker set</t>
  </si>
  <si>
    <t>8715839073096</t>
  </si>
  <si>
    <t>51.24.30.00</t>
  </si>
  <si>
    <t>BERG GO² Blue - Handlebar Set</t>
  </si>
  <si>
    <t>8715839065442</t>
  </si>
  <si>
    <t>51.24.30.02</t>
  </si>
  <si>
    <t>BERG GO² Blue - Front Wheel Cover (2x)</t>
  </si>
  <si>
    <t>8715839065466</t>
  </si>
  <si>
    <t>51.24.30.03</t>
  </si>
  <si>
    <t>BERG GO² Blue - Rear Wheel Cover (2x)</t>
  </si>
  <si>
    <t>8715839065473</t>
  </si>
  <si>
    <t>51.24.30.04</t>
  </si>
  <si>
    <t>BERG GO² - Assembly Set</t>
  </si>
  <si>
    <t>8715839065480</t>
  </si>
  <si>
    <t>51.24.30.05</t>
  </si>
  <si>
    <t>BERG GO² Blue - Pedal (2x)</t>
  </si>
  <si>
    <t>8715839065497</t>
  </si>
  <si>
    <t>51.24.30.06</t>
  </si>
  <si>
    <t>BERG GO² Blue - Seat</t>
  </si>
  <si>
    <t>8715839065503</t>
  </si>
  <si>
    <t>51.24.30.07</t>
  </si>
  <si>
    <t>BERG GO² Blue - Front Wheel</t>
  </si>
  <si>
    <t>8715839065510</t>
  </si>
  <si>
    <t>51.24.30.08</t>
  </si>
  <si>
    <t>BERG GO² Blue - Rear Wheel</t>
  </si>
  <si>
    <t>8715839065527</t>
  </si>
  <si>
    <t>51.24.30.09</t>
  </si>
  <si>
    <t>BERG GO² Blue - Handgrip (2x)</t>
  </si>
  <si>
    <t>8715839065534</t>
  </si>
  <si>
    <t>51.24.30.10</t>
  </si>
  <si>
    <t>BERG GO² Pink - Handlebar Set</t>
  </si>
  <si>
    <t>8715839065541</t>
  </si>
  <si>
    <t>Biky - Steering foam</t>
  </si>
  <si>
    <t>51.24.30.12</t>
  </si>
  <si>
    <t>BERG GO² Pink - Front Wheel Cover (2x)</t>
  </si>
  <si>
    <t>8715839065565</t>
  </si>
  <si>
    <t>51.24.30.13</t>
  </si>
  <si>
    <t>BERG GO² Pink - Rear Wheel Cover (2x)</t>
  </si>
  <si>
    <t>8715839065572</t>
  </si>
  <si>
    <t>Biky - Seat black</t>
  </si>
  <si>
    <t>51.24.30.14</t>
  </si>
  <si>
    <t>BERG GO² Pink - Pedal (2x)</t>
  </si>
  <si>
    <t>8715839065589</t>
  </si>
  <si>
    <t>51.24.30.15</t>
  </si>
  <si>
    <t>BERG GO² Pink - Seat</t>
  </si>
  <si>
    <t>8715839065596</t>
  </si>
  <si>
    <t>51.24.30.16</t>
  </si>
  <si>
    <t>BERG GO² Pink - Front Wheel</t>
  </si>
  <si>
    <t>8715839065602</t>
  </si>
  <si>
    <t>51.24.30.17</t>
  </si>
  <si>
    <t>BERG GO² Pink - Rear Wheel</t>
  </si>
  <si>
    <t>8715839065619</t>
  </si>
  <si>
    <t>51.24.30.18</t>
  </si>
  <si>
    <t>BERG GO² Pink - Handgrip (2x)</t>
  </si>
  <si>
    <t>8715839065626</t>
  </si>
  <si>
    <t>51.24.30.19</t>
  </si>
  <si>
    <t>BERG GO² Mint - Handlebar Set</t>
  </si>
  <si>
    <t>8715839065633</t>
  </si>
  <si>
    <t>51.24.30.21</t>
  </si>
  <si>
    <t>BERG GO² Mint - Front Wheel Cover (2x)</t>
  </si>
  <si>
    <t>8715839065657</t>
  </si>
  <si>
    <t>51.24.30.22</t>
  </si>
  <si>
    <t>BERG GO² Mint - Rear Wheel Cover (2x)</t>
  </si>
  <si>
    <t>8715839065664</t>
  </si>
  <si>
    <t>51.24.30.23</t>
  </si>
  <si>
    <t>BERG GO² Mint - Pedal (2x)</t>
  </si>
  <si>
    <t>8715839065671</t>
  </si>
  <si>
    <t>51.24.30.24</t>
  </si>
  <si>
    <t>BERG GO² Mint - Seat</t>
  </si>
  <si>
    <t>8715839065688</t>
  </si>
  <si>
    <t>51.24.30.25</t>
  </si>
  <si>
    <t>BERG GO² Mint - Front Wheel</t>
  </si>
  <si>
    <t>8715839065695</t>
  </si>
  <si>
    <t>51.24.30.26</t>
  </si>
  <si>
    <t>BERG GO² Mint - Rear Wheel</t>
  </si>
  <si>
    <t>8715839065701</t>
  </si>
  <si>
    <t>51.24.30.27</t>
  </si>
  <si>
    <t>BERG GO² Mint - Handgrip (2x)</t>
  </si>
  <si>
    <t>8715839065718</t>
  </si>
  <si>
    <t>Tire 3.00-4</t>
  </si>
  <si>
    <t>51.24.30.59</t>
  </si>
  <si>
    <t>BERG GO Twirl Turquoise - Handlebar Set</t>
  </si>
  <si>
    <t>8715839088687</t>
  </si>
  <si>
    <t>51.24.30.60</t>
  </si>
  <si>
    <t>BERG GO - Seat black</t>
  </si>
  <si>
    <t>8715839088694</t>
  </si>
  <si>
    <t>51.24.30.61</t>
  </si>
  <si>
    <t>BERG GO Twirl Turquoise - Handgrip (2x)</t>
  </si>
  <si>
    <t>8715839088700</t>
  </si>
  <si>
    <t>51.24.30.62</t>
  </si>
  <si>
    <t>BERG GO Twirl Turquoise - Front Wheel</t>
  </si>
  <si>
    <t>8715839088717</t>
  </si>
  <si>
    <t>51.24.30.63</t>
  </si>
  <si>
    <t>BERG GO Twirl Turquoise - Rear Wheel</t>
  </si>
  <si>
    <t>8715839088724</t>
  </si>
  <si>
    <t>51.24.30.64</t>
  </si>
  <si>
    <t>BERG GO Twirl Turquoise - Sticker set</t>
  </si>
  <si>
    <t>8715839088731</t>
  </si>
  <si>
    <t>51.24.30.65</t>
  </si>
  <si>
    <t>BERG GO Twirl Multicolor - Handlebar Set</t>
  </si>
  <si>
    <t>8715839088748</t>
  </si>
  <si>
    <t>51.24.30.66</t>
  </si>
  <si>
    <t>BERG GO Twirl Multicolor - Handgrip (2x)</t>
  </si>
  <si>
    <t>8715839088755</t>
  </si>
  <si>
    <t>51.24.30.67</t>
  </si>
  <si>
    <t>BERG GO Twirl Multicolor - Front Wheel</t>
  </si>
  <si>
    <t>8715839088762</t>
  </si>
  <si>
    <t>51.24.30.68</t>
  </si>
  <si>
    <t>BERG GO Twirl Multicolor - Rear Wheel</t>
  </si>
  <si>
    <t>8715839088779</t>
  </si>
  <si>
    <t>51.24.30.69</t>
  </si>
  <si>
    <t>BERG GO Twirl Multicolor - Sticker set</t>
  </si>
  <si>
    <t>8715839088786</t>
  </si>
  <si>
    <t>51.42.00.44</t>
  </si>
  <si>
    <t>Wheel black 300x4 needle bearing</t>
  </si>
  <si>
    <t>8715839089080</t>
  </si>
  <si>
    <t>51.00.00.04</t>
  </si>
  <si>
    <t>Dempy - Bucket black + stickers</t>
  </si>
  <si>
    <t>8715839089097</t>
  </si>
  <si>
    <t>51.00.00.05</t>
  </si>
  <si>
    <t>Dempy - Sticker set Black</t>
  </si>
  <si>
    <t>8715839089103</t>
  </si>
  <si>
    <t>51.00.00.06</t>
  </si>
  <si>
    <t>Dempy - Assembly set Black</t>
  </si>
  <si>
    <t>8715839089110</t>
  </si>
  <si>
    <t>51.75.00.34</t>
  </si>
  <si>
    <t>Biky - Griptape set Blue</t>
  </si>
  <si>
    <t>8715839089233</t>
  </si>
  <si>
    <t>51.75.00.35</t>
  </si>
  <si>
    <t>Biky - Sticker set City Blue Handbrake</t>
  </si>
  <si>
    <t>8715839089240</t>
  </si>
  <si>
    <t>51.75.00.36</t>
  </si>
  <si>
    <t>Biky - Sticker set Cross Blue Handbrake</t>
  </si>
  <si>
    <t>8715839089257</t>
  </si>
  <si>
    <t>51.75.00.37</t>
  </si>
  <si>
    <t>Biky - Sticker set Cross Grey Handbrake</t>
  </si>
  <si>
    <t>8715839089264</t>
  </si>
  <si>
    <t>51.75.00.38</t>
  </si>
  <si>
    <t>Biky - Logo + Sleeves City Blue</t>
  </si>
  <si>
    <t>8715839089271</t>
  </si>
  <si>
    <t>51.75.00.39</t>
  </si>
  <si>
    <t>Biky - Logo + Sleeves Cross Blue</t>
  </si>
  <si>
    <t>8715839089288</t>
  </si>
  <si>
    <t>51.75.00.40</t>
  </si>
  <si>
    <t>Biky - Logo + Sleeves Cross Grey</t>
  </si>
  <si>
    <t>8715839089295</t>
  </si>
  <si>
    <t>51.75.00.41</t>
  </si>
  <si>
    <t>Biky Handbrake - Assembly set</t>
  </si>
  <si>
    <t>8715839089301</t>
  </si>
  <si>
    <t>51.75.00.42</t>
  </si>
  <si>
    <t>Biky Handbrake - Bottom Cover</t>
  </si>
  <si>
    <t>8715839089318</t>
  </si>
  <si>
    <t>51.75.00.43</t>
  </si>
  <si>
    <t>Biky Handbrake - Brake Caliper Set</t>
  </si>
  <si>
    <t>8715839089325</t>
  </si>
  <si>
    <t>51.75.00.44</t>
  </si>
  <si>
    <t>Biky Handbrake - Brake Lever + Cable Set</t>
  </si>
  <si>
    <t>8715839089332</t>
  </si>
  <si>
    <t>51.75.00.45</t>
  </si>
  <si>
    <t>Biky Handbrake - Set of Brake Pads</t>
  </si>
  <si>
    <t>8715839089349</t>
  </si>
  <si>
    <t>51.77.00.00</t>
  </si>
  <si>
    <t>Nexo Foldable - Handlebar Lime</t>
  </si>
  <si>
    <t>8715839091199</t>
  </si>
  <si>
    <t>51.77.00.01</t>
  </si>
  <si>
    <t>Nexo Foldable - Handlebar Blue</t>
  </si>
  <si>
    <t>8715839091205</t>
  </si>
  <si>
    <t>51.77.00.02</t>
  </si>
  <si>
    <t>Nexo Foldable - Handlebar Red</t>
  </si>
  <si>
    <t>8715839091212</t>
  </si>
  <si>
    <t>51.77.00.03</t>
  </si>
  <si>
    <t>Nexo Foldable - Handlebar Mint</t>
  </si>
  <si>
    <t>8715839091229</t>
  </si>
  <si>
    <t>51.77.00.08</t>
  </si>
  <si>
    <t>Nexo Foldable - Deck Lime</t>
  </si>
  <si>
    <t>8715839091274</t>
  </si>
  <si>
    <t>51.77.00.09</t>
  </si>
  <si>
    <t>Nexo Foldable - Deck Blue</t>
  </si>
  <si>
    <t>8715839091281</t>
  </si>
  <si>
    <t>51.77.00.10</t>
  </si>
  <si>
    <t>Nexo Foldable - Deck Red</t>
  </si>
  <si>
    <t>8715839091298</t>
  </si>
  <si>
    <t>51.77.00.11</t>
  </si>
  <si>
    <t>Nexo Foldable - Deck Mint</t>
  </si>
  <si>
    <t>8715839091304</t>
  </si>
  <si>
    <t>51.77.00.12</t>
  </si>
  <si>
    <t>Nexo - Steering mechanism Blue</t>
  </si>
  <si>
    <t>8715839091311</t>
  </si>
  <si>
    <t>51.77.00.13</t>
  </si>
  <si>
    <t>Nexo - Steering mechanism Orange</t>
  </si>
  <si>
    <t>8715839091328</t>
  </si>
  <si>
    <t>51.77.00.14</t>
  </si>
  <si>
    <t>Nexo - Steering mechanism Mint</t>
  </si>
  <si>
    <t>8715839091335</t>
  </si>
  <si>
    <t>51.77.00.15</t>
  </si>
  <si>
    <t>Nexo - Steering mechanism Pink</t>
  </si>
  <si>
    <t>8715839091342</t>
  </si>
  <si>
    <t>51.77.00.17</t>
  </si>
  <si>
    <t>Nexo - Rear brake</t>
  </si>
  <si>
    <t>8715839091366</t>
  </si>
  <si>
    <t>51.77.00.18</t>
  </si>
  <si>
    <t>Nexo - Wheels 120x40mm Blue</t>
  </si>
  <si>
    <t>8715839091373</t>
  </si>
  <si>
    <t>51.77.00.19</t>
  </si>
  <si>
    <t>Nexo - Wheels 120x40mm Orange</t>
  </si>
  <si>
    <t>8715839091380</t>
  </si>
  <si>
    <t>51.77.00.20</t>
  </si>
  <si>
    <t>Nexo - Wheels 120x40mm Mint</t>
  </si>
  <si>
    <t>8715839091397</t>
  </si>
  <si>
    <t>51.77.00.21</t>
  </si>
  <si>
    <t>Nexo - Wheels 120x40mm Pink</t>
  </si>
  <si>
    <t>8715839091403</t>
  </si>
  <si>
    <t>51.77.00.22</t>
  </si>
  <si>
    <t>Nexo - Rear Wheel 80x40mm Blue</t>
  </si>
  <si>
    <t>8715839091410</t>
  </si>
  <si>
    <t>51.77.00.23</t>
  </si>
  <si>
    <t>Nexo - Rear Wheel 80x40mm Orange</t>
  </si>
  <si>
    <t>8715839091427</t>
  </si>
  <si>
    <t>51.77.00.24</t>
  </si>
  <si>
    <t>Nexo - Rear Wheel 80x40mm Mint</t>
  </si>
  <si>
    <t>8715839091434</t>
  </si>
  <si>
    <t>51.77.00.25</t>
  </si>
  <si>
    <t>Nexo - Rear Wheel 80x40mm Pink</t>
  </si>
  <si>
    <t>8715839091441</t>
  </si>
  <si>
    <t>51.77.00.26</t>
  </si>
  <si>
    <t>Nexo Foldable - Assembly set</t>
  </si>
  <si>
    <t>8715839091458</t>
  </si>
  <si>
    <t>51.77.00.27</t>
  </si>
  <si>
    <t>Nexo - Bearing Set</t>
  </si>
  <si>
    <t>8715839091465</t>
  </si>
  <si>
    <t>51.24.30.70</t>
  </si>
  <si>
    <t>BERG GO - Wheel bolts</t>
  </si>
  <si>
    <t>8715839091670</t>
  </si>
  <si>
    <t>51.75.00.47</t>
  </si>
  <si>
    <t>Biky - Logo + Sleeves Trail Green</t>
  </si>
  <si>
    <t>8715839092042</t>
  </si>
  <si>
    <t>51.75.00.48</t>
  </si>
  <si>
    <t>Biky - Sticker set Trail Green Handbrake</t>
  </si>
  <si>
    <t>8715839092059</t>
  </si>
  <si>
    <t>51.75.00.49</t>
  </si>
  <si>
    <t>Biky - Griptape set Black</t>
  </si>
  <si>
    <t>8715839092066</t>
  </si>
  <si>
    <t>51.75.00.50</t>
  </si>
  <si>
    <t>Biky - Handgrip set Orange</t>
  </si>
  <si>
    <t>8715839092073</t>
  </si>
  <si>
    <t>51.75.00.52</t>
  </si>
  <si>
    <t>Biky - Orange Anodized Washers</t>
  </si>
  <si>
    <t>8715839092080</t>
  </si>
  <si>
    <t>51.75.00.53</t>
  </si>
  <si>
    <t>Biky Trail Green - Double front fork</t>
  </si>
  <si>
    <t>8715839092097</t>
  </si>
  <si>
    <t>51.75.00.51</t>
  </si>
  <si>
    <t>Biky - Race Plate + Sticker sheet</t>
  </si>
  <si>
    <t>8715839092103</t>
  </si>
  <si>
    <t>51.42.00.48</t>
  </si>
  <si>
    <t>Tire 12.5x2.25-8 All Terrain black/beige</t>
  </si>
  <si>
    <t>8715839092110</t>
  </si>
  <si>
    <t>51.75.00.54</t>
  </si>
  <si>
    <t>Wheel 12'' All Terrain - Black/Orange/Beige</t>
  </si>
  <si>
    <t>8715839092127</t>
  </si>
  <si>
    <t>51.42.00.47</t>
  </si>
  <si>
    <t>8715839092134</t>
  </si>
  <si>
    <t>51.07.10.03</t>
  </si>
  <si>
    <t>Beach Wagon - Frame Parts Black</t>
  </si>
  <si>
    <t>8715839092400</t>
  </si>
  <si>
    <t>51.07.10.04</t>
  </si>
  <si>
    <t>Beach Wagon - Assembly Set Black</t>
  </si>
  <si>
    <t>8715839092417</t>
  </si>
  <si>
    <t>51.42.00.49</t>
  </si>
  <si>
    <t>Solid PU Wheel Black 300X4 Needle B.</t>
  </si>
  <si>
    <t>8715839092424</t>
  </si>
  <si>
    <t>51.80.00.00</t>
  </si>
  <si>
    <t>Proxus X1 - Griptape Blue/Lime</t>
  </si>
  <si>
    <t>8715839092523</t>
  </si>
  <si>
    <t>51.80.00.01</t>
  </si>
  <si>
    <t>Proxus X1 - Griptape Green/Orange</t>
  </si>
  <si>
    <t>8715839092530</t>
  </si>
  <si>
    <t>51.80.00.02</t>
  </si>
  <si>
    <t>Proxus X1 - Griptape Grey/Pink</t>
  </si>
  <si>
    <t>8715839092547</t>
  </si>
  <si>
    <t>51.80.00.03</t>
  </si>
  <si>
    <t>Proxus X1 - Griptape Neochrome/Black</t>
  </si>
  <si>
    <t>8715839092554</t>
  </si>
  <si>
    <t>51.80.00.04</t>
  </si>
  <si>
    <t>Proxus X1 - Grips + Bar Ends Lime</t>
  </si>
  <si>
    <t>8715839092561</t>
  </si>
  <si>
    <t>51.80.00.05</t>
  </si>
  <si>
    <t>Proxus X1 - Grips + Bar Ends Orange</t>
  </si>
  <si>
    <t>8715839092578</t>
  </si>
  <si>
    <t>51.80.00.06</t>
  </si>
  <si>
    <t>Proxus X1 - Grips + Bar Ends Pink</t>
  </si>
  <si>
    <t>8715839092585</t>
  </si>
  <si>
    <t>51.80.00.07</t>
  </si>
  <si>
    <t>Proxus X1 - Grips + Bar Ends Black</t>
  </si>
  <si>
    <t>8715839092592</t>
  </si>
  <si>
    <t>51.80.00.08</t>
  </si>
  <si>
    <t>Proxus X1 - Wheel Set Lime</t>
  </si>
  <si>
    <t>8715839092608</t>
  </si>
  <si>
    <t>51.80.00.09</t>
  </si>
  <si>
    <t>Proxus X1 - Wheel Set Orange</t>
  </si>
  <si>
    <t>8715839092615</t>
  </si>
  <si>
    <t>51.80.00.10</t>
  </si>
  <si>
    <t>Proxus X1 - Wheel Set Pink</t>
  </si>
  <si>
    <t>8715839092622</t>
  </si>
  <si>
    <t>51.80.00.11</t>
  </si>
  <si>
    <t>Proxus X1 - Wheel Set Black</t>
  </si>
  <si>
    <t>8715839092639</t>
  </si>
  <si>
    <t>51.80.00.12</t>
  </si>
  <si>
    <t>Proxus X1 - Rear Brake</t>
  </si>
  <si>
    <t>8715839092646</t>
  </si>
  <si>
    <t>51.75.00.55</t>
  </si>
  <si>
    <t>Biky - Wheel spacers</t>
  </si>
  <si>
    <t>8715839092660</t>
  </si>
  <si>
    <t>51.75.00.56</t>
  </si>
  <si>
    <t>Biky - Logo + Sleeves Cross Black</t>
  </si>
  <si>
    <t>8715839100327</t>
  </si>
  <si>
    <t>51.75.00.57</t>
  </si>
  <si>
    <t>Biky - Sticker set Cross Black</t>
  </si>
  <si>
    <t>8715839100334</t>
  </si>
  <si>
    <t>51.75.00.58</t>
  </si>
  <si>
    <t>Wheel 12'' All Terrain - Black/White</t>
  </si>
  <si>
    <t>8715839100365</t>
  </si>
  <si>
    <t>51.75.00.59</t>
  </si>
  <si>
    <t>Biky Cross Black- Double front fork</t>
  </si>
  <si>
    <t>8715839100358</t>
  </si>
  <si>
    <t>51.07.10.05</t>
  </si>
  <si>
    <t>Beach Wagon - Frame Parts White</t>
  </si>
  <si>
    <t>8715839100792</t>
  </si>
  <si>
    <t>51.75.00.60</t>
  </si>
  <si>
    <t>Biky - Logo + Sleeves Cross White</t>
  </si>
  <si>
    <t>8715839101003</t>
  </si>
  <si>
    <t>51.75.00.61</t>
  </si>
  <si>
    <t>Biky - Sticker set Cross White</t>
  </si>
  <si>
    <t>8715839101010</t>
  </si>
  <si>
    <t>51.75.00.62</t>
  </si>
  <si>
    <t>Biky - Logo + Sleeves Cross Purple</t>
  </si>
  <si>
    <t>8715839101027</t>
  </si>
  <si>
    <t>51.75.00.63</t>
  </si>
  <si>
    <t>Biky - Sticker set Cross Purple</t>
  </si>
  <si>
    <t>8715839101034</t>
  </si>
  <si>
    <t>51.75.00.64</t>
  </si>
  <si>
    <t>Biky - Black Anodized Washers</t>
  </si>
  <si>
    <t>8715839101041</t>
  </si>
  <si>
    <t>51.81.00.00</t>
  </si>
  <si>
    <t>MOOV - Wheel Axle</t>
  </si>
  <si>
    <t>8715839102352</t>
  </si>
  <si>
    <t>51.81.00.01</t>
  </si>
  <si>
    <t>MOOV - Saddle</t>
  </si>
  <si>
    <t>8715839102369</t>
  </si>
  <si>
    <t>51.81.00.02</t>
  </si>
  <si>
    <t>MOOV 10 - Sticker Set Blue</t>
  </si>
  <si>
    <t>8715839102376</t>
  </si>
  <si>
    <t>51.81.00.03</t>
  </si>
  <si>
    <t>MOOV 10 - Sticker Set Green</t>
  </si>
  <si>
    <t>8715839102383</t>
  </si>
  <si>
    <t>51.81.00.04</t>
  </si>
  <si>
    <t>MOOV 10 - Sticker Set Pink</t>
  </si>
  <si>
    <t>8715839102390</t>
  </si>
  <si>
    <t>51.81.00.05</t>
  </si>
  <si>
    <t>MOOV - Wheel 10" EVA</t>
  </si>
  <si>
    <t>8715839102406</t>
  </si>
  <si>
    <t>51.81.00.06</t>
  </si>
  <si>
    <t>MOOV - Handgrip Set</t>
  </si>
  <si>
    <t>8715839102413</t>
  </si>
  <si>
    <t>51.81.00.07</t>
  </si>
  <si>
    <t>MOOV 10 - Bag of Plastics Blue</t>
  </si>
  <si>
    <t>8715839102420</t>
  </si>
  <si>
    <t>51.81.00.08</t>
  </si>
  <si>
    <t>MOOV 10 - Bag of Plastics Green</t>
  </si>
  <si>
    <t>8715839102437</t>
  </si>
  <si>
    <t>51.81.00.09</t>
  </si>
  <si>
    <t>MOOV 10 - Bag of Plastics Pink</t>
  </si>
  <si>
    <t>8715839102444</t>
  </si>
  <si>
    <t>51.81.00.10</t>
  </si>
  <si>
    <t>MOOV 10 - Steering Plastics Set</t>
  </si>
  <si>
    <t>8715839102451</t>
  </si>
  <si>
    <t>51.81.00.11</t>
  </si>
  <si>
    <t>MOOV - Saddle Clamp</t>
  </si>
  <si>
    <t>8715839102468</t>
  </si>
  <si>
    <t>51.24.00.01</t>
  </si>
  <si>
    <t>Headset 1" Black</t>
  </si>
  <si>
    <t>8715839066081</t>
  </si>
  <si>
    <t>51.24.00.02</t>
  </si>
  <si>
    <t>Set pedals 80x60 (FP-619)</t>
  </si>
  <si>
    <t>8715839066340</t>
  </si>
  <si>
    <t>51.24.00.03</t>
  </si>
  <si>
    <t>BERG Steering wheel oval</t>
  </si>
  <si>
    <t>8715839066104</t>
  </si>
  <si>
    <t>51.67.00.69</t>
  </si>
  <si>
    <t>Wheel 9x2 - Yellow/Yellow Front</t>
  </si>
  <si>
    <t>8715839075335</t>
  </si>
  <si>
    <t>51.67.00.70</t>
  </si>
  <si>
    <t>Wheel 9x2 - Yellow/Yellow Rear</t>
  </si>
  <si>
    <t>8715839075342</t>
  </si>
  <si>
    <t>51.67.00.71</t>
  </si>
  <si>
    <t>Wheel 9x2 - Pink/White Front</t>
  </si>
  <si>
    <t>8715839075359</t>
  </si>
  <si>
    <t>51.67.00.72</t>
  </si>
  <si>
    <t>Wheel 9x2 - Pink/White Rear</t>
  </si>
  <si>
    <t>8715839075366</t>
  </si>
  <si>
    <t>51.67.00.73</t>
  </si>
  <si>
    <t>Wheel 9x2 Cross - Black/Orange Front Left</t>
  </si>
  <si>
    <t>8715839075373</t>
  </si>
  <si>
    <t>51.67.00.74</t>
  </si>
  <si>
    <t>Wheel 9x2 Cross - Black/Orange Front Right</t>
  </si>
  <si>
    <t>8715839075380</t>
  </si>
  <si>
    <t>51.67.00.75</t>
  </si>
  <si>
    <t>Wheel 9x2 Cross - Black/Orange Rear Left</t>
  </si>
  <si>
    <t>8715839075397</t>
  </si>
  <si>
    <t>51.67.00.76</t>
  </si>
  <si>
    <t>Wheel 9x2 Cross - Black/Orange Rear Right</t>
  </si>
  <si>
    <t>8715839075403</t>
  </si>
  <si>
    <t>51.67.00.77</t>
  </si>
  <si>
    <t>Wheel 9x2 Cross - Black/Black Front Left</t>
  </si>
  <si>
    <t>8715839075410</t>
  </si>
  <si>
    <t>Buddy - Steering pen (24 cm)</t>
  </si>
  <si>
    <t>51.67.00.78</t>
  </si>
  <si>
    <t>Wheel 9x2 Cross - Black/Black Front Right</t>
  </si>
  <si>
    <t>8715839075427</t>
  </si>
  <si>
    <t>51.67.00.79</t>
  </si>
  <si>
    <t>Wheel 9x2 Cross - Black/Black Rear Left</t>
  </si>
  <si>
    <t>8715839075434</t>
  </si>
  <si>
    <t>51.67.00.80</t>
  </si>
  <si>
    <t>Wheel 9x2 Cross - Black/Black Rear Right</t>
  </si>
  <si>
    <t>8715839075441</t>
  </si>
  <si>
    <t>51.67.00.81</t>
  </si>
  <si>
    <t>Wheel 9x2 Cross - Grey/Black Left</t>
  </si>
  <si>
    <t>8715839075458</t>
  </si>
  <si>
    <t>51.67.00.82</t>
  </si>
  <si>
    <t>Wheel 9x2 Cross - Grey/Black Right</t>
  </si>
  <si>
    <t>8715839075465</t>
  </si>
  <si>
    <t>Buddy - Seat pink incl. frame</t>
  </si>
  <si>
    <t>Buddy - Wheel cover 12mm pink (6x)</t>
  </si>
  <si>
    <t>Buddy - Chain guard black</t>
  </si>
  <si>
    <t>Buddy - Wheel cover 12mm yellow (6x)</t>
  </si>
  <si>
    <t>Wheel black 12.5x2.25-8 slick, traction</t>
  </si>
  <si>
    <t>Hand grip d22x90mm with frills (2x)</t>
  </si>
  <si>
    <t>Choppy - Steer + hand grips</t>
  </si>
  <si>
    <t>Buzzy - Seat black</t>
  </si>
  <si>
    <t>Buzzy - Steering wheel Racing</t>
  </si>
  <si>
    <t>Buzzy - Sticker set Racing</t>
  </si>
  <si>
    <t>Buzzy - Plastic parts Racing</t>
  </si>
  <si>
    <t>Buzzy - Assembly set Racing</t>
  </si>
  <si>
    <t>Buzzy - Spoiler Racing</t>
  </si>
  <si>
    <t>Buzzy - Chain guard black</t>
  </si>
  <si>
    <t>51.67.00.83</t>
  </si>
  <si>
    <t>Buzzy - Spoiler Red</t>
  </si>
  <si>
    <t>8715839075687</t>
  </si>
  <si>
    <t>51.67.00.84</t>
  </si>
  <si>
    <t>Buzzy - Plastic parts Red</t>
  </si>
  <si>
    <t>8715839075694</t>
  </si>
  <si>
    <t>51.67.00.85</t>
  </si>
  <si>
    <t>Wheel 9x2 - Black/Black Front</t>
  </si>
  <si>
    <t>8715839075700</t>
  </si>
  <si>
    <t>51.67.00.86</t>
  </si>
  <si>
    <t>Wheel 9x2 - Black/Black Rear</t>
  </si>
  <si>
    <t>8715839075717</t>
  </si>
  <si>
    <t>Paint pin green RAL 6001</t>
  </si>
  <si>
    <t>Paint pin white RAL 9016</t>
  </si>
  <si>
    <t>Wheel white 12.5x3.00-9 slick, traction</t>
  </si>
  <si>
    <t>Wheel white 12.5x3.00-9 slick</t>
  </si>
  <si>
    <t>Buddy - Chain guard black/blue</t>
  </si>
  <si>
    <t>Buddy - Plastic parts BMW</t>
  </si>
  <si>
    <t>Buddy - Spoiler front BMW</t>
  </si>
  <si>
    <t>Buddy - Spoiler rear BMW</t>
  </si>
  <si>
    <t>Buddy - Assembly set for spoilers BMW</t>
  </si>
  <si>
    <t>51.67.00.23</t>
  </si>
  <si>
    <t>Buzzy - Crank shaft incl. pedals black</t>
  </si>
  <si>
    <t>8715839068009</t>
  </si>
  <si>
    <t>51.67.00.24</t>
  </si>
  <si>
    <t>Buzzy - Crank shaft incl. pedals blue</t>
  </si>
  <si>
    <t>8715839068016</t>
  </si>
  <si>
    <t>51.69.00.42</t>
  </si>
  <si>
    <t>Wheel black-black 10x2,5 front + sticker Roadster</t>
  </si>
  <si>
    <t>8715839076547</t>
  </si>
  <si>
    <t>51.69.00.43</t>
  </si>
  <si>
    <t>Wheel black-black 10x2,5 rear + sticker Roadster</t>
  </si>
  <si>
    <t>8715839076554</t>
  </si>
  <si>
    <t>51.69.00.44</t>
  </si>
  <si>
    <t>Reppy - Steering wheel Roadster</t>
  </si>
  <si>
    <t>8715839076561</t>
  </si>
  <si>
    <t>51.69.00.45</t>
  </si>
  <si>
    <t>Reppy - Plastic parts Roadster</t>
  </si>
  <si>
    <t>8715839076578</t>
  </si>
  <si>
    <t>51.69.00.46</t>
  </si>
  <si>
    <t>Reppy - Spoiler Roadster</t>
  </si>
  <si>
    <t>8715839076585</t>
  </si>
  <si>
    <t>51.69.00.47</t>
  </si>
  <si>
    <t>Reppy - Chain guard Roadster</t>
  </si>
  <si>
    <t>8715839076592</t>
  </si>
  <si>
    <t>51.69.00.48</t>
  </si>
  <si>
    <t>Reppy - Sticker set Roadster</t>
  </si>
  <si>
    <t>8715839076608</t>
  </si>
  <si>
    <t>51.67.00.25</t>
  </si>
  <si>
    <t>Buzzy - Spoiler BSX</t>
  </si>
  <si>
    <t>8715839068078</t>
  </si>
  <si>
    <t>51.67.00.26</t>
  </si>
  <si>
    <t>Buzzy - Chain guard BSX</t>
  </si>
  <si>
    <t>8715839068085</t>
  </si>
  <si>
    <t>51.67.00.28</t>
  </si>
  <si>
    <t>Buzzy - Plastic parts BSX</t>
  </si>
  <si>
    <t>8715839068108</t>
  </si>
  <si>
    <t>51.67.00.30</t>
  </si>
  <si>
    <t>Buzzy - Sticker set BSX</t>
  </si>
  <si>
    <t>8715839068122</t>
  </si>
  <si>
    <t>Buzzy - Seat grey</t>
  </si>
  <si>
    <t>Buzzy - Spoiler Yellow</t>
  </si>
  <si>
    <t>Wheel grey-black 9x2  (yellow cover)</t>
  </si>
  <si>
    <t>Hand grip d22x90mm (2x)</t>
  </si>
  <si>
    <t>Buzzy - Internal rear axle</t>
  </si>
  <si>
    <t>Buzzy - External rear axle</t>
  </si>
  <si>
    <t>Buzzy - Chain guard grey</t>
  </si>
  <si>
    <t>Buzzy - Steering  black incl. spoiler Yellow</t>
  </si>
  <si>
    <t>Buzzy - Stub axle set + steering strip</t>
  </si>
  <si>
    <t>Buzzy - Sticker set Yellow</t>
  </si>
  <si>
    <t>Buzzy - Plastic parts Yellow</t>
  </si>
  <si>
    <t>Buzzy - Assembly set</t>
  </si>
  <si>
    <t>Wheel red 12.5x2.25-8 all terrain (Fendt)</t>
  </si>
  <si>
    <t>Wheel red 12.5x2.25-8 all terrain, traction (Fendt)</t>
  </si>
  <si>
    <t>Buddy - Spoiler Fendt</t>
  </si>
  <si>
    <t>Hub BF-R for Buddy / Rally</t>
  </si>
  <si>
    <t>15.07.60.01</t>
  </si>
  <si>
    <t>Touch-up pencil RAL 6011</t>
  </si>
  <si>
    <t>8715839081152</t>
  </si>
  <si>
    <t>SP Junior Trailer smoothly running wheels</t>
  </si>
  <si>
    <t>51.69.00.49</t>
  </si>
  <si>
    <t>Reppy - Steering wheel Raptor</t>
  </si>
  <si>
    <t>8715839077681</t>
  </si>
  <si>
    <t>51.69.00.50</t>
  </si>
  <si>
    <t>Reppy - Plastic parts Raptor</t>
  </si>
  <si>
    <t>8715839077698</t>
  </si>
  <si>
    <t>51.69.00.51</t>
  </si>
  <si>
    <t>Reppy - Spoiler Raptor</t>
  </si>
  <si>
    <t>8715839077704</t>
  </si>
  <si>
    <t>51.69.00.52</t>
  </si>
  <si>
    <t>Reppy - Chain guard Raptor</t>
  </si>
  <si>
    <t>8715839077711</t>
  </si>
  <si>
    <t>51.69.00.53</t>
  </si>
  <si>
    <t>Reppy - Sticker set Raptor</t>
  </si>
  <si>
    <t>8715839077728</t>
  </si>
  <si>
    <t>51.67.00.87</t>
  </si>
  <si>
    <t>Buzzy - Plastic parts Beatz</t>
  </si>
  <si>
    <t>8715839078244</t>
  </si>
  <si>
    <t>51.67.00.88</t>
  </si>
  <si>
    <t>Buzzy - Assembly set Beatz</t>
  </si>
  <si>
    <t>8715839078251</t>
  </si>
  <si>
    <t>51.67.00.90</t>
  </si>
  <si>
    <t>Buzzy - Spoiler Beatz</t>
  </si>
  <si>
    <t>8715839078268</t>
  </si>
  <si>
    <t>51.67.00.91</t>
  </si>
  <si>
    <t>Buzzy - Steering wheel Beatz</t>
  </si>
  <si>
    <t>8715839078275</t>
  </si>
  <si>
    <t>51.67.00.92</t>
  </si>
  <si>
    <t>Buzzy - Recording sound box</t>
  </si>
  <si>
    <t>8715839078282</t>
  </si>
  <si>
    <t>51.67.00.93</t>
  </si>
  <si>
    <t>Wheel 9x2 - Black/Red Front</t>
  </si>
  <si>
    <t>8715839078299</t>
  </si>
  <si>
    <t>51.67.00.94</t>
  </si>
  <si>
    <t>Wheel 9x2 - Black/Red Rear</t>
  </si>
  <si>
    <t>8715839078305</t>
  </si>
  <si>
    <t>51.67.00.95</t>
  </si>
  <si>
    <t>Buzzy - Sticker set Beatz</t>
  </si>
  <si>
    <t>8715839078312</t>
  </si>
  <si>
    <t>Choppy - Assembly set</t>
  </si>
  <si>
    <t>Buddy - Ball bearing 16mm for traction wheel</t>
  </si>
  <si>
    <t>Buzzy - Basket pink</t>
  </si>
  <si>
    <t>Buzzy - Plastic parts Bloom</t>
  </si>
  <si>
    <t>Buzzy - Handlebars White (excl. Spoiler)</t>
  </si>
  <si>
    <t>Buzzy - Sticker set Bloom</t>
  </si>
  <si>
    <t>Buzzy - Chain Guard White</t>
  </si>
  <si>
    <t>51.69.00.00</t>
  </si>
  <si>
    <t>Reppy - Seat black</t>
  </si>
  <si>
    <t>8715839069013</t>
  </si>
  <si>
    <t>51.69.00.02</t>
  </si>
  <si>
    <t>Reppy - Assembly set</t>
  </si>
  <si>
    <t>8715839069020</t>
  </si>
  <si>
    <t>51.69.00.03</t>
  </si>
  <si>
    <t>Reppy - Crank shaft incl. pedals black</t>
  </si>
  <si>
    <t>8715839069037</t>
  </si>
  <si>
    <t>Buzzy - Seat blue</t>
  </si>
  <si>
    <t>51.69.00.04</t>
  </si>
  <si>
    <t>Reppy - External rear axle</t>
  </si>
  <si>
    <t>8715839069044</t>
  </si>
  <si>
    <t>Buzzy - Plastic parts Nitro</t>
  </si>
  <si>
    <t>51.69.00.05</t>
  </si>
  <si>
    <t>Reppy - Internal rear axle</t>
  </si>
  <si>
    <t>8715839069051</t>
  </si>
  <si>
    <t>Buzzy - Spoiler Nitro</t>
  </si>
  <si>
    <t>51.69.00.06</t>
  </si>
  <si>
    <t>Chain 86 links</t>
  </si>
  <si>
    <t>8715839069068</t>
  </si>
  <si>
    <t>Buzzy - Shock absorber blue (2x)</t>
  </si>
  <si>
    <t>51.69.00.07</t>
  </si>
  <si>
    <t>Reppy - Stub axle set + steering strip</t>
  </si>
  <si>
    <t>8715839069075</t>
  </si>
  <si>
    <t>51.69.00.08</t>
  </si>
  <si>
    <t>Reppy - Steering tube black</t>
  </si>
  <si>
    <t>8715839069082</t>
  </si>
  <si>
    <t>Buzzy - Sticker set Nitro</t>
  </si>
  <si>
    <t>51.69.00.10</t>
  </si>
  <si>
    <t>Wheel grey-black 10x2,5 front</t>
  </si>
  <si>
    <t>8715839069105</t>
  </si>
  <si>
    <t>51.69.00.11</t>
  </si>
  <si>
    <t>Wheel grey-black 10x2,5 rear</t>
  </si>
  <si>
    <t>8715839069112</t>
  </si>
  <si>
    <t>51.69.00.12</t>
  </si>
  <si>
    <t>Reppy - Plastic parts Rider</t>
  </si>
  <si>
    <t>8715839069129</t>
  </si>
  <si>
    <t>51.69.00.13</t>
  </si>
  <si>
    <t>Reppy - Spoiler Rider</t>
  </si>
  <si>
    <t>8715839069136</t>
  </si>
  <si>
    <t>51.69.00.14</t>
  </si>
  <si>
    <t>Reppy - Chain guard Rider</t>
  </si>
  <si>
    <t>8715839069143</t>
  </si>
  <si>
    <t>51.69.00.15</t>
  </si>
  <si>
    <t>Reppy - Sticker set Rider</t>
  </si>
  <si>
    <t>8715839069150</t>
  </si>
  <si>
    <t>51.69.00.16</t>
  </si>
  <si>
    <t>Reppy - Steering wheel Racer</t>
  </si>
  <si>
    <t>8715839069167</t>
  </si>
  <si>
    <t>51.69.00.17</t>
  </si>
  <si>
    <t>Wheel grey-orange 10x2,5 front</t>
  </si>
  <si>
    <t>8715839069174</t>
  </si>
  <si>
    <t>51.69.00.18</t>
  </si>
  <si>
    <t>Wheel grey-orange 10x2,5 rear</t>
  </si>
  <si>
    <t>8715839069181</t>
  </si>
  <si>
    <t>51.69.00.19</t>
  </si>
  <si>
    <t>Reppy - Plastic parts Racer</t>
  </si>
  <si>
    <t>8715839069198</t>
  </si>
  <si>
    <t>51.69.00.20</t>
  </si>
  <si>
    <t>Reppy - Spoiler Racer</t>
  </si>
  <si>
    <t>8715839069204</t>
  </si>
  <si>
    <t>51.69.00.21</t>
  </si>
  <si>
    <t>Reppy - Chain guard Racer</t>
  </si>
  <si>
    <t>8715839069211</t>
  </si>
  <si>
    <t>51.69.00.22</t>
  </si>
  <si>
    <t>Reppy - Sticker set Racer</t>
  </si>
  <si>
    <t>8715839069228</t>
  </si>
  <si>
    <t>51.69.00.23</t>
  </si>
  <si>
    <t>Reppy - Steering wheel Rebel</t>
  </si>
  <si>
    <t>8715839069235</t>
  </si>
  <si>
    <t>51.69.00.24</t>
  </si>
  <si>
    <t>Wheel black-red 10x2,5 front left</t>
  </si>
  <si>
    <t>8715839069242</t>
  </si>
  <si>
    <t>51.69.00.25</t>
  </si>
  <si>
    <t>Wheel black-red 10x2,5 front right</t>
  </si>
  <si>
    <t>8715839069259</t>
  </si>
  <si>
    <t>51.69.00.26</t>
  </si>
  <si>
    <t>Wheel black-red 10x2,5 rear left</t>
  </si>
  <si>
    <t>8715839069266</t>
  </si>
  <si>
    <t>51.69.00.27</t>
  </si>
  <si>
    <t>Wheel black-red 10x2,5 rear right</t>
  </si>
  <si>
    <t>8715839069273</t>
  </si>
  <si>
    <t>51.69.00.28</t>
  </si>
  <si>
    <t>Reppy - Plastic parts Rebel</t>
  </si>
  <si>
    <t>8715839069280</t>
  </si>
  <si>
    <t>51.69.00.29</t>
  </si>
  <si>
    <t>Reppy - Spoiler Rebel</t>
  </si>
  <si>
    <t>8715839069297</t>
  </si>
  <si>
    <t>51.69.00.30</t>
  </si>
  <si>
    <t>Reppy - Chain guard Rebel</t>
  </si>
  <si>
    <t>8715839069303</t>
  </si>
  <si>
    <t>51.69.00.31</t>
  </si>
  <si>
    <t>Reppy - Shock absorber red (2x)</t>
  </si>
  <si>
    <t>8715839069310</t>
  </si>
  <si>
    <t>51.69.00.32</t>
  </si>
  <si>
    <t>Reppy - Sticker set Rebel</t>
  </si>
  <si>
    <t>8715839069327</t>
  </si>
  <si>
    <t>51.69.00.01</t>
  </si>
  <si>
    <t>Reppy - Seat shaft black</t>
  </si>
  <si>
    <t>8715839069334</t>
  </si>
  <si>
    <t>51.67.00.96</t>
  </si>
  <si>
    <t>Buzzy 2-in-1 - Seat Retro</t>
  </si>
  <si>
    <t>8715839079272</t>
  </si>
  <si>
    <t>51.67.00.97</t>
  </si>
  <si>
    <t>Buzzy 2-in-1 - Chain guard black</t>
  </si>
  <si>
    <t>8715839079289</t>
  </si>
  <si>
    <t>51.67.01.06</t>
  </si>
  <si>
    <t>Buzzy 2-in-1 - Sticker set Retro Green</t>
  </si>
  <si>
    <t>8715839079296</t>
  </si>
  <si>
    <t>51.67.01.05</t>
  </si>
  <si>
    <t>Hand grip d22x90mm brown (2x)</t>
  </si>
  <si>
    <t>8715839079302</t>
  </si>
  <si>
    <t>51.67.01.04</t>
  </si>
  <si>
    <t>Buzzy 2-in-1 - Brake lever Retro</t>
  </si>
  <si>
    <t>8715839079319</t>
  </si>
  <si>
    <t>51.67.01.02</t>
  </si>
  <si>
    <t>Wheel 9x2 - Black/Beige Front</t>
  </si>
  <si>
    <t>8715839079326</t>
  </si>
  <si>
    <t>51.67.01.03</t>
  </si>
  <si>
    <t>Wheel 9x2 - Black/Beige Rear</t>
  </si>
  <si>
    <t>8715839079333</t>
  </si>
  <si>
    <t>51.67.00.98</t>
  </si>
  <si>
    <t>Buzzy 2-in-1 - Crank shaft incl. pedals Retro Green</t>
  </si>
  <si>
    <t>8715839079340</t>
  </si>
  <si>
    <t>51.67.00.99</t>
  </si>
  <si>
    <t>Buzzy 2-in-1 - Steering tube Retro Green</t>
  </si>
  <si>
    <t>8715839079357</t>
  </si>
  <si>
    <t>51.67.01.00</t>
  </si>
  <si>
    <t>Buzzy 2-in-1 - Plastic parts Retro Green</t>
  </si>
  <si>
    <t>8715839079364</t>
  </si>
  <si>
    <t>51.67.01.01</t>
  </si>
  <si>
    <t>Buzzy - Basket brown</t>
  </si>
  <si>
    <t>8715839079371</t>
  </si>
  <si>
    <t>51.67.18.09</t>
  </si>
  <si>
    <t>Buzzy - Sticker set for trailer M</t>
  </si>
  <si>
    <t>8715839079395</t>
  </si>
  <si>
    <t>51.67.18.07</t>
  </si>
  <si>
    <t>Wheel grey-black 10x2,5 left (red cover)</t>
  </si>
  <si>
    <t>8715839079401</t>
  </si>
  <si>
    <t>51.67.18.08</t>
  </si>
  <si>
    <t>Wheel grey-black 10x2,5 right (red cover)</t>
  </si>
  <si>
    <t>8715839079418</t>
  </si>
  <si>
    <t>51.24.20.12</t>
  </si>
  <si>
    <t>Buddy - Chain guard B-Orange</t>
  </si>
  <si>
    <t>8715839069433</t>
  </si>
  <si>
    <t>51.24.20.13</t>
  </si>
  <si>
    <t>Buddy - Chain guard Lua</t>
  </si>
  <si>
    <t>8715839069440</t>
  </si>
  <si>
    <t>51.67.11.06</t>
  </si>
  <si>
    <t>Buzzy - Spoiler Sahara</t>
  </si>
  <si>
    <t>8715839069457</t>
  </si>
  <si>
    <t>51.67.11.10</t>
  </si>
  <si>
    <t>Buzzy - Shock absorber black (2x)</t>
  </si>
  <si>
    <t>8715839069488</t>
  </si>
  <si>
    <t>51.67.11.09</t>
  </si>
  <si>
    <t>Buzzy - Plastic parts Sahara</t>
  </si>
  <si>
    <t>8715839069495</t>
  </si>
  <si>
    <t>51.67.11.11</t>
  </si>
  <si>
    <t>Buzzy - Steering wheel Sahara</t>
  </si>
  <si>
    <t>8715839069501</t>
  </si>
  <si>
    <t>51.67.11.12</t>
  </si>
  <si>
    <t>Buzzy - Sticker set Sahara</t>
  </si>
  <si>
    <t>8715839069518</t>
  </si>
  <si>
    <t>51.67.11.13</t>
  </si>
  <si>
    <t>Buzzy - Spoiler Rubicon</t>
  </si>
  <si>
    <t>8715839069525</t>
  </si>
  <si>
    <t>51.67.11.14</t>
  </si>
  <si>
    <t>Buzzy - Chain guard Rubicon</t>
  </si>
  <si>
    <t>8715839069532</t>
  </si>
  <si>
    <t>51.67.11.15</t>
  </si>
  <si>
    <t>Buzzy - Plastic parts Rubicon</t>
  </si>
  <si>
    <t>8715839069549</t>
  </si>
  <si>
    <t>51.67.11.16</t>
  </si>
  <si>
    <t>Buzzy - Shock absorber red (2x)</t>
  </si>
  <si>
    <t>8715839069556</t>
  </si>
  <si>
    <t>51.67.11.17</t>
  </si>
  <si>
    <t>Buzzy - Steering wheel Rubicon</t>
  </si>
  <si>
    <t>8715839069563</t>
  </si>
  <si>
    <t>51.67.11.18</t>
  </si>
  <si>
    <t>Buzzy - Sticker set Rubicon</t>
  </si>
  <si>
    <t>8715839069570</t>
  </si>
  <si>
    <t>51.24.20.16</t>
  </si>
  <si>
    <t>Buddy - Seat Lua incl. frame</t>
  </si>
  <si>
    <t>8715839069587</t>
  </si>
  <si>
    <t>51.24.20.14</t>
  </si>
  <si>
    <t>Buddy - Assembly set B-Orange</t>
  </si>
  <si>
    <t>8715839069594</t>
  </si>
  <si>
    <t>51.24.20.15</t>
  </si>
  <si>
    <t>Buddy - Assembly set Lua</t>
  </si>
  <si>
    <t>8715839069600</t>
  </si>
  <si>
    <t>15.07.62.00</t>
  </si>
  <si>
    <t>Paint pin pink PMS177C</t>
  </si>
  <si>
    <t>8715839069617</t>
  </si>
  <si>
    <t>15.07.63.00</t>
  </si>
  <si>
    <t>Paint pin green PMS3268C</t>
  </si>
  <si>
    <t>8715839069624</t>
  </si>
  <si>
    <t>15.07.64.00</t>
  </si>
  <si>
    <t>Paint pin grey RAL7038</t>
  </si>
  <si>
    <t>8715839069679</t>
  </si>
  <si>
    <t>51.67.00.31</t>
  </si>
  <si>
    <t>Buzzy - Spoiler Grey-Black</t>
  </si>
  <si>
    <t>8715839069693</t>
  </si>
  <si>
    <t>51.67.00.33</t>
  </si>
  <si>
    <t>Buzzy - Plastic parts Red-Black</t>
  </si>
  <si>
    <t>8715839069716</t>
  </si>
  <si>
    <t>Tire 12.5x2.25-8 slick</t>
  </si>
  <si>
    <t>Tire 12.5x2.25-8 slick (white striping)</t>
  </si>
  <si>
    <t>Wheel black 12.5x2.25-8 all terrain</t>
  </si>
  <si>
    <t>Wheel black 12.5x2.25-8 all terrain, traction</t>
  </si>
  <si>
    <t>Wheel yellow 12.5x2.25-8 all terrain</t>
  </si>
  <si>
    <t>Wheel yellow 12.5x2.25-8 all terrain, traction</t>
  </si>
  <si>
    <t>Wheel pink 12.5x2.25-8 slick (white striping)</t>
  </si>
  <si>
    <t>Wheel pink 12.5x2.25-8 slick (white striping) traction</t>
  </si>
  <si>
    <t>Buzzy - Plastic parts John Deere</t>
  </si>
  <si>
    <t>Buzzy - Spoiler John Deere</t>
  </si>
  <si>
    <t>Buzzy - Steering wheel John Deere</t>
  </si>
  <si>
    <t>Buzzy - Sticker set John Deere</t>
  </si>
  <si>
    <t>Wheel 9x2 Farm - Yellow/Black Front Left</t>
  </si>
  <si>
    <t>51.42.00.26</t>
  </si>
  <si>
    <t>Wheel black 12.5x2.25-8 All terrain, traction (Choppy Neo)</t>
  </si>
  <si>
    <t>8715839070323</t>
  </si>
  <si>
    <t>Wheel 9x2 Farm - Yellow/Black Front right</t>
  </si>
  <si>
    <t>51.42.00.27</t>
  </si>
  <si>
    <t>Wheel black 12.5x2.25-8 All Terrain, (Choppy Neo)</t>
  </si>
  <si>
    <t>8715839070330</t>
  </si>
  <si>
    <t>51.24.20.23</t>
  </si>
  <si>
    <t>Chain 36 links</t>
  </si>
  <si>
    <t>8715839070354</t>
  </si>
  <si>
    <t>51.24.20.24</t>
  </si>
  <si>
    <t>Chain 84 links</t>
  </si>
  <si>
    <t>8715839070361</t>
  </si>
  <si>
    <t>51.42.00.28</t>
  </si>
  <si>
    <t>Tire 12.5x2.25-8 all terrain</t>
  </si>
  <si>
    <t>8715839070378</t>
  </si>
  <si>
    <t>51.42.00.29</t>
  </si>
  <si>
    <t>Inner tube 12x2.5 -8  (curved valve)</t>
  </si>
  <si>
    <t>8715839070385</t>
  </si>
  <si>
    <t>51.24.15.04</t>
  </si>
  <si>
    <t>Choppy - Assembly set Neo</t>
  </si>
  <si>
    <t>8715839070392</t>
  </si>
  <si>
    <t>51.24.20.27</t>
  </si>
  <si>
    <t>Buddy - Crank shaft</t>
  </si>
  <si>
    <t>8715839070422</t>
  </si>
  <si>
    <t>51.24.20.28</t>
  </si>
  <si>
    <t>Buddy - Wheel cover 12mm black (6x)</t>
  </si>
  <si>
    <t>8715839070439</t>
  </si>
  <si>
    <t>51.24.15.05</t>
  </si>
  <si>
    <t>Choppy - Steer + hand grips Neo</t>
  </si>
  <si>
    <t>8715839070446</t>
  </si>
  <si>
    <t>Wheel grey-black 9x2 (Fiat 500 cover)</t>
  </si>
  <si>
    <t>Buzzy - Steering pen</t>
  </si>
  <si>
    <t>Buzzy - Sticker set Fiat 500</t>
  </si>
  <si>
    <t>Buzzy - Plastic parts Fiat 500</t>
  </si>
  <si>
    <t>Buzzy - Spoiler Fiat 500</t>
  </si>
  <si>
    <t>51.42.00.31</t>
  </si>
  <si>
    <t>Tire 12.5x2.25-8 slick black</t>
  </si>
  <si>
    <t>8715839080483</t>
  </si>
  <si>
    <t>51.42.00.30</t>
  </si>
  <si>
    <t>Tire 12.5x2.25-8 slick beige</t>
  </si>
  <si>
    <t>8715839080490</t>
  </si>
  <si>
    <t>51.67.00.35</t>
  </si>
  <si>
    <t>Buzzy - Spoiler Volt</t>
  </si>
  <si>
    <t>8715839070637</t>
  </si>
  <si>
    <t>51.67.00.36</t>
  </si>
  <si>
    <t>Buzzy - Handlebars Black (excl. Spoiler)</t>
  </si>
  <si>
    <t>8715839070644</t>
  </si>
  <si>
    <t>51.67.00.37</t>
  </si>
  <si>
    <t>Buzzy - Plastic parts Volt</t>
  </si>
  <si>
    <t>8715839070651</t>
  </si>
  <si>
    <t>Buddy - Chain guard black/yellow</t>
  </si>
  <si>
    <t>Buddy - Chain guard black/orange</t>
  </si>
  <si>
    <t>Buddy - Chain guard black/pink</t>
  </si>
  <si>
    <t>51.67.00.38</t>
  </si>
  <si>
    <t>Buzzy - Chain guard lime</t>
  </si>
  <si>
    <t>8715839070767</t>
  </si>
  <si>
    <t>51.67.00.40</t>
  </si>
  <si>
    <t>Buzzy - Assembly Set Aero/Police</t>
  </si>
  <si>
    <t>8715839070781</t>
  </si>
  <si>
    <t>51.67.00.41</t>
  </si>
  <si>
    <t>Buzzy - Steering tube</t>
  </si>
  <si>
    <t>8715839070798</t>
  </si>
  <si>
    <t>51.67.00.42</t>
  </si>
  <si>
    <t>Buzzy - Spoiler Aero</t>
  </si>
  <si>
    <t>8715839071252</t>
  </si>
  <si>
    <t>51.67.00.43</t>
  </si>
  <si>
    <t>Wheel 5-spoke black-black 9x2, front</t>
  </si>
  <si>
    <t>8715839071269</t>
  </si>
  <si>
    <t>51.24.15.06</t>
  </si>
  <si>
    <t>Choppy 2.0 - Chain guard Neo</t>
  </si>
  <si>
    <t>8715839080759</t>
  </si>
  <si>
    <t>51.24.15.07</t>
  </si>
  <si>
    <t>Choppy 2.0 - Assembly set Neo</t>
  </si>
  <si>
    <t>8715839080766</t>
  </si>
  <si>
    <t>51.24.15.08</t>
  </si>
  <si>
    <t>Choppy 2.0 - Plastic parts Neo</t>
  </si>
  <si>
    <t>8715839080773</t>
  </si>
  <si>
    <t>51.24.15.09</t>
  </si>
  <si>
    <t>Choppy 2.0 - Sticker set Neo</t>
  </si>
  <si>
    <t>8715839080780</t>
  </si>
  <si>
    <t>51.24.20.29</t>
  </si>
  <si>
    <t>Buddy 2.0 - Chain guard B-Orange</t>
  </si>
  <si>
    <t>8715839080797</t>
  </si>
  <si>
    <t>51.24.20.30</t>
  </si>
  <si>
    <t>Buddy 2.0 - Assembly set</t>
  </si>
  <si>
    <t>8715839080803</t>
  </si>
  <si>
    <t>51.24.20.31</t>
  </si>
  <si>
    <t>Buddy 2.0 - Plastic parts B-Orange</t>
  </si>
  <si>
    <t>8715839080810</t>
  </si>
  <si>
    <t>51.24.20.32</t>
  </si>
  <si>
    <t>Buddy 2.0 - Steering Tube</t>
  </si>
  <si>
    <t>8715839080827</t>
  </si>
  <si>
    <t>51.24.20.33</t>
  </si>
  <si>
    <t>Buddy 2.0 - Steering wheel B-Orange</t>
  </si>
  <si>
    <t>8715839080834</t>
  </si>
  <si>
    <t>51.24.20.34</t>
  </si>
  <si>
    <t>Buddy 2.0 - Rear axle complete + sprocket</t>
  </si>
  <si>
    <t>8715839080841</t>
  </si>
  <si>
    <t>51.24.20.35</t>
  </si>
  <si>
    <t>Buddy 2.0 - Stub axle set</t>
  </si>
  <si>
    <t>8715839080858</t>
  </si>
  <si>
    <t>51.24.20.36</t>
  </si>
  <si>
    <t>Buddy - Steering rod set</t>
  </si>
  <si>
    <t>8715839080865</t>
  </si>
  <si>
    <t>51.24.20.37</t>
  </si>
  <si>
    <t>Buddy 2.0 - Crank shaft</t>
  </si>
  <si>
    <t>8715839080872</t>
  </si>
  <si>
    <t>51.24.20.38</t>
  </si>
  <si>
    <t>Buddy 2.0 - Seat black incl. frame</t>
  </si>
  <si>
    <t>8715839080889</t>
  </si>
  <si>
    <t>51.24.20.39</t>
  </si>
  <si>
    <t>Buddy 2.0 - Sticker set B-Orange</t>
  </si>
  <si>
    <t>8715839080896</t>
  </si>
  <si>
    <t>51.24.20.40</t>
  </si>
  <si>
    <t>Buddy 2.0 - Chain guard Lua</t>
  </si>
  <si>
    <t>8715839080902</t>
  </si>
  <si>
    <t>51.24.20.41</t>
  </si>
  <si>
    <t>Buddy 2.0 - Plastic parts Lua</t>
  </si>
  <si>
    <t>8715839080919</t>
  </si>
  <si>
    <t>51.24.20.42</t>
  </si>
  <si>
    <t>Buddy 2.0 - Steering wheel Lua</t>
  </si>
  <si>
    <t>8715839080926</t>
  </si>
  <si>
    <t>51.24.20.43</t>
  </si>
  <si>
    <t>Buddy 2.0 - Seat pink incl. frame</t>
  </si>
  <si>
    <t>8715839080933</t>
  </si>
  <si>
    <t>51.24.20.44</t>
  </si>
  <si>
    <t>Buddy 2.0 - Sticker set Lua</t>
  </si>
  <si>
    <t>8715839080940</t>
  </si>
  <si>
    <t>51.24.20.45</t>
  </si>
  <si>
    <t>Buddy 2.0 - Chain guard Cross</t>
  </si>
  <si>
    <t>8715839080957</t>
  </si>
  <si>
    <t>51.24.20.46</t>
  </si>
  <si>
    <t>Buddy 2.0 - Plastic parts Cross</t>
  </si>
  <si>
    <t>8715839080964</t>
  </si>
  <si>
    <t>51.67.00.44</t>
  </si>
  <si>
    <t>Wheel 5-spoke black-black 9x2 rear</t>
  </si>
  <si>
    <t>8715839071276</t>
  </si>
  <si>
    <t>51.24.20.47</t>
  </si>
  <si>
    <t>Buddy 2.0 - Steering wheel Cross</t>
  </si>
  <si>
    <t>8715839080971</t>
  </si>
  <si>
    <t>51.67.00.45</t>
  </si>
  <si>
    <t>Buzzy - Steering wheel Aero</t>
  </si>
  <si>
    <t>8715839071283</t>
  </si>
  <si>
    <t>51.24.20.48</t>
  </si>
  <si>
    <t>Buddy 2.0 - Sticker set Cross</t>
  </si>
  <si>
    <t>8715839080988</t>
  </si>
  <si>
    <t>51.42.00.37</t>
  </si>
  <si>
    <t>Wheel 10-spoke black 12.5x2.25-8 all terrain, traction (Neo)</t>
  </si>
  <si>
    <t>8715839081138</t>
  </si>
  <si>
    <t>51.67.00.47</t>
  </si>
  <si>
    <t>Buzzy - Sticker set Aero</t>
  </si>
  <si>
    <t>8715839071306</t>
  </si>
  <si>
    <t>51.42.00.38</t>
  </si>
  <si>
    <t>Wheel 10-spoke black 12.5x2.25-8 all terrain, (Neo)</t>
  </si>
  <si>
    <t>8715839080995</t>
  </si>
  <si>
    <t>51.42.00.35</t>
  </si>
  <si>
    <t>Wheel 10-spoke black 12.5x2.25-8 all terrain, (Cross)</t>
  </si>
  <si>
    <t>8715839081008</t>
  </si>
  <si>
    <t>51.42.00.36</t>
  </si>
  <si>
    <t>Wheel 10-spoke yellow 12.5x2.25-8 all terrain, (Cross)</t>
  </si>
  <si>
    <t>8715839081015</t>
  </si>
  <si>
    <t>51.42.00.34</t>
  </si>
  <si>
    <t>Wheel 10-spoke black 12.5x2.25-8 all terrain, traction Cross</t>
  </si>
  <si>
    <t>8715839081022</t>
  </si>
  <si>
    <t>51.42.00.32</t>
  </si>
  <si>
    <t>Wheel 10-spoke black 12.5x2.25-8 slick, traction</t>
  </si>
  <si>
    <t>8715839081039</t>
  </si>
  <si>
    <t>51.42.00.33</t>
  </si>
  <si>
    <t>Wheel 10-spoke black 12.5x2.25-8 slick</t>
  </si>
  <si>
    <t>8715839081046</t>
  </si>
  <si>
    <t>51.69.00.33</t>
  </si>
  <si>
    <t>Reppy - Assembly set BMW</t>
  </si>
  <si>
    <t>8715839071313</t>
  </si>
  <si>
    <t>51.69.00.34</t>
  </si>
  <si>
    <t>Reppy - Steering wheel BMW</t>
  </si>
  <si>
    <t>8715839071320</t>
  </si>
  <si>
    <t>51.69.00.35</t>
  </si>
  <si>
    <t>Reppy - Spoiler BMW</t>
  </si>
  <si>
    <t>8715839071337</t>
  </si>
  <si>
    <t>51.69.00.36</t>
  </si>
  <si>
    <t>Reppy - Chain guard BMW</t>
  </si>
  <si>
    <t>8715839071344</t>
  </si>
  <si>
    <t>51.69.00.37</t>
  </si>
  <si>
    <t>Reppy - Sticker set BMW</t>
  </si>
  <si>
    <t>8715839071351</t>
  </si>
  <si>
    <t>51.69.00.38</t>
  </si>
  <si>
    <t>Wheel black-black 10x2,5 front</t>
  </si>
  <si>
    <t>8715839071368</t>
  </si>
  <si>
    <t>51.69.00.39</t>
  </si>
  <si>
    <t>Wheel black-black 10x2,5 rear</t>
  </si>
  <si>
    <t>8715839071375</t>
  </si>
  <si>
    <t>51.69.00.40</t>
  </si>
  <si>
    <t>Reppy - Shock absorber BMW (2x)</t>
  </si>
  <si>
    <t>8715839071382</t>
  </si>
  <si>
    <t>51.69.00.41</t>
  </si>
  <si>
    <t>Reppy - Plastic parts BMW</t>
  </si>
  <si>
    <t>8715839071399</t>
  </si>
  <si>
    <t>51.67.01.07</t>
  </si>
  <si>
    <t>Buzzy - Plastic parts Galaxy</t>
  </si>
  <si>
    <t>8715839081053</t>
  </si>
  <si>
    <t>51.67.01.08</t>
  </si>
  <si>
    <t>Buzzy - Spoiler Galaxy</t>
  </si>
  <si>
    <t>8715839081060</t>
  </si>
  <si>
    <t>51.67.01.12</t>
  </si>
  <si>
    <t>Buzzy - Sticker set Galaxy</t>
  </si>
  <si>
    <t>8715839081077</t>
  </si>
  <si>
    <t>51.67.01.10</t>
  </si>
  <si>
    <t>Buzzy - Shock absorber orange (2x)</t>
  </si>
  <si>
    <t>8715839081084</t>
  </si>
  <si>
    <t>51.24.20.49</t>
  </si>
  <si>
    <t>Buddy 2.0 - Chain guard black</t>
  </si>
  <si>
    <t>8715839081114</t>
  </si>
  <si>
    <t>51.24.20.50</t>
  </si>
  <si>
    <t>Buddy 2.0 - Steering wheel black</t>
  </si>
  <si>
    <t>8715839081121</t>
  </si>
  <si>
    <t>Wheel black 12.5x2.25-8 slick</t>
  </si>
  <si>
    <t>51.42.00.39</t>
  </si>
  <si>
    <t>Inner tube 12x1.75/2.125 -9</t>
  </si>
  <si>
    <t>8715839081688</t>
  </si>
  <si>
    <t>51.24.20.51</t>
  </si>
  <si>
    <t>Cover tube/wheel D40 black (4x)</t>
  </si>
  <si>
    <t>8715839081978</t>
  </si>
  <si>
    <t>BERG - Towbar S/M</t>
  </si>
  <si>
    <t>Wheel grey-black 9x2 left (red cover)</t>
  </si>
  <si>
    <t>8715839064728</t>
  </si>
  <si>
    <t>8715839064735</t>
  </si>
  <si>
    <t>Buzzy - Assembly set for trailer S/M</t>
  </si>
  <si>
    <t>8715839064742</t>
  </si>
  <si>
    <t>Buzzy - Sticker set for trailer S</t>
  </si>
  <si>
    <t>8715839064759</t>
  </si>
  <si>
    <t>Trailer L - Assembly set</t>
  </si>
  <si>
    <t>51.42.00.16</t>
  </si>
  <si>
    <t>Wheel black 12.5x2.25-8 all terrain (Cross)</t>
  </si>
  <si>
    <t>8715839064643</t>
  </si>
  <si>
    <t>51.69.00.54</t>
  </si>
  <si>
    <t>Reppy - Pedal black (2x)</t>
  </si>
  <si>
    <t>8715839086027</t>
  </si>
  <si>
    <t>51.42.00.17</t>
  </si>
  <si>
    <t>Wheel black 12.5x2.25-8 all terrain, traction (Cross)</t>
  </si>
  <si>
    <t>8715839064650</t>
  </si>
  <si>
    <t>51.42.00.18</t>
  </si>
  <si>
    <t>Wheel yellow 12.5x2.25-8 all terrain (Cross)</t>
  </si>
  <si>
    <t>8715839064469</t>
  </si>
  <si>
    <t>51.24.20.10</t>
  </si>
  <si>
    <t>Buddy - Chain guard black/yellow (RAL1016)</t>
  </si>
  <si>
    <t>8715839064667</t>
  </si>
  <si>
    <t>51.24.20.11</t>
  </si>
  <si>
    <t>Buddy - Wheel cover 12mm yellow (4x) + black (2x)</t>
  </si>
  <si>
    <t>8715839064674</t>
  </si>
  <si>
    <t>15.07.65.00</t>
  </si>
  <si>
    <t>Paint pin yellow RAL1016</t>
  </si>
  <si>
    <t>8715839064476</t>
  </si>
  <si>
    <t>51.67.00.48</t>
  </si>
  <si>
    <t>Buzzy - Pedal black (2x)</t>
  </si>
  <si>
    <t>8715839073102</t>
  </si>
  <si>
    <t>51.67.00.49</t>
  </si>
  <si>
    <t>Buzzy - Pedal blue (2x)</t>
  </si>
  <si>
    <t>8715839073119</t>
  </si>
  <si>
    <t>51.67.00.50</t>
  </si>
  <si>
    <t>Buzzy 2-in-1 - Seat Nitro</t>
  </si>
  <si>
    <t>8715839073416</t>
  </si>
  <si>
    <t>51.67.00.51</t>
  </si>
  <si>
    <t>Buzzy 2-in-1 - Chain guard white</t>
  </si>
  <si>
    <t>8715839073423</t>
  </si>
  <si>
    <t>51.67.00.52</t>
  </si>
  <si>
    <t>Buzzy 2-in-1 - Brake lever</t>
  </si>
  <si>
    <t>8715839073430</t>
  </si>
  <si>
    <t>51.67.00.53</t>
  </si>
  <si>
    <t>Buzzy 2-in-1 - Assembly set</t>
  </si>
  <si>
    <t>8715839073447</t>
  </si>
  <si>
    <t>51.67.00.54</t>
  </si>
  <si>
    <t>Buzzy 2-in-1 - Crank shaft incl. pedals Nitro</t>
  </si>
  <si>
    <t>8715839073454</t>
  </si>
  <si>
    <t>51.67.00.55</t>
  </si>
  <si>
    <t>Buzzy 2-in-1 - Steering Black (excl. spoiler)</t>
  </si>
  <si>
    <t>8715839073461</t>
  </si>
  <si>
    <t>51.67.00.56</t>
  </si>
  <si>
    <t>Buzzy 2-in-1 - Steering tube Nitro</t>
  </si>
  <si>
    <t>8715839073478</t>
  </si>
  <si>
    <t>51.67.00.57</t>
  </si>
  <si>
    <t>Buzzy 2-in-1 - Internal rear axle</t>
  </si>
  <si>
    <t>8715839073485</t>
  </si>
  <si>
    <t>51.67.00.58</t>
  </si>
  <si>
    <t>Buzzy 2-in-1 - Plastic parts Nitro</t>
  </si>
  <si>
    <t>8715839073492</t>
  </si>
  <si>
    <t>51.67.00.59</t>
  </si>
  <si>
    <t>Buzzy 2-in-1 - Sticker set Nitro</t>
  </si>
  <si>
    <t>8715839073508</t>
  </si>
  <si>
    <t>51.67.00.62</t>
  </si>
  <si>
    <t>Buzzy 2-in-1 - Seat Bloom</t>
  </si>
  <si>
    <t>8715839073515</t>
  </si>
  <si>
    <t>51.67.00.63</t>
  </si>
  <si>
    <t>Buzzy 2-in-1 - Chain guard grey</t>
  </si>
  <si>
    <t>8715839073522</t>
  </si>
  <si>
    <t>51.67.00.64</t>
  </si>
  <si>
    <t>Buzzy 2-in-1 - Crank shaft incl. pedals Bloom</t>
  </si>
  <si>
    <t>8715839073539</t>
  </si>
  <si>
    <t>51.67.00.65</t>
  </si>
  <si>
    <t>Buzzy 2-in-1 - Steering Bloom (excl. spoiler)</t>
  </si>
  <si>
    <t>8715839073546</t>
  </si>
  <si>
    <t>51.67.00.66</t>
  </si>
  <si>
    <t>Buzzy 2-in-1 - Steering tube Bloom</t>
  </si>
  <si>
    <t>8715839073553</t>
  </si>
  <si>
    <t>51.67.00.67</t>
  </si>
  <si>
    <t>Buzzy 2-in-1 - Plastic parts Bloom</t>
  </si>
  <si>
    <t>8715839073560</t>
  </si>
  <si>
    <t>Buddy - Assembly set</t>
  </si>
  <si>
    <t>51.67.00.68</t>
  </si>
  <si>
    <t>Buzzy 2-in-1 - Sticker set Bloom</t>
  </si>
  <si>
    <t>8715839073577</t>
  </si>
  <si>
    <t>Buddy - Assembly set Jeep® Junior</t>
  </si>
  <si>
    <t>51.67.00.60</t>
  </si>
  <si>
    <t>Buzzy 2-in-1 - Tube for push handle</t>
  </si>
  <si>
    <t>8715839073584</t>
  </si>
  <si>
    <t>51.67.00.61</t>
  </si>
  <si>
    <t>Push handle - Hand grip</t>
  </si>
  <si>
    <t>8715839073591</t>
  </si>
  <si>
    <t>Buddy - Spare parts</t>
  </si>
  <si>
    <t>Buddy - Spoiler John Deere</t>
  </si>
  <si>
    <t>Buddy - Spoiler Jeep® Junior</t>
  </si>
  <si>
    <t>Buddy - Stub axle set</t>
  </si>
  <si>
    <t>Tire 12.5x2.25-8 Slick Pro</t>
  </si>
  <si>
    <t>Wheel orange 12.5x2.25-8 slick Pro</t>
  </si>
  <si>
    <t>Wheel orange 12.5x2.25-8 Slick Pro, Traction</t>
  </si>
  <si>
    <t>Buddy - Stub axle set Buddy Pro</t>
  </si>
  <si>
    <t>Buddy - Spoiler Buddy Pro</t>
  </si>
  <si>
    <t>Buddy - Sticker set Buddy Pro</t>
  </si>
  <si>
    <t>Buddy - Wheel cap cover - Orange (6x)</t>
  </si>
  <si>
    <t>51.67.18.05</t>
  </si>
  <si>
    <t>Wheel grey-black 9x2 left Farm</t>
  </si>
  <si>
    <t>8715839065923</t>
  </si>
  <si>
    <t>51.67.18.06</t>
  </si>
  <si>
    <t>Wheel grey-black 9x2 right Farm</t>
  </si>
  <si>
    <t>8715839065985</t>
  </si>
  <si>
    <t>Crank set 90, 28T + pedals</t>
  </si>
  <si>
    <t>51.67.01.20</t>
  </si>
  <si>
    <t>Buzzy - Sirens sound box</t>
  </si>
  <si>
    <t>8715839088793</t>
  </si>
  <si>
    <t>51.67.01.13</t>
  </si>
  <si>
    <t>Buzzy - Spoiler Police</t>
  </si>
  <si>
    <t>8715839088809</t>
  </si>
  <si>
    <t>51.67.01.18</t>
  </si>
  <si>
    <t>Buzzy - Plastic parts Police</t>
  </si>
  <si>
    <t>8715839088816</t>
  </si>
  <si>
    <t>51.67.01.19</t>
  </si>
  <si>
    <t>Buzzy - Steering wheel Police</t>
  </si>
  <si>
    <t>8715839088823</t>
  </si>
  <si>
    <t>51.67.01.21</t>
  </si>
  <si>
    <t>Buzzy - Sticker set Police</t>
  </si>
  <si>
    <t>8715839088830</t>
  </si>
  <si>
    <t>51.67.01.22</t>
  </si>
  <si>
    <t>Buzzy - Cap Police</t>
  </si>
  <si>
    <t>8715839088847</t>
  </si>
  <si>
    <t>51.67.01.15</t>
  </si>
  <si>
    <t>Wheel 9x2 Cross - Grey/Black Front Left</t>
  </si>
  <si>
    <t>8715839088854</t>
  </si>
  <si>
    <t>51.67.01.14</t>
  </si>
  <si>
    <t>Wheel 9x2 Cross - Grey/Black Front Right</t>
  </si>
  <si>
    <t>8715839088861</t>
  </si>
  <si>
    <t>51.67.01.17</t>
  </si>
  <si>
    <t>Wheel 9x2 Cross - Grey/Black Rear Left</t>
  </si>
  <si>
    <t>8715839088878</t>
  </si>
  <si>
    <t>51.67.01.16</t>
  </si>
  <si>
    <t>Wheel 9x2 Cross - Grey/Black Rear Right</t>
  </si>
  <si>
    <t>8715839088885</t>
  </si>
  <si>
    <t>51.24.20.52</t>
  </si>
  <si>
    <t>Buddy 2.0 - Chain guard John Deere</t>
  </si>
  <si>
    <t>8715839089585</t>
  </si>
  <si>
    <t>51.24.20.53</t>
  </si>
  <si>
    <t>Buddy 2.0 - Plastic parts black</t>
  </si>
  <si>
    <t>8715839089592</t>
  </si>
  <si>
    <t>51.24.20.54</t>
  </si>
  <si>
    <t>Buddy 2.0 - Steering wheel John Deere</t>
  </si>
  <si>
    <t>8715839089608</t>
  </si>
  <si>
    <t>51.24.20.56</t>
  </si>
  <si>
    <t>Buddy 2.0 - Sticker set John Deere</t>
  </si>
  <si>
    <t>8715839089622</t>
  </si>
  <si>
    <t>51.24.20.57</t>
  </si>
  <si>
    <t>Buddy 2.0 - Chain guard Fendt</t>
  </si>
  <si>
    <t>8715839089639</t>
  </si>
  <si>
    <t>51.24.20.59</t>
  </si>
  <si>
    <t>Buddy 2.0 - Sticker set Fendt</t>
  </si>
  <si>
    <t>8715839089653</t>
  </si>
  <si>
    <t>51.24.20.61</t>
  </si>
  <si>
    <t>Buddy 2.0 - Sticker set Jeep</t>
  </si>
  <si>
    <t>8715839089677</t>
  </si>
  <si>
    <t>51.24.20.62</t>
  </si>
  <si>
    <t>Buddy 2.0 - Chain guard BMW</t>
  </si>
  <si>
    <t>8715839089684</t>
  </si>
  <si>
    <t>51.24.20.63</t>
  </si>
  <si>
    <t>Buddy 2.0 - Plastic parts BMW</t>
  </si>
  <si>
    <t>8715839089691</t>
  </si>
  <si>
    <t>51.24.20.65</t>
  </si>
  <si>
    <t>Buddy 2.0 - Sticker set BMW</t>
  </si>
  <si>
    <t>8715839089714</t>
  </si>
  <si>
    <t>51.24.20.66</t>
  </si>
  <si>
    <t>Buddy 2.0 - Chain guard PRO</t>
  </si>
  <si>
    <t>8715839089721</t>
  </si>
  <si>
    <t>51.24.20.67</t>
  </si>
  <si>
    <t>Buddy 2.0 - Steering wheel PRO</t>
  </si>
  <si>
    <t>8715839089738</t>
  </si>
  <si>
    <t>51.24.20.68</t>
  </si>
  <si>
    <t>Buddy 2.0 - Seat orange incl. frame</t>
  </si>
  <si>
    <t>8715839089745</t>
  </si>
  <si>
    <t>51.24.20.69</t>
  </si>
  <si>
    <t>Buddy 2.0 - Sticker set PRO</t>
  </si>
  <si>
    <t>8715839089752</t>
  </si>
  <si>
    <t>51.24.20.70</t>
  </si>
  <si>
    <t>Buddy 2.0 - Plastic parts black + wheel cover (4x)</t>
  </si>
  <si>
    <t>8715839089769</t>
  </si>
  <si>
    <t>51.24.20.71</t>
  </si>
  <si>
    <t>Buddy 2.0 - Sticker set White</t>
  </si>
  <si>
    <t>8715839089776</t>
  </si>
  <si>
    <t>51.24.20.72</t>
  </si>
  <si>
    <t>Buddy 2.0 - Sticker set Graphite</t>
  </si>
  <si>
    <t>8715839089783</t>
  </si>
  <si>
    <t>51.24.20.73</t>
  </si>
  <si>
    <t>Buddy 2.0 - Sticker set Redster</t>
  </si>
  <si>
    <t>8715839089790</t>
  </si>
  <si>
    <t>51.24.20.74</t>
  </si>
  <si>
    <t>Buddy 2.0 - Sticker set Blue</t>
  </si>
  <si>
    <t>8715839089806</t>
  </si>
  <si>
    <t>51.42.00.45</t>
  </si>
  <si>
    <t>Wheel 10-spoke pink 12.5x2.25-8 slick, traction</t>
  </si>
  <si>
    <t>8715839089813</t>
  </si>
  <si>
    <t>51.42.00.46</t>
  </si>
  <si>
    <t>Wheel 10-spoke pink 12.5x2.25-8 slick</t>
  </si>
  <si>
    <t>8715839089820</t>
  </si>
  <si>
    <t>51.69.00.55</t>
  </si>
  <si>
    <t>Reppy - Assembly set GP</t>
  </si>
  <si>
    <t>8715839090109</t>
  </si>
  <si>
    <t>51.69.00.56</t>
  </si>
  <si>
    <t>Reppy - Steering wheel GP</t>
  </si>
  <si>
    <t>8715839090116</t>
  </si>
  <si>
    <t>51.69.00.59</t>
  </si>
  <si>
    <t>Reppy - Chain guard GP</t>
  </si>
  <si>
    <t>8715839090123</t>
  </si>
  <si>
    <t>51.69.00.60</t>
  </si>
  <si>
    <t>Reppy - Sticker set GP</t>
  </si>
  <si>
    <t>8715839090130</t>
  </si>
  <si>
    <t>51.69.00.64</t>
  </si>
  <si>
    <t>Reppy - Plastic parts GP</t>
  </si>
  <si>
    <t>8715839090147</t>
  </si>
  <si>
    <t>51.69.00.58</t>
  </si>
  <si>
    <t>Reppy - Front Spoiler GP</t>
  </si>
  <si>
    <t>8715839090154</t>
  </si>
  <si>
    <t>51.69.00.57</t>
  </si>
  <si>
    <t>Reppy - Rear Spoiler GP</t>
  </si>
  <si>
    <t>8715839090161</t>
  </si>
  <si>
    <t>51.69.00.61</t>
  </si>
  <si>
    <t>Wheel grey-black 10x3 front</t>
  </si>
  <si>
    <t>8715839090178</t>
  </si>
  <si>
    <t>51.69.00.62</t>
  </si>
  <si>
    <t>Wheel grey-black 10x3 rear</t>
  </si>
  <si>
    <t>8715839090185</t>
  </si>
  <si>
    <t>51.69.00.63</t>
  </si>
  <si>
    <t>Reppy - Shock absorber Black (2x)</t>
  </si>
  <si>
    <t>8715839090192</t>
  </si>
  <si>
    <t>15.07.42.00</t>
  </si>
  <si>
    <t>Paint pin lime PMS375C</t>
  </si>
  <si>
    <t>8715839091533</t>
  </si>
  <si>
    <t>51.67.01.23</t>
  </si>
  <si>
    <t>Buzzy - Seat Brown</t>
  </si>
  <si>
    <t>8715839092677</t>
  </si>
  <si>
    <t>51.67.01.24</t>
  </si>
  <si>
    <t>Buzzy - Plastic parts Retro Green</t>
  </si>
  <si>
    <t>8715839092684</t>
  </si>
  <si>
    <t>51.67.01.25</t>
  </si>
  <si>
    <t>Buzzy - Steering tube black</t>
  </si>
  <si>
    <t>8715839092691</t>
  </si>
  <si>
    <t>51.24.20.75</t>
  </si>
  <si>
    <t>Buddy 2.0 - Sticker set Cross Grey</t>
  </si>
  <si>
    <t>8715839100303</t>
  </si>
  <si>
    <t>51.42.00.50</t>
  </si>
  <si>
    <t>Tire 12.5x2.25-8 All Terrain - Black/White</t>
  </si>
  <si>
    <t>8715839100341</t>
  </si>
  <si>
    <t>51.67.01.26</t>
  </si>
  <si>
    <t>Buzzy - Spoiler Orange</t>
  </si>
  <si>
    <t>8715839100389</t>
  </si>
  <si>
    <t>51.67.01.27</t>
  </si>
  <si>
    <t>Buzzy - Plastic parts Orange</t>
  </si>
  <si>
    <t>8715839100396</t>
  </si>
  <si>
    <t>51.67.01.28</t>
  </si>
  <si>
    <t>Buzzy - Sticker set Orange</t>
  </si>
  <si>
    <t>8715839100402</t>
  </si>
  <si>
    <t>15.07.44.00</t>
  </si>
  <si>
    <t>Paint pin Blue PMS2975C</t>
  </si>
  <si>
    <t>8715839100679</t>
  </si>
  <si>
    <t>15.07.45.00</t>
  </si>
  <si>
    <t>Paint pin Green PMS5763C</t>
  </si>
  <si>
    <t>8715839100686</t>
  </si>
  <si>
    <t>15.07.46.00</t>
  </si>
  <si>
    <t>Paint pin Green RAL 6010</t>
  </si>
  <si>
    <t>8715839100693</t>
  </si>
  <si>
    <t>15.07.47.00</t>
  </si>
  <si>
    <t>Paint pin Green RAL 7033</t>
  </si>
  <si>
    <t>8715839101508</t>
  </si>
  <si>
    <t>51.69.00.65</t>
  </si>
  <si>
    <t>Reppy - Sticker set Blue</t>
  </si>
  <si>
    <t>8715839101553</t>
  </si>
  <si>
    <t>51.69.00.66</t>
  </si>
  <si>
    <t>Reppy - Chain guard Black</t>
  </si>
  <si>
    <t>8715839101560</t>
  </si>
  <si>
    <t>51.69.00.67</t>
  </si>
  <si>
    <t>Reppy - Plastic parts Black</t>
  </si>
  <si>
    <t>8715839101577</t>
  </si>
  <si>
    <t>51.69.00.68</t>
  </si>
  <si>
    <t>Wheel black-black 10x2,5 front left</t>
  </si>
  <si>
    <t>8715839101584</t>
  </si>
  <si>
    <t>51.69.00.69</t>
  </si>
  <si>
    <t>Wheel black-black 10x2,5 front right</t>
  </si>
  <si>
    <t>8715839101591</t>
  </si>
  <si>
    <t>51.69.00.70</t>
  </si>
  <si>
    <t>Wheel black-black 10x2,5 rear left</t>
  </si>
  <si>
    <t>8715839101607</t>
  </si>
  <si>
    <t>51.69.00.71</t>
  </si>
  <si>
    <t>Wheel black-black 10x2,5 rear right</t>
  </si>
  <si>
    <t>8715839101614</t>
  </si>
  <si>
    <t>51.69.00.72</t>
  </si>
  <si>
    <t>Reppy - Steering wheel Blue</t>
  </si>
  <si>
    <t>8715839101621</t>
  </si>
  <si>
    <t>51.24.20.76</t>
  </si>
  <si>
    <t>Buddy 2.0 - Plastic parts John Deere</t>
  </si>
  <si>
    <t>8715839101812</t>
  </si>
  <si>
    <t>51.42.00.51</t>
  </si>
  <si>
    <t>Wheel Yellow 12.5x2.25-8 Farm Right</t>
  </si>
  <si>
    <t>8715839101881</t>
  </si>
  <si>
    <t>51.42.00.52</t>
  </si>
  <si>
    <t>Wheel Yellow 12.5x2.25-8 Farm Left</t>
  </si>
  <si>
    <t>8715839101898</t>
  </si>
  <si>
    <t>51.42.00.53</t>
  </si>
  <si>
    <t>Wheel Yellow 12.5x2.25-8 Farm Left Traction</t>
  </si>
  <si>
    <t>8715839101904</t>
  </si>
  <si>
    <t>51.42.00.55</t>
  </si>
  <si>
    <t>Wheel Red 12.5x2.25-8 Farm Right</t>
  </si>
  <si>
    <t>8715839101928</t>
  </si>
  <si>
    <t>51.42.00.56</t>
  </si>
  <si>
    <t>Wheel Red 12.5x2.25-8 Farm Left</t>
  </si>
  <si>
    <t>8715839101935</t>
  </si>
  <si>
    <t>51.42.00.57</t>
  </si>
  <si>
    <t>Wheel Red 12.5x2.25-8 Farm Left Traction</t>
  </si>
  <si>
    <t>8715839101942</t>
  </si>
  <si>
    <t>51.42.00.54</t>
  </si>
  <si>
    <t>Tire 12.5x2.25-8 Farm</t>
  </si>
  <si>
    <t>8715839101911</t>
  </si>
  <si>
    <t>51.24.20.77</t>
  </si>
  <si>
    <t>Buddy 2.0 - Front Spoiler John Deere</t>
  </si>
  <si>
    <t>8715839101959</t>
  </si>
  <si>
    <t>51.24.20.78</t>
  </si>
  <si>
    <t>8715839101966</t>
  </si>
  <si>
    <t>51.24.20.83</t>
  </si>
  <si>
    <t>Buddy 2.0 - Steering wheel Fendt</t>
  </si>
  <si>
    <t>8715839102017</t>
  </si>
  <si>
    <t>51.24.20.79</t>
  </si>
  <si>
    <t>8715839101973</t>
  </si>
  <si>
    <t>51.24.20.84</t>
  </si>
  <si>
    <t>8715839102024</t>
  </si>
  <si>
    <t>51.24.20.81</t>
  </si>
  <si>
    <t>Buddy 2.0 - Front Spoiler Fendt</t>
  </si>
  <si>
    <t>8715839101997</t>
  </si>
  <si>
    <t>51.24.20.80</t>
  </si>
  <si>
    <t>Buddy 2.0 - Exhaust Farm</t>
  </si>
  <si>
    <t>8715839101980</t>
  </si>
  <si>
    <t>51.24.20.82</t>
  </si>
  <si>
    <t>8715839102000</t>
  </si>
  <si>
    <t>15.07.48.00</t>
  </si>
  <si>
    <t>Paint pin Dark Blue RAL 5011</t>
  </si>
  <si>
    <t>8715839102031</t>
  </si>
  <si>
    <t>15.07.49.00</t>
  </si>
  <si>
    <t>Paint pin Green RAL 6005</t>
  </si>
  <si>
    <t>8715839102048</t>
  </si>
  <si>
    <t>51.24.20.87</t>
  </si>
  <si>
    <t>Buddy 2.0 - Chain guard Classic Blue</t>
  </si>
  <si>
    <t>8715839102055</t>
  </si>
  <si>
    <t>51.24.20.88</t>
  </si>
  <si>
    <t>Buddy 2.0 - Sticker set Classic Blue</t>
  </si>
  <si>
    <t>8715839102062</t>
  </si>
  <si>
    <t>51.24.20.85</t>
  </si>
  <si>
    <t>Buddy 2.0 - Chain guard Retro Green</t>
  </si>
  <si>
    <t>8715839102079</t>
  </si>
  <si>
    <t>51.24.20.86</t>
  </si>
  <si>
    <t>Buddy 2.0 - Sticker set Retro Green</t>
  </si>
  <si>
    <t>8715839102086</t>
  </si>
  <si>
    <t>51.42.00.58</t>
  </si>
  <si>
    <t>Wheel black 12.5x2.25-8 slick black/beige traction</t>
  </si>
  <si>
    <t>8715839102185</t>
  </si>
  <si>
    <t>51.42.00.59</t>
  </si>
  <si>
    <t>Wheel black 12.5x2.25-8 slick black/beige</t>
  </si>
  <si>
    <t>8715839102192</t>
  </si>
  <si>
    <t>51.42.00.60</t>
  </si>
  <si>
    <t>Tire 12.5x2.25-8 slick black/beige</t>
  </si>
  <si>
    <t>8715839102208</t>
  </si>
  <si>
    <t>51.42.00.61</t>
  </si>
  <si>
    <t>8715839102215</t>
  </si>
  <si>
    <t>51.42.00.62</t>
  </si>
  <si>
    <t>8715839102222</t>
  </si>
  <si>
    <t>51.42.00.63</t>
  </si>
  <si>
    <t>8715839102239</t>
  </si>
  <si>
    <t>51.24.20.89</t>
  </si>
  <si>
    <t>Buddy 2.0 - Front Spoiler Jeep</t>
  </si>
  <si>
    <t>8715839102246</t>
  </si>
  <si>
    <t>51.24.20.90</t>
  </si>
  <si>
    <t>Buddy 2.0 - Plastic parts Jeep</t>
  </si>
  <si>
    <t>8715839102253</t>
  </si>
  <si>
    <t>51.24.20.91</t>
  </si>
  <si>
    <t>8715839102260</t>
  </si>
  <si>
    <t>51.24.20.92</t>
  </si>
  <si>
    <t>Buddy 2.0 - Shock absorber Black Jeep (2x)</t>
  </si>
  <si>
    <t>8715839103410</t>
  </si>
  <si>
    <t>51.69.00.73</t>
  </si>
  <si>
    <t>Reppy - Steering wheel Black</t>
  </si>
  <si>
    <t>8715839102277</t>
  </si>
  <si>
    <t>51.42.00.64</t>
  </si>
  <si>
    <t>Wheel 10-spoke black 12.5x2.25-8 all terrain, traction Jeep</t>
  </si>
  <si>
    <t>8715839102284</t>
  </si>
  <si>
    <t>51.42.00.65</t>
  </si>
  <si>
    <t>Wheel 10-spoke black 12.5x2.25-8 all terrain, Jeep</t>
  </si>
  <si>
    <t>8715839102291</t>
  </si>
  <si>
    <t>51.67.11.19</t>
  </si>
  <si>
    <t>Wheel 9x2 Farm - Yellow/Black Rear Left</t>
  </si>
  <si>
    <t>8715839103397</t>
  </si>
  <si>
    <t>51.67.11.20</t>
  </si>
  <si>
    <t>Wheel 9x2 Farm - Yellow/Black Rear Right</t>
  </si>
  <si>
    <t>8715839103403</t>
  </si>
  <si>
    <t>15.07.66.00</t>
  </si>
  <si>
    <t>Paint pin Grey RAL7043</t>
  </si>
  <si>
    <t>8715839103694</t>
  </si>
  <si>
    <t>51.30.07.07</t>
  </si>
  <si>
    <t>Favorit - W-Leg 200 (107 cm)</t>
  </si>
  <si>
    <t>8715839074659</t>
  </si>
  <si>
    <t>51.30.09.26</t>
  </si>
  <si>
    <t>Favorit - W-Leg 270 (145 cm)</t>
  </si>
  <si>
    <t>8715839074666</t>
  </si>
  <si>
    <t>51.30.11.45</t>
  </si>
  <si>
    <t>Favorit - W-Leg 330 (175 cm)</t>
  </si>
  <si>
    <t>8715839074673</t>
  </si>
  <si>
    <t>51.32.28.00</t>
  </si>
  <si>
    <t>Ultim Favorit - Toprail Corner Right 280</t>
  </si>
  <si>
    <t>8715839074680</t>
  </si>
  <si>
    <t>51.32.28.01</t>
  </si>
  <si>
    <t>Ultim Favorit - Toprail Corner Left 280</t>
  </si>
  <si>
    <t>8715839074697</t>
  </si>
  <si>
    <t>51.32.28.02</t>
  </si>
  <si>
    <t>Ultim Favorit - Toprail Welded 280</t>
  </si>
  <si>
    <t>8715839074703</t>
  </si>
  <si>
    <t>51.32.28.03</t>
  </si>
  <si>
    <t>Ultim Favorit - InGround Padding 280 Grey</t>
  </si>
  <si>
    <t>8715839074710</t>
  </si>
  <si>
    <t>51.32.28.04</t>
  </si>
  <si>
    <t>Ultim Favorit - InGround Padding 280 Green</t>
  </si>
  <si>
    <t>8715839074727</t>
  </si>
  <si>
    <t>51.32.28.08</t>
  </si>
  <si>
    <t>Ultim Favorit - InGround Leg (Ø42)</t>
  </si>
  <si>
    <t>8715839074758</t>
  </si>
  <si>
    <t>51.32.28.09</t>
  </si>
  <si>
    <t>Ultim Favorit - Middle Post 280 (0,6m)</t>
  </si>
  <si>
    <t>8715839074765</t>
  </si>
  <si>
    <t>51.32.28.10</t>
  </si>
  <si>
    <t>Ultim Favorit - W-leg 280</t>
  </si>
  <si>
    <t>8715839074772</t>
  </si>
  <si>
    <t>51.32.28.11</t>
  </si>
  <si>
    <t>Ultim Favorit - Regular Padding 280 Grey</t>
  </si>
  <si>
    <t>8715839074789</t>
  </si>
  <si>
    <t>51.32.28.12</t>
  </si>
  <si>
    <t>Ultim Favorit - Regular Padding 280 Green</t>
  </si>
  <si>
    <t>8715839074796</t>
  </si>
  <si>
    <t>51.30.74.22</t>
  </si>
  <si>
    <t>Ultim Safety Net Comfort - Netting 280</t>
  </si>
  <si>
    <t>8715839074819</t>
  </si>
  <si>
    <t>51.30.19.30</t>
  </si>
  <si>
    <t>Grand Champion - InGround Padding 520 black (27cm)</t>
  </si>
  <si>
    <t>8715839074833</t>
  </si>
  <si>
    <t>51.30.19.31</t>
  </si>
  <si>
    <t>Grand Champion - Jump mat with white edge 520</t>
  </si>
  <si>
    <t>8715839074857</t>
  </si>
  <si>
    <t>51.30.74.23</t>
  </si>
  <si>
    <t>Grand Safety Net Comfort - Netting 520 (for 8 poles)</t>
  </si>
  <si>
    <t>8715839074871</t>
  </si>
  <si>
    <t>51.30.72.47</t>
  </si>
  <si>
    <t>Ultim Safety Net Deluxe - Set Tent Tubes 330 (for .02 vers.)</t>
  </si>
  <si>
    <t>8715839074949</t>
  </si>
  <si>
    <t>Safety Net DeLuxe - Set sleeves (for .00 + .01 version) (8x)</t>
  </si>
  <si>
    <t>Safety Net DeLuxe - Upper tube (for .01 version)</t>
  </si>
  <si>
    <t>Safety Net Comfort - Sleeves (203 cm) (8x)</t>
  </si>
  <si>
    <t>51.30.72.56</t>
  </si>
  <si>
    <t>Safety Net Deluxe - Lower tube welded</t>
  </si>
  <si>
    <t>8715839075038</t>
  </si>
  <si>
    <t>51.30.72.57</t>
  </si>
  <si>
    <t>Safety Net Deluxe - Upper Tube</t>
  </si>
  <si>
    <t>8715839075045</t>
  </si>
  <si>
    <t>51.30.74.24</t>
  </si>
  <si>
    <t>Safety Net Comfort - Spring brackets (10x)</t>
  </si>
  <si>
    <t>8715839075052</t>
  </si>
  <si>
    <t>51.30.35.09</t>
  </si>
  <si>
    <t>Grand Champion - InGround Padding 350 grey (27cm)</t>
  </si>
  <si>
    <t>8715839075137</t>
  </si>
  <si>
    <t>51.30.47.08</t>
  </si>
  <si>
    <t>Grand Champion - InGround Padding 470 grey (27cm)</t>
  </si>
  <si>
    <t>8715839075151</t>
  </si>
  <si>
    <t>51.30.72.58</t>
  </si>
  <si>
    <t>Grand Safety Net Deluxe - Set Tent Tubes 470 (.01 version)</t>
  </si>
  <si>
    <t>8715839075205</t>
  </si>
  <si>
    <t>51.30.72.59</t>
  </si>
  <si>
    <t>Safety Net Deluxe - Pole Sleeves (8x)</t>
  </si>
  <si>
    <t>8715839075212</t>
  </si>
  <si>
    <t>51.30.72.60</t>
  </si>
  <si>
    <t>Grand Safety Net Deluxe - Netting 470 + Tent Tubes</t>
  </si>
  <si>
    <t>8715839075304</t>
  </si>
  <si>
    <t>51.30.72.61</t>
  </si>
  <si>
    <t>Ultim Safety Net Deluxe - Netting 330 + Tent Tubes</t>
  </si>
  <si>
    <t>8715839075311</t>
  </si>
  <si>
    <t>51.30.01.24</t>
  </si>
  <si>
    <t>Champion - InGround frame foot 270+430</t>
  </si>
  <si>
    <t>8715839066845</t>
  </si>
  <si>
    <t>51.30.01.25</t>
  </si>
  <si>
    <t>Champion - InGround frame foot 330</t>
  </si>
  <si>
    <t>8715839066852</t>
  </si>
  <si>
    <t>51.30.81.09</t>
  </si>
  <si>
    <t>AeroWall - Inflatable Wall 2x2 BLK&amp;GRY (excluding frame)</t>
  </si>
  <si>
    <t>8715839076301</t>
  </si>
  <si>
    <t>51.30.81.10</t>
  </si>
  <si>
    <t>AeroWall - Attachment Band + Buckle (4x)</t>
  </si>
  <si>
    <t>8715839076356</t>
  </si>
  <si>
    <t>51.30.01.26</t>
  </si>
  <si>
    <t>Champion - InGround frame foot 380</t>
  </si>
  <si>
    <t>8715839067910</t>
  </si>
  <si>
    <t>51.30.19.14</t>
  </si>
  <si>
    <t>Grand Champion - InGround Padding 520 grey (27cm)</t>
  </si>
  <si>
    <t>8715839068160</t>
  </si>
  <si>
    <t>51.30.19.15</t>
  </si>
  <si>
    <t>Grand Champion - InGround Padding 520 green (27cm)</t>
  </si>
  <si>
    <t>8715839068177</t>
  </si>
  <si>
    <t>51.30.19.16</t>
  </si>
  <si>
    <t>Grand Elite - InGround Padding 520 grey</t>
  </si>
  <si>
    <t>8715839068221</t>
  </si>
  <si>
    <t>51.30.19.17</t>
  </si>
  <si>
    <t>Grand Elite - Regular Padding 520 grey</t>
  </si>
  <si>
    <t>8715839068238</t>
  </si>
  <si>
    <t>51.30.19.18</t>
  </si>
  <si>
    <t>Grand Elite - Foam Straight Segment 520</t>
  </si>
  <si>
    <t>8715839068245</t>
  </si>
  <si>
    <t>51.30.14.39</t>
  </si>
  <si>
    <t>Favorit - Jump mat 430 Levels</t>
  </si>
  <si>
    <t>8715839068269</t>
  </si>
  <si>
    <t>51.30.01.27</t>
  </si>
  <si>
    <t>Levels - 3 Foam Balls + Storage Bag</t>
  </si>
  <si>
    <t>8715839068276</t>
  </si>
  <si>
    <t>Safety Net Comfort - Upper Tube for springbracket (120cm)</t>
  </si>
  <si>
    <t>Safety Net Comfort - Lower tube + springbracket (120cm)</t>
  </si>
  <si>
    <t>Talent - Padding green 180 (6ft)</t>
  </si>
  <si>
    <t>InGround Talent - Padding green 180 (6ft)</t>
  </si>
  <si>
    <t>Talent - Jump mat 180 (6ft)</t>
  </si>
  <si>
    <t>Talent - Toprail welded 180 (6ft)</t>
  </si>
  <si>
    <t>Talent - Toprail 180 (6ft)</t>
  </si>
  <si>
    <t>Talent - Middle post 180 (6ft)</t>
  </si>
  <si>
    <t>Talent - W-Leg 180 (6ft) + springbrackets</t>
  </si>
  <si>
    <t>InGround Talent - InGround leg 180 (6ft) &amp; 240 (8ft)</t>
  </si>
  <si>
    <t>Safety Net Comfort - Lower tube 180 &amp; 240 + springbracket</t>
  </si>
  <si>
    <t>Safety Net Comfort - Upper tube 180 &amp; 240 &amp; 300</t>
  </si>
  <si>
    <t>Safety Net Comfort - Foam set 180 (6ft) &amp; +240 (8ft)</t>
  </si>
  <si>
    <t>Safety Net Comfort - Sleeves 180 (6ft) &amp; 240 (8ft) (6x)</t>
  </si>
  <si>
    <t>Safety Net Comfort - Netting 180 (6ft)</t>
  </si>
  <si>
    <t>Talent - Goldspring Talent (10x)</t>
  </si>
  <si>
    <t>Safety Net Comfort -  Fasteners for 1 Tube (Talent)</t>
  </si>
  <si>
    <t>InGround Talent - Fasteners for 6 Legs</t>
  </si>
  <si>
    <t>InGround Talent - Padding green 240 (8ft)</t>
  </si>
  <si>
    <t>Talent - Jump mat 240 (8ft)</t>
  </si>
  <si>
    <t>Talent - Toprail welded 240 (8ft)</t>
  </si>
  <si>
    <t>Talent - Toprail 240 (8ft)</t>
  </si>
  <si>
    <t>Talent - Middle post 240 (8ft)</t>
  </si>
  <si>
    <t>Talent - W-Leg 240 (8ft) + springbrackets</t>
  </si>
  <si>
    <t>Safety Net Comfort - Netting 240 (8ft)</t>
  </si>
  <si>
    <t>Talent - Padding green 300 (10ft)</t>
  </si>
  <si>
    <t>Talent - Jump mat 300 (10ft)</t>
  </si>
  <si>
    <t>Talent - Middle post 300 (10ft)</t>
  </si>
  <si>
    <t>Talent - W-Leg 300 (10ft) + springbrackets</t>
  </si>
  <si>
    <t>InGround Talent - InGround leg 300 (10ft)</t>
  </si>
  <si>
    <t>Safety Net Comfort - Lower tube 300 (10ft) + springbracket</t>
  </si>
  <si>
    <t>Safety Net Comfort - Netting 300 (10ft)</t>
  </si>
  <si>
    <t>Safety Net Comfort - Sleeves 300 (10ft) (6x)</t>
  </si>
  <si>
    <t>51.30.14.40</t>
  </si>
  <si>
    <t>Champion/Elite - Jump mat 430 Levels</t>
  </si>
  <si>
    <t>8715839068351</t>
  </si>
  <si>
    <t>51.32.50.00</t>
  </si>
  <si>
    <t>Ultim Elite - Straight Frame Tube 500</t>
  </si>
  <si>
    <t>8715839068368</t>
  </si>
  <si>
    <t>51.32.50.01</t>
  </si>
  <si>
    <t>Ultim Elite - Corner Frame Tube L 500</t>
  </si>
  <si>
    <t>8715839068375</t>
  </si>
  <si>
    <t>51.32.50.02</t>
  </si>
  <si>
    <t>Ultim Elite - Corner Frame Tube R 500</t>
  </si>
  <si>
    <t>8715839068382</t>
  </si>
  <si>
    <t>51.32.50.06</t>
  </si>
  <si>
    <t>Ultim Elite - Elastic Band With Cylinder for Padding (4x)</t>
  </si>
  <si>
    <t>8715839068429</t>
  </si>
  <si>
    <t>51.32.50.07</t>
  </si>
  <si>
    <t>Ultim Elite - Small Rectangular Foam For Padding (2x)</t>
  </si>
  <si>
    <t>8715839068436</t>
  </si>
  <si>
    <t>51.32.50.08</t>
  </si>
  <si>
    <t>Ultim Elite - Corner Parts Foam For Padding (2x2)</t>
  </si>
  <si>
    <t>8715839068443</t>
  </si>
  <si>
    <t>51.32.50.09</t>
  </si>
  <si>
    <t>Spring To Secure Padding Strap (4x)</t>
  </si>
  <si>
    <t>8715839068450</t>
  </si>
  <si>
    <t>51.32.50.10</t>
  </si>
  <si>
    <t>Ultim Elite - Padding Band 500</t>
  </si>
  <si>
    <t>8715839068467</t>
  </si>
  <si>
    <t>51.32.50.11</t>
  </si>
  <si>
    <t>Ultim Elite - Padding Spring (2x)</t>
  </si>
  <si>
    <t>8715839068474</t>
  </si>
  <si>
    <t>51.30.81.01</t>
  </si>
  <si>
    <t>AeroWall - Air Pump</t>
  </si>
  <si>
    <t>8715839068504</t>
  </si>
  <si>
    <t>51.30.81.02</t>
  </si>
  <si>
    <t>AeroWall - Clamp + Reinforcement Plate 2x2</t>
  </si>
  <si>
    <t>8715839068511</t>
  </si>
  <si>
    <t>51.30.81.03</t>
  </si>
  <si>
    <t>AeroWall - Frame Tube Straight 2x2</t>
  </si>
  <si>
    <t>8715839068528</t>
  </si>
  <si>
    <t>51.30.81.04</t>
  </si>
  <si>
    <t>AeroWall - Frame Tube Bended R 2x2</t>
  </si>
  <si>
    <t>8715839068535</t>
  </si>
  <si>
    <t>Ladder - Fasteners S-M-L</t>
  </si>
  <si>
    <t>51.30.81.05</t>
  </si>
  <si>
    <t>AeroWall - Frame Tube Bended L 2x2</t>
  </si>
  <si>
    <t>8715839068542</t>
  </si>
  <si>
    <t>51.30.81.06</t>
  </si>
  <si>
    <t>AeroWall - Fasteners</t>
  </si>
  <si>
    <t>8715839068559</t>
  </si>
  <si>
    <t>51.30.81.07</t>
  </si>
  <si>
    <t>AeroWall - Foam Caps For Clamp (2x)</t>
  </si>
  <si>
    <t>8715839068566</t>
  </si>
  <si>
    <t>51.30.35.00</t>
  </si>
  <si>
    <t>Grand Champion - Regular Padding 350 green</t>
  </si>
  <si>
    <t>8715839068573</t>
  </si>
  <si>
    <t>51.30.35.01</t>
  </si>
  <si>
    <t>Grand Champion - Jump mat 350 (TwinSpring, Airflow)</t>
  </si>
  <si>
    <t>8715839068580</t>
  </si>
  <si>
    <t>51.30.35.02</t>
  </si>
  <si>
    <t>Grand Champion - Toprail Long Welded 350</t>
  </si>
  <si>
    <t>8715839068597</t>
  </si>
  <si>
    <t>51.30.35.03</t>
  </si>
  <si>
    <t>Grand Champion - Toprail Short Welded 350</t>
  </si>
  <si>
    <t>8715839068603</t>
  </si>
  <si>
    <t>51.30.35.04</t>
  </si>
  <si>
    <t>Grand Champion - Toprail Short 350</t>
  </si>
  <si>
    <t>8715839068610</t>
  </si>
  <si>
    <t>Ultim Champion - InGround Padding 330 green (27cm)</t>
  </si>
  <si>
    <t>51.30.35.05</t>
  </si>
  <si>
    <t>Grand Champion - W-Leg Black 350</t>
  </si>
  <si>
    <t>8715839068627</t>
  </si>
  <si>
    <t>51.30.35.06</t>
  </si>
  <si>
    <t>Grand Champion - Fasteners 350</t>
  </si>
  <si>
    <t>8715839068634</t>
  </si>
  <si>
    <t>51.30.35.07</t>
  </si>
  <si>
    <t>Grand Champion - InGround Padding 350 green (27cm)</t>
  </si>
  <si>
    <t>8715839068641</t>
  </si>
  <si>
    <t>51.30.47.00</t>
  </si>
  <si>
    <t>Grand Champion - Regular Padding 470 green</t>
  </si>
  <si>
    <t>8715839068658</t>
  </si>
  <si>
    <t>51.30.47.02</t>
  </si>
  <si>
    <t>Grand Champion - Toprail Long Welded 470</t>
  </si>
  <si>
    <t>8715839068672</t>
  </si>
  <si>
    <t>Safety Net T-series - Leisure kit</t>
  </si>
  <si>
    <t>51.30.47.04</t>
  </si>
  <si>
    <t>Grand Champion - Toprail Short 470</t>
  </si>
  <si>
    <t>8715839068696</t>
  </si>
  <si>
    <t>Safety Net T-series - Netting 330 (11ft)</t>
  </si>
  <si>
    <t>Safety Net T-series - Netting 380 (12,5ft)</t>
  </si>
  <si>
    <t>51.30.47.06</t>
  </si>
  <si>
    <t>Grand Champion - InGround Padding 470 green (27cm)</t>
  </si>
  <si>
    <t>8715839068719</t>
  </si>
  <si>
    <t>Safety Net T-series - Netting 430 (14ft)</t>
  </si>
  <si>
    <t>51.30.72.20</t>
  </si>
  <si>
    <t>Grand Safety Net Deluxe - Set Tent Tubes 350</t>
  </si>
  <si>
    <t>8715839068733</t>
  </si>
  <si>
    <t>51.30.72.22</t>
  </si>
  <si>
    <t>Grand Safety Net Deluxe - Set Tent Tubes 470 (.00 version)</t>
  </si>
  <si>
    <t>8715839068757</t>
  </si>
  <si>
    <t>51.30.95.05</t>
  </si>
  <si>
    <t>Grand Champion - Regular Padding 17 ft green</t>
  </si>
  <si>
    <t>8715839068771</t>
  </si>
  <si>
    <t>51.30.95.06</t>
  </si>
  <si>
    <t>Grand Champion - InGround Padding 17 ft green</t>
  </si>
  <si>
    <t>8715839068788</t>
  </si>
  <si>
    <t>51.30.95.07</t>
  </si>
  <si>
    <t>Grand Safety Net DeLuxe - Netting 17 ft (with loops)</t>
  </si>
  <si>
    <t>8715839068795</t>
  </si>
  <si>
    <t>51.30.19.19</t>
  </si>
  <si>
    <t>Grand Favorit - Regular Padding 520 grey</t>
  </si>
  <si>
    <t>8715839068832</t>
  </si>
  <si>
    <t>51.30.19.20</t>
  </si>
  <si>
    <t>Grand Favorit - Regular Padding 520 green</t>
  </si>
  <si>
    <t>8715839068849</t>
  </si>
  <si>
    <t>51.30.18.31</t>
  </si>
  <si>
    <t>Ultim Champion - Jump mat Black (TwinSpring, AIRFLOW) 330</t>
  </si>
  <si>
    <t>8715839078213</t>
  </si>
  <si>
    <t>51.30.19.21</t>
  </si>
  <si>
    <t>Grand Favorit - InGround Padding 520 grey</t>
  </si>
  <si>
    <t>8715839068856</t>
  </si>
  <si>
    <t>51.30.19.22</t>
  </si>
  <si>
    <t>Grand Favorit - InGround Padding 520 green</t>
  </si>
  <si>
    <t>8715839068863</t>
  </si>
  <si>
    <t>51.30.18.23</t>
  </si>
  <si>
    <t>Ultim Champion - InGround Padding 330 Black (27cm)</t>
  </si>
  <si>
    <t>8715839078237</t>
  </si>
  <si>
    <t>51.30.19.23</t>
  </si>
  <si>
    <t>Grand Favorit - Toprail Short Welded 520</t>
  </si>
  <si>
    <t>8715839068870</t>
  </si>
  <si>
    <t>51.30.19.24</t>
  </si>
  <si>
    <t>Grand Favorit - Toprail Long Welded 520</t>
  </si>
  <si>
    <t>8715839068887</t>
  </si>
  <si>
    <t>51.30.19.25</t>
  </si>
  <si>
    <t>Grand Favorit - Toprail Short 520</t>
  </si>
  <si>
    <t>8715839068894</t>
  </si>
  <si>
    <t>51.30.19.26</t>
  </si>
  <si>
    <t>Grand Favorit - W-Leg 520</t>
  </si>
  <si>
    <t>8715839068900</t>
  </si>
  <si>
    <t>51.30.19.27</t>
  </si>
  <si>
    <t>Grand Favorit - Middle Post 520</t>
  </si>
  <si>
    <t>8715839068917</t>
  </si>
  <si>
    <t>51.36.01.00</t>
  </si>
  <si>
    <t>AirTrack - Connector for 100cm width</t>
  </si>
  <si>
    <t>8715839078336</t>
  </si>
  <si>
    <t>51.36.01.01</t>
  </si>
  <si>
    <t>AirTrack - Connector for 140cm width</t>
  </si>
  <si>
    <t>8715839078343</t>
  </si>
  <si>
    <t>51.30.19.28</t>
  </si>
  <si>
    <t>Grand Favorit - Jump mat 520</t>
  </si>
  <si>
    <t>8715839068986</t>
  </si>
  <si>
    <t>51.32.28.14</t>
  </si>
  <si>
    <t>Ultim Favorit - Middle post 280 (0,7m)</t>
  </si>
  <si>
    <t>8715839078947</t>
  </si>
  <si>
    <t>51.30.01.28</t>
  </si>
  <si>
    <t>Favorit - Middle post 330, 380, 430 Black</t>
  </si>
  <si>
    <t>8715839079128</t>
  </si>
  <si>
    <t>51.30.19.32</t>
  </si>
  <si>
    <t>Grand Favorit - InGround Padding 520 Black</t>
  </si>
  <si>
    <t>8715839079135</t>
  </si>
  <si>
    <t>51.30.19.33</t>
  </si>
  <si>
    <t>Grand Favorit - Regular Padding 520 Black</t>
  </si>
  <si>
    <t>8715839079142</t>
  </si>
  <si>
    <t>51.30.19.34</t>
  </si>
  <si>
    <t>Grand Favorit - W-Leg 520 Black</t>
  </si>
  <si>
    <t>8715839079159</t>
  </si>
  <si>
    <t>51.30.19.35</t>
  </si>
  <si>
    <t>Grand Favorit - Middle Post 520 Black</t>
  </si>
  <si>
    <t>8715839079166</t>
  </si>
  <si>
    <t>51.32.28.15</t>
  </si>
  <si>
    <t>Ultim Favorit - InGround Padding 280 Black with white edge</t>
  </si>
  <si>
    <t>8715839079173</t>
  </si>
  <si>
    <t>51.32.28.16</t>
  </si>
  <si>
    <t>Ultim Favorit - Regular Padding 280 Black with white edge</t>
  </si>
  <si>
    <t>8715839079180</t>
  </si>
  <si>
    <t>51.32.28.17</t>
  </si>
  <si>
    <t>Ultim Favorit - W-leg 280 Black</t>
  </si>
  <si>
    <t>8715839079197</t>
  </si>
  <si>
    <t>51.32.28.18</t>
  </si>
  <si>
    <t>Ultim Favorit - Middle post 280 Black</t>
  </si>
  <si>
    <t>8715839079203</t>
  </si>
  <si>
    <t>51.30.12.32</t>
  </si>
  <si>
    <t>Favorit - InGround Padding 380 Black with white edge</t>
  </si>
  <si>
    <t>8715839079210</t>
  </si>
  <si>
    <t>51.30.12.33</t>
  </si>
  <si>
    <t>Favorit - Regular Padding 380 Black with white edge</t>
  </si>
  <si>
    <t>8715839079227</t>
  </si>
  <si>
    <t>51.30.12.27</t>
  </si>
  <si>
    <t>Favorit - W-Leg 380 (160 cm) Black</t>
  </si>
  <si>
    <t>8715839079234</t>
  </si>
  <si>
    <t>51.30.14.32</t>
  </si>
  <si>
    <t>Favorit - InGround Padding 430 Black with white edge</t>
  </si>
  <si>
    <t>8715839079241</t>
  </si>
  <si>
    <t>51.30.14.33</t>
  </si>
  <si>
    <t>Favorit - Regular Padding 430 Black with white edge</t>
  </si>
  <si>
    <t>8715839079258</t>
  </si>
  <si>
    <t>51.30.14.28</t>
  </si>
  <si>
    <t>Favorit - W-Leg 430 (172 cm) Black</t>
  </si>
  <si>
    <t>8715839079265</t>
  </si>
  <si>
    <t>Ultim Champion - InGround Padding 330 grey (27cm)</t>
  </si>
  <si>
    <t>Ladder Platform – Shoebag</t>
  </si>
  <si>
    <t>Favorit - Goldspring Basic (10x)</t>
  </si>
  <si>
    <t>T-Series - T-Section</t>
  </si>
  <si>
    <t>T-Series - Tube Insert</t>
  </si>
  <si>
    <t>Favorit - Middle post 330, 380, 430</t>
  </si>
  <si>
    <t>Jump mat 270 (9ft)</t>
  </si>
  <si>
    <t>Favorit - Toprail Welded 270 (109cm)</t>
  </si>
  <si>
    <t>Favorit - Toprail InGround 270 (9ft)</t>
  </si>
  <si>
    <t>Favorit - W-Leg 270 (107 cm)</t>
  </si>
  <si>
    <t>Flatground - Frame Tube (Toprail) 430 (14 ft)</t>
  </si>
  <si>
    <t>Flatground - Padding Band  430 (14ft)</t>
  </si>
  <si>
    <t>Flatground - Ruler  430 (14ft)</t>
  </si>
  <si>
    <t>Flatground - Fasteners</t>
  </si>
  <si>
    <t>Favorit - Toprail Welded 430 (167cm)</t>
  </si>
  <si>
    <t>Favorit - Toprail 430 (167cm)</t>
  </si>
  <si>
    <t>Favorit - W-Leg 430 (172 cm)</t>
  </si>
  <si>
    <t>Favorit - Toprail Welded 330 (132cm)</t>
  </si>
  <si>
    <t>Favorit - Toprail 330 (132cm)</t>
  </si>
  <si>
    <t>Favorit - W-Leg 330 (138 cm)</t>
  </si>
  <si>
    <t>Favorit - Toprail Welded 380 (150cm)</t>
  </si>
  <si>
    <t>Favorit - Toprail 380 (150cm)</t>
  </si>
  <si>
    <t>Favorit - W-Leg 380 (160 cm)</t>
  </si>
  <si>
    <t>Safety Net T-Series - Set sleeves (8x)</t>
  </si>
  <si>
    <t>Safety Net T-Series - Clamp</t>
  </si>
  <si>
    <t>InGround Favorit - Foot 270 (9ft) + 430 (14ft)</t>
  </si>
  <si>
    <t>InGround Favorit - Foot 330 (11ft)</t>
  </si>
  <si>
    <t>InGround Favorit - Foot 380 (12,5ft)</t>
  </si>
  <si>
    <t>51.32.41.14</t>
  </si>
  <si>
    <t>Ultim Favorit - Toprail Corner Right 410</t>
  </si>
  <si>
    <t>8715839079951</t>
  </si>
  <si>
    <t>51.32.41.15</t>
  </si>
  <si>
    <t>Ultim Favorit - Toprail Corner Left 410</t>
  </si>
  <si>
    <t>8715839079968</t>
  </si>
  <si>
    <t>51.32.41.16</t>
  </si>
  <si>
    <t>Ultim Favorit - InGround Padding 410 Black</t>
  </si>
  <si>
    <t>8715839079975</t>
  </si>
  <si>
    <t>51.32.41.20</t>
  </si>
  <si>
    <t>Ultim Favorit - Fasteners 410</t>
  </si>
  <si>
    <t>8715839079999</t>
  </si>
  <si>
    <t>51.32.41.18</t>
  </si>
  <si>
    <t>Ultim Favorit - Toprail Long Welded 410</t>
  </si>
  <si>
    <t>8715839080001</t>
  </si>
  <si>
    <t>51.32.41.17</t>
  </si>
  <si>
    <t>Ultim Favorit - Toprail Short Welded 410</t>
  </si>
  <si>
    <t>8715839080018</t>
  </si>
  <si>
    <t>Favorit - SoloSpring (10x)</t>
  </si>
  <si>
    <t>Favorit - InGround Padding 270 Green (8 sections)</t>
  </si>
  <si>
    <t>Favorit - InGround Padding 330 Green (8 sections)</t>
  </si>
  <si>
    <t>Favorit - Jump mat 330</t>
  </si>
  <si>
    <t>Favorit - Padding green 380 (12,5ft)</t>
  </si>
  <si>
    <t>InGround Favorit - Padding green 380 (12,5ft)</t>
  </si>
  <si>
    <t>Favorit - Jump mat 380 (12,5ft)</t>
  </si>
  <si>
    <t>Favorit - Jump mat 430 (14ft)</t>
  </si>
  <si>
    <t>Safety Net Comfort - Netting 270 (for 8 poles)</t>
  </si>
  <si>
    <t>Safety Net Comfort - Netting 330 (for 8 poles)</t>
  </si>
  <si>
    <t>51.32.50.23</t>
  </si>
  <si>
    <t>Ultim Champion - Padding 16ft Green</t>
  </si>
  <si>
    <t>8715839080612</t>
  </si>
  <si>
    <t>51.30.72.62</t>
  </si>
  <si>
    <t>Ultim Safety Net DLX XL - Netting 16ft</t>
  </si>
  <si>
    <t>8715839080629</t>
  </si>
  <si>
    <t>Safety Net - Side Release Buckles (8x)</t>
  </si>
  <si>
    <t>Favorit - Padding green 430 (14ft)</t>
  </si>
  <si>
    <t>InGround Favorit - Padding green 430 (14ft)</t>
  </si>
  <si>
    <t>51.30.82.04</t>
  </si>
  <si>
    <t>AirHive - Velcro Strap</t>
  </si>
  <si>
    <t>8715839081169</t>
  </si>
  <si>
    <t>TwinSpring (10x)</t>
  </si>
  <si>
    <t>Grand Champion - Toprail Short Welded 520</t>
  </si>
  <si>
    <t>Grand Champion - Toprail Short 520</t>
  </si>
  <si>
    <t>Grand Champion - Middle Post Black 520</t>
  </si>
  <si>
    <t>Grand Champion - W-Leg Black 520</t>
  </si>
  <si>
    <t>Champion - Triangle for Jump mat (TwinSpring) (10x)</t>
  </si>
  <si>
    <t>Fasteners for Toprail 48mm &amp; 50,8mm</t>
  </si>
  <si>
    <t>Grand Champion - Jump mat (TwinSpring, Airflow) 520</t>
  </si>
  <si>
    <t>8715839065152</t>
  </si>
  <si>
    <t>8715839065206</t>
  </si>
  <si>
    <t>8715839065169</t>
  </si>
  <si>
    <t>Favorit - InGround Padding 330 Grey (8 sections)</t>
  </si>
  <si>
    <t>8715839065190</t>
  </si>
  <si>
    <t>8715839065213</t>
  </si>
  <si>
    <t>8715839065176</t>
  </si>
  <si>
    <t>8715839065121</t>
  </si>
  <si>
    <t>Safety Net Comfort - Foam set (87+108cm)</t>
  </si>
  <si>
    <t>Safety Net Comfort - Upper Tube (108cm)</t>
  </si>
  <si>
    <t>8715839065091</t>
  </si>
  <si>
    <t>Safety Net Comfort - Lower tube + springbracket (108cm)</t>
  </si>
  <si>
    <t>8715839065107</t>
  </si>
  <si>
    <t>Safety Net Comfort - Fasteners (Set for 1 Tube) (95mm)</t>
  </si>
  <si>
    <t>8715839065114</t>
  </si>
  <si>
    <t>Elite+ - Triangle for Jump mat (TwinSpring) (10x)</t>
  </si>
  <si>
    <t>Safety Net Comfort  - Lower tube InGround (95cm)</t>
  </si>
  <si>
    <t>Safety Net Comfort - Foam set InGround</t>
  </si>
  <si>
    <t>Safety Net Comfort - Sleeves (197 cm) (8x)</t>
  </si>
  <si>
    <t>Safety Net Comfort - Fasteners for 1 tube InGround</t>
  </si>
  <si>
    <t>Grand Safety Net Deluxe - Set Tent Tubes 520</t>
  </si>
  <si>
    <t>Safety Net DeLuxe - Netting Grand Champion 520</t>
  </si>
  <si>
    <t>Elite+ - Toprail 330 (11ft) (TwinSpring)</t>
  </si>
  <si>
    <t>Elite+ - Toprail 380 (12,5ft) (TwinSpring)</t>
  </si>
  <si>
    <t>Elite+ - Toprail 430 (14ft) black (TwinSpring)</t>
  </si>
  <si>
    <t>Elite+ - W-Leg 330 (11ft) T-series black</t>
  </si>
  <si>
    <t>Elite+ - W-Leg T-Series 380 (12,5ft) black</t>
  </si>
  <si>
    <t>Elite+ - W-Leg T-series 430 (14ft) black</t>
  </si>
  <si>
    <t>8715839065046</t>
  </si>
  <si>
    <t>8715839065053</t>
  </si>
  <si>
    <t>Elite+ - Middle post 380 (12,5ft) + 430 (14ft) black</t>
  </si>
  <si>
    <t>8715839065060</t>
  </si>
  <si>
    <t>Champion - Toprail welded 11 ft (TwinSpring)</t>
  </si>
  <si>
    <t>8715839065268</t>
  </si>
  <si>
    <t>Champion - Toprail 11 ft (TwinSpring)</t>
  </si>
  <si>
    <t>8715839065275</t>
  </si>
  <si>
    <t>Champion - Toprail welded 14 ft (TwinSpring)</t>
  </si>
  <si>
    <t>8715839065305</t>
  </si>
  <si>
    <t>Champion - Toprail 14 ft (TwinSpring)</t>
  </si>
  <si>
    <t>8715839065312</t>
  </si>
  <si>
    <t>Ultim Champion - Toprail long (TwinSpring) 330</t>
  </si>
  <si>
    <t>Champion InGround - Single leg 17cm</t>
  </si>
  <si>
    <t>8715839065343</t>
  </si>
  <si>
    <t>Ultim Champion - Toprail short (TwinSpring) 330</t>
  </si>
  <si>
    <t>Champion - Padding Green 11 ft</t>
  </si>
  <si>
    <t>8715839065282</t>
  </si>
  <si>
    <t>Ultim Champion - Toprail corner right (TwinSpring) 330</t>
  </si>
  <si>
    <t>Champion - Padding Green 14 ft</t>
  </si>
  <si>
    <t>8715839065329</t>
  </si>
  <si>
    <t>Ultim Champion - Toprail corner left (TwinSpring) 330</t>
  </si>
  <si>
    <t>InGround Champion - Padding Green 11ft</t>
  </si>
  <si>
    <t>8715839065299</t>
  </si>
  <si>
    <t>InGround Champion - Padding Green 14ft</t>
  </si>
  <si>
    <t>8715839065336</t>
  </si>
  <si>
    <t>8715839065350</t>
  </si>
  <si>
    <t>Champion - Fasteners (8x)</t>
  </si>
  <si>
    <t>8715839065367</t>
  </si>
  <si>
    <t>Elite+ - Fasteners T-section</t>
  </si>
  <si>
    <t>Safety Net Deluxe - Netting 11 ft</t>
  </si>
  <si>
    <t>8715839065374</t>
  </si>
  <si>
    <t>Safety Net Deluxe - Netting 14 ft</t>
  </si>
  <si>
    <t>8715839065381</t>
  </si>
  <si>
    <t>Flatground - Frame Tube (Toprail) 380 (12,5ft)</t>
  </si>
  <si>
    <t>8715839065015</t>
  </si>
  <si>
    <t>Elite+ - Frame net 430 (14ft)</t>
  </si>
  <si>
    <t>Flatground - Frame Tube (Toprail) 330 (11ft)</t>
  </si>
  <si>
    <t>8715839064988</t>
  </si>
  <si>
    <t>Champion - Middle post black</t>
  </si>
  <si>
    <t>Flatground - Padding Band  380 (12,5ft)</t>
  </si>
  <si>
    <t>8715839065022</t>
  </si>
  <si>
    <t>Champion - W-Leg 270 (9ft) black</t>
  </si>
  <si>
    <t>Flatground - Padding Band  330 (11ft)</t>
  </si>
  <si>
    <t>8715839064995</t>
  </si>
  <si>
    <t>Champion - Toprail 270 (9ft) (TwinSpring)</t>
  </si>
  <si>
    <t>Flatground - Ruler 380 (12,5ft)</t>
  </si>
  <si>
    <t>8715839065039</t>
  </si>
  <si>
    <t>Champion - Toprail InGround 270 (9ft) (TwinSpring)</t>
  </si>
  <si>
    <t>Flatground - Ruler 330 (11ft)</t>
  </si>
  <si>
    <t>8715839065008</t>
  </si>
  <si>
    <t>InGround Champion - Padding green 270 (9ft)</t>
  </si>
  <si>
    <t>Champion - Padding green 270 (9ft)</t>
  </si>
  <si>
    <t>8715839064971</t>
  </si>
  <si>
    <t>Champion - W-Leg 330 (11ft) black</t>
  </si>
  <si>
    <t>Champion - Toprail 330 (11ft) (TwinSpring)</t>
  </si>
  <si>
    <t>8715839064865</t>
  </si>
  <si>
    <t>8715839064919</t>
  </si>
  <si>
    <t>8715839064926</t>
  </si>
  <si>
    <t>Champion - W-Leg 380 (12,5ft) black</t>
  </si>
  <si>
    <t>8715839064827</t>
  </si>
  <si>
    <t>Champion - Toprail 380 (12,5ft) (TwinSpring)</t>
  </si>
  <si>
    <t>8715839064834</t>
  </si>
  <si>
    <t>8715839064872</t>
  </si>
  <si>
    <t>8715839064889</t>
  </si>
  <si>
    <t>8715839064896</t>
  </si>
  <si>
    <t>Champion - W-Leg 430 + 470 black</t>
  </si>
  <si>
    <t>8715839064940</t>
  </si>
  <si>
    <t>Champion - Toprail 430 (14ft) (TwinSpring)</t>
  </si>
  <si>
    <t>8715839064957</t>
  </si>
  <si>
    <t>Safety Net Deluxe - Foam set</t>
  </si>
  <si>
    <t>Safety Net Deluxe - Tent tubes 270 (9ft)</t>
  </si>
  <si>
    <t>Safety Net Deluxe - Tent tubes 330 (11ft)</t>
  </si>
  <si>
    <t>Safety Net Deluxe - Tent tubes 380 (12,5ft)</t>
  </si>
  <si>
    <t>Safety Net Deluxe - Tent tubes 430 (14ft)</t>
  </si>
  <si>
    <t>Ultim Safety Net Deluxe - Set Tent Tubes 330 (.00/.01)</t>
  </si>
  <si>
    <t>Safety Net Deluxe - Fasteners for 8 poles</t>
  </si>
  <si>
    <t>Safety Net Deluxe - Elastic bands for bottom of netting (10x</t>
  </si>
  <si>
    <t>Safety Net T-series - Tent tubes 330 (11ft)</t>
  </si>
  <si>
    <t>Safety Net T-series - Tent tubes 380 (12,5ft)</t>
  </si>
  <si>
    <t>Safety Net T-series - Tent tubes 430 (14ft)</t>
  </si>
  <si>
    <t>EazyStore - Jump mat GS</t>
  </si>
  <si>
    <t>51.30.09.27</t>
  </si>
  <si>
    <t>Champion - InGround Padding 270 Grey</t>
  </si>
  <si>
    <t>8715839085945</t>
  </si>
  <si>
    <t>51.30.11.22</t>
  </si>
  <si>
    <t>Champion - InGround Padding 330 Grey</t>
  </si>
  <si>
    <t>8715839085952</t>
  </si>
  <si>
    <t>Under frame InGround 11ft</t>
  </si>
  <si>
    <t>51.30.12.29</t>
  </si>
  <si>
    <t>Champion - InGround Padding 380 Grey</t>
  </si>
  <si>
    <t>8715839085969</t>
  </si>
  <si>
    <t>51.37.11.06</t>
  </si>
  <si>
    <t>Elite - InGround Padding 330 Grey</t>
  </si>
  <si>
    <t>8715839085976</t>
  </si>
  <si>
    <t>51.37.12.06</t>
  </si>
  <si>
    <t>Elite - InGround Padding 380 Grey</t>
  </si>
  <si>
    <t>8715839085983</t>
  </si>
  <si>
    <t>51.37.14.06</t>
  </si>
  <si>
    <t>Elite - InGround Padding 430 Grey</t>
  </si>
  <si>
    <t>8715839085990</t>
  </si>
  <si>
    <t>51.30.19.36</t>
  </si>
  <si>
    <t>Grand Champion - InGround Padding 520 grey (22cm)</t>
  </si>
  <si>
    <t>8715839086003</t>
  </si>
  <si>
    <t>51.30.19.37</t>
  </si>
  <si>
    <t>8715839086010</t>
  </si>
  <si>
    <t>Triangle Jump mat 46mm (10x)</t>
  </si>
  <si>
    <t>Goldspring+ (10x)</t>
  </si>
  <si>
    <t>Elastic band for padding (10x)</t>
  </si>
  <si>
    <t>Spring bracket (20x)</t>
  </si>
  <si>
    <t>Spring assembly tool</t>
  </si>
  <si>
    <t>InGround Champion - Single Leg (22cm)</t>
  </si>
  <si>
    <t>Safety Net - Assembly Set (2 legs)</t>
  </si>
  <si>
    <t>Safety Net - Elastic band (30 pc)</t>
  </si>
  <si>
    <t>Safety Net - Cap for Lower tube 38 mm (8x)</t>
  </si>
  <si>
    <t>Coverset Safety Net pipes (8x)</t>
  </si>
  <si>
    <t>Safety Net - Tent tubes JS 330 (11ft)</t>
  </si>
  <si>
    <t>Safety Net - Tent tubes JS 430 (14ft)</t>
  </si>
  <si>
    <t>Safety Net T-Series - Upper tube</t>
  </si>
  <si>
    <t>Safety Net T-Series - Lower tube</t>
  </si>
  <si>
    <t>Safety Net T-Series - Foam set</t>
  </si>
  <si>
    <t>Tent pin (10x)</t>
  </si>
  <si>
    <t>Elite+ - Set tent tubes Frame net 330 (11ft)</t>
  </si>
  <si>
    <t>Elite+ - Set tent tubes Frame net 380 (12,5ft)</t>
  </si>
  <si>
    <t>Elite+ - Set tent tubes Frame net 430 (14ft)</t>
  </si>
  <si>
    <t>Pipe (above) for Safety Net</t>
  </si>
  <si>
    <t>Elite+ - Foot InGround T-Section</t>
  </si>
  <si>
    <t>Pipe (under) for Safety Net</t>
  </si>
  <si>
    <t>Elite+ - Ruler InGround  330 (11ft)</t>
  </si>
  <si>
    <t>Elite+ - Ruler InGround  430 (14ft)</t>
  </si>
  <si>
    <t>Tent pin (U-shape) (10x)</t>
  </si>
  <si>
    <t>Net 9"" separate JS</t>
  </si>
  <si>
    <t>Net 12,5"" separate JS</t>
  </si>
  <si>
    <t>Net 11 ft JS separate</t>
  </si>
  <si>
    <t>Net 14 ft JS separate</t>
  </si>
  <si>
    <t>Safety Net - Separate netting 270 (9ft) (no elastic bands)</t>
  </si>
  <si>
    <t>Safety Net - Separate netting 330 (11ft) (no elastic bands</t>
  </si>
  <si>
    <t>Safety Net - Separate netting 380 (12,5ft)(no elastic bands)</t>
  </si>
  <si>
    <t>Safety Net - Separate netting 430 (14ft) (no elastic bands</t>
  </si>
  <si>
    <t>51.30.14.41</t>
  </si>
  <si>
    <t>Champion - InGround Padding 430 Grey</t>
  </si>
  <si>
    <t>8715839086065</t>
  </si>
  <si>
    <t>51.32.41.00</t>
  </si>
  <si>
    <t>Ultim Champion - Straight Frame Tube 410</t>
  </si>
  <si>
    <t>8715839073621</t>
  </si>
  <si>
    <t>51.32.41.01</t>
  </si>
  <si>
    <t>Ultim Champion - Corner Frame Tube L 410</t>
  </si>
  <si>
    <t>8715839073638</t>
  </si>
  <si>
    <t>51.32.41.02</t>
  </si>
  <si>
    <t>Ultim Champion - Corner Frame Tube R 410</t>
  </si>
  <si>
    <t>8715839073645</t>
  </si>
  <si>
    <t>51.32.41.03</t>
  </si>
  <si>
    <t>Ultim Champion - Padding Band 410</t>
  </si>
  <si>
    <t>8715839073652</t>
  </si>
  <si>
    <t>51.32.41.04</t>
  </si>
  <si>
    <t>Ultim Champion - Padding Spring 410 (2x)</t>
  </si>
  <si>
    <t>8715839073669</t>
  </si>
  <si>
    <t>51.32.41.05</t>
  </si>
  <si>
    <t>Ultim Champion - FlatGround Ruler &amp; Hole Tool 410</t>
  </si>
  <si>
    <t>8715839073676</t>
  </si>
  <si>
    <t>51.32.41.06</t>
  </si>
  <si>
    <t>Ultim Champion - Fasteners 410</t>
  </si>
  <si>
    <t>8715839073683</t>
  </si>
  <si>
    <t>51.32.41.10</t>
  </si>
  <si>
    <t>Ultim Champion - W-leg 410 (L+R, Incl. Fasteners)</t>
  </si>
  <si>
    <t>8715839073720</t>
  </si>
  <si>
    <t>51.32.41.12</t>
  </si>
  <si>
    <t>Ultim Champion - Regular Fasteners 410</t>
  </si>
  <si>
    <t>8715839073737</t>
  </si>
  <si>
    <t>51.32.50.17</t>
  </si>
  <si>
    <t>Ultim Elite - Fasteners 500</t>
  </si>
  <si>
    <t>8715839073751</t>
  </si>
  <si>
    <t>51.32.50.18</t>
  </si>
  <si>
    <t>Ultim Elite - Padding 500 Black</t>
  </si>
  <si>
    <t>8715839073768</t>
  </si>
  <si>
    <t>51.32.50.22</t>
  </si>
  <si>
    <t>Ultim Elite - Regular Fasteners 500</t>
  </si>
  <si>
    <t>8715839073775</t>
  </si>
  <si>
    <t>51.32.50.19</t>
  </si>
  <si>
    <t>Ultim Elite - W-leg 500 (L+R, Incl. Fasteners)</t>
  </si>
  <si>
    <t>8715839073782</t>
  </si>
  <si>
    <t>51.32.41.11</t>
  </si>
  <si>
    <t>Ultim Champion - Middle Post 410</t>
  </si>
  <si>
    <t>8715839073799</t>
  </si>
  <si>
    <t>51.32.50.20</t>
  </si>
  <si>
    <t>Ultim Elite - Middle Post 500</t>
  </si>
  <si>
    <t>8715839073805</t>
  </si>
  <si>
    <t>51.32.41.13</t>
  </si>
  <si>
    <t>Ultim Champion - Ladder Hook 410 (2x)</t>
  </si>
  <si>
    <t>8715839073812</t>
  </si>
  <si>
    <t>51.32.50.21</t>
  </si>
  <si>
    <t>Ultim Elite - Ladder Hook 500 (2x)</t>
  </si>
  <si>
    <t>8715839073829</t>
  </si>
  <si>
    <t>51.32.50.16</t>
  </si>
  <si>
    <t>Ultim Elite - Rounded Corner Parts Foam For Padding (2x2)</t>
  </si>
  <si>
    <t>8715839073836</t>
  </si>
  <si>
    <t>51.30.72.23</t>
  </si>
  <si>
    <t>Ultim Safety Net DLX XL - Clamp + Lower Tube 410</t>
  </si>
  <si>
    <t>8715839073843</t>
  </si>
  <si>
    <t>51.30.72.25</t>
  </si>
  <si>
    <t>Ultim Safety Net DLX XL - Foam set</t>
  </si>
  <si>
    <t>8715839073850</t>
  </si>
  <si>
    <t>51.30.72.27</t>
  </si>
  <si>
    <t>Ultim Safety Net DLX XL - Pole Sleeves (8x)</t>
  </si>
  <si>
    <t>8715839073867</t>
  </si>
  <si>
    <t>51.30.72.29</t>
  </si>
  <si>
    <t>Ultim Safety Net DLX XL - Fasteners 410 &amp; 500</t>
  </si>
  <si>
    <t>8715839073874</t>
  </si>
  <si>
    <t>51.30.72.30</t>
  </si>
  <si>
    <t>Ultim Safety Net DLX XL - Set Tent Tubes 410</t>
  </si>
  <si>
    <t>8715839073881</t>
  </si>
  <si>
    <t>51.30.72.33</t>
  </si>
  <si>
    <t>Ultim Safety Net DLX XL - Clamp + Lower Tube 500</t>
  </si>
  <si>
    <t>8715839073904</t>
  </si>
  <si>
    <t>51.30.72.35</t>
  </si>
  <si>
    <t>Ultim Safety Net DLX XL - Set Tent Tubes 500</t>
  </si>
  <si>
    <t>8715839073911</t>
  </si>
  <si>
    <t>51.30.72.32</t>
  </si>
  <si>
    <t>Ultim Safety Net DLX XL - Buckle (900mm) (4x)</t>
  </si>
  <si>
    <t>8715839073935</t>
  </si>
  <si>
    <t>51.30.72.37</t>
  </si>
  <si>
    <t>Ultim Safety Net DLX XL - Buckle (400mm) (4x)</t>
  </si>
  <si>
    <t>8715839073942</t>
  </si>
  <si>
    <t>51.30.72.28</t>
  </si>
  <si>
    <t>Ultim Safety Net DLX XL - Covering Caps 410 (8x)</t>
  </si>
  <si>
    <t>8715839073959</t>
  </si>
  <si>
    <t>51.30.72.34</t>
  </si>
  <si>
    <t>Ultim Safety Net DLX XL - Covering Caps 500 (8x)</t>
  </si>
  <si>
    <t>8715839073966</t>
  </si>
  <si>
    <t>51.30.72.24</t>
  </si>
  <si>
    <t>Ultim Safety Net DLX XL - Extension Tube</t>
  </si>
  <si>
    <t>8715839073973</t>
  </si>
  <si>
    <t>51.30.72.26</t>
  </si>
  <si>
    <t>Safety Net DLX XL - Foam Support Ring (8x)</t>
  </si>
  <si>
    <t>8715839073980</t>
  </si>
  <si>
    <t>51.30.74.11</t>
  </si>
  <si>
    <t>Safety Net Comfort - Foam Set 200 (87+78cm)</t>
  </si>
  <si>
    <t>8715839073997</t>
  </si>
  <si>
    <t>51.30.74.12</t>
  </si>
  <si>
    <t>Safety Net Comfort - Netting 200 (for 6 poles)</t>
  </si>
  <si>
    <t>8715839074000</t>
  </si>
  <si>
    <t>51.30.74.13</t>
  </si>
  <si>
    <t>Safety Net Comfort - Netting 270 (for 6 poles)</t>
  </si>
  <si>
    <t>8715839074017</t>
  </si>
  <si>
    <t>51.30.74.14</t>
  </si>
  <si>
    <t>Safety Net Comfort - Netting 330 (for 6 poles)</t>
  </si>
  <si>
    <t>8715839074024</t>
  </si>
  <si>
    <t>51.30.74.15</t>
  </si>
  <si>
    <t>Safety Net Comfort - Upper Tube 200 (78cm)</t>
  </si>
  <si>
    <t>8715839074031</t>
  </si>
  <si>
    <t>51.30.74.16</t>
  </si>
  <si>
    <t>Safety Net Comfort - Fasteners 200 (Set for 1 Tube) (85mm)</t>
  </si>
  <si>
    <t>8715839074048</t>
  </si>
  <si>
    <t>51.30.74.17</t>
  </si>
  <si>
    <t>Elastic Band + Ball (120 mm) (8x)</t>
  </si>
  <si>
    <t>8715839074055</t>
  </si>
  <si>
    <t>51.30.74.18</t>
  </si>
  <si>
    <t>Safety Net Comfort - Sleeves 200 (167cm) (6x)</t>
  </si>
  <si>
    <t>8715839074062</t>
  </si>
  <si>
    <t>51.30.74.19</t>
  </si>
  <si>
    <t>Safety Net Comfort - Top Caps (8x)</t>
  </si>
  <si>
    <t>8715839074079</t>
  </si>
  <si>
    <t>51.30.07.00</t>
  </si>
  <si>
    <t>Favorit - Middle post 200</t>
  </si>
  <si>
    <t>8715839074086</t>
  </si>
  <si>
    <t>51.30.09.20</t>
  </si>
  <si>
    <t>Favorit - Middle post 270</t>
  </si>
  <si>
    <t>8715839074093</t>
  </si>
  <si>
    <t>51.30.07.01</t>
  </si>
  <si>
    <t>Favorit - Regular Padding 200 Grey</t>
  </si>
  <si>
    <t>8715839074109</t>
  </si>
  <si>
    <t>51.30.09.21</t>
  </si>
  <si>
    <t>Favorit - Regular Padding 270 Grey</t>
  </si>
  <si>
    <t>8715839074116</t>
  </si>
  <si>
    <t>51.30.11.39</t>
  </si>
  <si>
    <t>Favorit - Regular Padding 330 Grey</t>
  </si>
  <si>
    <t>8715839074123</t>
  </si>
  <si>
    <t>51.30.11.40</t>
  </si>
  <si>
    <t>Favorit - Regular Padding 330 Green</t>
  </si>
  <si>
    <t>8715839074130</t>
  </si>
  <si>
    <t>51.30.09.22</t>
  </si>
  <si>
    <t>Favorit - Jump Mat 270</t>
  </si>
  <si>
    <t>8715839074154</t>
  </si>
  <si>
    <t>51.30.07.03</t>
  </si>
  <si>
    <t>Favorit - Toprail Welded 200 (102cm)</t>
  </si>
  <si>
    <t>8715839074161</t>
  </si>
  <si>
    <t>51.30.09.23</t>
  </si>
  <si>
    <t>Favorit - Toprail Welded 270 (141cm)</t>
  </si>
  <si>
    <t>8715839074178</t>
  </si>
  <si>
    <t>51.30.11.41</t>
  </si>
  <si>
    <t>Favorit - Toprail Welded 330 (171cm)</t>
  </si>
  <si>
    <t>8715839074185</t>
  </si>
  <si>
    <t>51.30.07.04</t>
  </si>
  <si>
    <t>Favorit - Toprail 200 (102cm)</t>
  </si>
  <si>
    <t>8715839074192</t>
  </si>
  <si>
    <t>51.30.09.24</t>
  </si>
  <si>
    <t>Favorit - Toprail 270 (141cm)</t>
  </si>
  <si>
    <t>8715839074208</t>
  </si>
  <si>
    <t>51.30.11.42</t>
  </si>
  <si>
    <t>Favorit - Toprail 330 (171cm)</t>
  </si>
  <si>
    <t>8715839074215</t>
  </si>
  <si>
    <t>51.30.07.05</t>
  </si>
  <si>
    <t>Favorit - InGround Leg 200</t>
  </si>
  <si>
    <t>8715839074222</t>
  </si>
  <si>
    <t>51.30.07.06</t>
  </si>
  <si>
    <t>Favorit - InGround Padding 200 Grey (6 sections)</t>
  </si>
  <si>
    <t>8715839074239</t>
  </si>
  <si>
    <t>51.30.09.25</t>
  </si>
  <si>
    <t>Favorit - InGround Padding 270 Grey (6 sections)</t>
  </si>
  <si>
    <t>8715839074246</t>
  </si>
  <si>
    <t>51.30.11.43</t>
  </si>
  <si>
    <t>Favorit - InGround Padding 330 Grey (6 sections)</t>
  </si>
  <si>
    <t>8715839074253</t>
  </si>
  <si>
    <t>51.30.11.44</t>
  </si>
  <si>
    <t>Favorit - InGround Padding 330 Green (6 sections)</t>
  </si>
  <si>
    <t>8715839074260</t>
  </si>
  <si>
    <t>51.30.14.24</t>
  </si>
  <si>
    <t>Favorit - Jump mat with white edge 430</t>
  </si>
  <si>
    <t>8715839074352</t>
  </si>
  <si>
    <t>51.30.74.20</t>
  </si>
  <si>
    <t>Safety Net Comfort - Netting 380 (for 8 poles)</t>
  </si>
  <si>
    <t>8715839074369</t>
  </si>
  <si>
    <t>51.30.74.21</t>
  </si>
  <si>
    <t>Safety Net Comfort - Netting 430 (for 8 poles)</t>
  </si>
  <si>
    <t>8715839074376</t>
  </si>
  <si>
    <t>51.30.72.38</t>
  </si>
  <si>
    <t>Safety Net DLX XL - Extension Tube</t>
  </si>
  <si>
    <t>8715839074543</t>
  </si>
  <si>
    <t>51.30.72.39</t>
  </si>
  <si>
    <t>Safety Net DLX XL - Foam set</t>
  </si>
  <si>
    <t>8715839074550</t>
  </si>
  <si>
    <t>51.30.72.40</t>
  </si>
  <si>
    <t>Safety Net DLX XL - Pole Sleeves (8x)</t>
  </si>
  <si>
    <t>8715839074567</t>
  </si>
  <si>
    <t>51.30.72.42</t>
  </si>
  <si>
    <t>Safety Net Deluxe - Top Caps for Tenttube (8x)</t>
  </si>
  <si>
    <t>8715839074581</t>
  </si>
  <si>
    <t>51.30.09.29</t>
  </si>
  <si>
    <t>Champion - Regular Padding 270 Grey</t>
  </si>
  <si>
    <t>8715839086348</t>
  </si>
  <si>
    <t>51.30.11.48</t>
  </si>
  <si>
    <t>Champion - Regular Padding 330 Grey</t>
  </si>
  <si>
    <t>8715839086355</t>
  </si>
  <si>
    <t>51.30.11.50</t>
  </si>
  <si>
    <t>Champion - Regular Padding 330 Green</t>
  </si>
  <si>
    <t>8715839086362</t>
  </si>
  <si>
    <t>51.30.11.52</t>
  </si>
  <si>
    <t>Champion - Regular Padding 330 Black</t>
  </si>
  <si>
    <t>8715839086379</t>
  </si>
  <si>
    <t>51.30.12.34</t>
  </si>
  <si>
    <t>Champion - Regular Padding 380 Grey</t>
  </si>
  <si>
    <t>8715839086386</t>
  </si>
  <si>
    <t>51.30.12.36</t>
  </si>
  <si>
    <t>Champion - Regular Padding 380 Green</t>
  </si>
  <si>
    <t>8715839086393</t>
  </si>
  <si>
    <t>51.30.12.38</t>
  </si>
  <si>
    <t>Champion - Regular Padding 380 Black</t>
  </si>
  <si>
    <t>8715839086409</t>
  </si>
  <si>
    <t>51.30.14.42</t>
  </si>
  <si>
    <t>Champion - Regular Padding 430 Grey</t>
  </si>
  <si>
    <t>8715839086416</t>
  </si>
  <si>
    <t>51.30.14.44</t>
  </si>
  <si>
    <t>Champion - Regular Padding 430 Green</t>
  </si>
  <si>
    <t>8715839086423</t>
  </si>
  <si>
    <t>51.30.14.48</t>
  </si>
  <si>
    <t>Champion - Regular Padding 430 Black</t>
  </si>
  <si>
    <t>8715839086430</t>
  </si>
  <si>
    <t>51.37.11.07</t>
  </si>
  <si>
    <t>Elite - Regular Padding 330 Grey</t>
  </si>
  <si>
    <t>8715839086447</t>
  </si>
  <si>
    <t>51.37.12.07</t>
  </si>
  <si>
    <t>Elite - Regular Padding 380 Grey</t>
  </si>
  <si>
    <t>8715839086454</t>
  </si>
  <si>
    <t>51.37.14.07</t>
  </si>
  <si>
    <t>Elite - Regular Padding 430 Grey</t>
  </si>
  <si>
    <t>8715839086461</t>
  </si>
  <si>
    <t>51.30.35.10</t>
  </si>
  <si>
    <t>8715839086478</t>
  </si>
  <si>
    <t>51.30.35.12</t>
  </si>
  <si>
    <t>Grand Champion - Regular Padding 350 grey</t>
  </si>
  <si>
    <t>8715839086485</t>
  </si>
  <si>
    <t>51.30.47.09</t>
  </si>
  <si>
    <t>8715839086492</t>
  </si>
  <si>
    <t>51.30.47.11</t>
  </si>
  <si>
    <t>Grand Champion - Regular Padding 470 grey</t>
  </si>
  <si>
    <t>8715839086508</t>
  </si>
  <si>
    <t>51.30.19.38</t>
  </si>
  <si>
    <t>Grand Champion - Regular Padding 520 green</t>
  </si>
  <si>
    <t>8715839086515</t>
  </si>
  <si>
    <t>51.30.19.40</t>
  </si>
  <si>
    <t>Grand Champion - Regular Padding 520 grey</t>
  </si>
  <si>
    <t>8715839086522</t>
  </si>
  <si>
    <t>51.30.19.41</t>
  </si>
  <si>
    <t>Grand Champion - Regular Padding 520 black</t>
  </si>
  <si>
    <t>8715839086539</t>
  </si>
  <si>
    <t>51.30.19.43</t>
  </si>
  <si>
    <t>8715839086546</t>
  </si>
  <si>
    <t>51.30.18.32</t>
  </si>
  <si>
    <t>Ultim Champion - Regular Padding 330 green</t>
  </si>
  <si>
    <t>8715839086553</t>
  </si>
  <si>
    <t>51.30.18.34</t>
  </si>
  <si>
    <t>Ultim Champion - Regular Padding 330 grey</t>
  </si>
  <si>
    <t>8715839086560</t>
  </si>
  <si>
    <t>51.30.18.36</t>
  </si>
  <si>
    <t>Ultim Champion - Regular Padding 330 Black</t>
  </si>
  <si>
    <t>8715839086577</t>
  </si>
  <si>
    <t>51.30.11.51</t>
  </si>
  <si>
    <t>Champion - InGround Padding 330 Green</t>
  </si>
  <si>
    <t>8715839086645</t>
  </si>
  <si>
    <t>51.30.11.53</t>
  </si>
  <si>
    <t>Champion - InGround Padding 330 Black</t>
  </si>
  <si>
    <t>8715839086652</t>
  </si>
  <si>
    <t>51.30.12.37</t>
  </si>
  <si>
    <t>Champion - InGround Padding 380 Green</t>
  </si>
  <si>
    <t>8715839086669</t>
  </si>
  <si>
    <t>51.30.12.39</t>
  </si>
  <si>
    <t>Champion - InGround Padding 380 Black</t>
  </si>
  <si>
    <t>8715839086676</t>
  </si>
  <si>
    <t>51.30.14.45</t>
  </si>
  <si>
    <t>Champion - InGround Padding 430 Green</t>
  </si>
  <si>
    <t>8715839086683</t>
  </si>
  <si>
    <t>51.30.14.49</t>
  </si>
  <si>
    <t>Champion - InGround Padding 430 Black</t>
  </si>
  <si>
    <t>8715839086690</t>
  </si>
  <si>
    <t>51.30.35.11</t>
  </si>
  <si>
    <t>Grand Champion - InGround Padding 350 Green (22cm)</t>
  </si>
  <si>
    <t>8715839086706</t>
  </si>
  <si>
    <t>51.30.35.13</t>
  </si>
  <si>
    <t>Grand Champion - InGround Padding 350 Grey (22cm)</t>
  </si>
  <si>
    <t>8715839086713</t>
  </si>
  <si>
    <t>51.30.47.10</t>
  </si>
  <si>
    <t>Grand Champion - InGround Padding 470 Green (22cm)</t>
  </si>
  <si>
    <t>8715839086720</t>
  </si>
  <si>
    <t>51.30.47.12</t>
  </si>
  <si>
    <t>Grand Champion - InGround Padding 470 Grey (22cm)</t>
  </si>
  <si>
    <t>8715839086737</t>
  </si>
  <si>
    <t>51.30.19.39</t>
  </si>
  <si>
    <t>Grand Champion - InGround Padding 520 Green (22cm)</t>
  </si>
  <si>
    <t>8715839086744</t>
  </si>
  <si>
    <t>51.30.19.42</t>
  </si>
  <si>
    <t>Grand Champion - InGround Padding 520 Black (22cm)</t>
  </si>
  <si>
    <t>8715839086751</t>
  </si>
  <si>
    <t>51.30.18.33</t>
  </si>
  <si>
    <t>Ultim Champion - InGround Padding 330 Green (22cm)</t>
  </si>
  <si>
    <t>8715839086768</t>
  </si>
  <si>
    <t>51.30.18.35</t>
  </si>
  <si>
    <t>Ultim Champion - InGround Padding 330 Grey (22cm)</t>
  </si>
  <si>
    <t>8715839086775</t>
  </si>
  <si>
    <t>51.30.18.37</t>
  </si>
  <si>
    <t>Ultim Champion - InGround Padding 330 Black (22cm)</t>
  </si>
  <si>
    <t>8715839086782</t>
  </si>
  <si>
    <t>51.30.09.32</t>
  </si>
  <si>
    <t>Champion - Regular Toprail welded 270 (TwinSpring)</t>
  </si>
  <si>
    <t>8715839086850</t>
  </si>
  <si>
    <t>51.30.11.54</t>
  </si>
  <si>
    <t>Champion/Elite - Toprail welded 330 (TwinSpring)</t>
  </si>
  <si>
    <t>8715839086867</t>
  </si>
  <si>
    <t>51.30.12.40</t>
  </si>
  <si>
    <t>Champion/Elite - Toprail welded 380 (TwinSpring)</t>
  </si>
  <si>
    <t>8715839086874</t>
  </si>
  <si>
    <t>51.30.14.50</t>
  </si>
  <si>
    <t>Champion/Elite - Toprail welded 430 (TwinSpring)</t>
  </si>
  <si>
    <t>8715839086881</t>
  </si>
  <si>
    <t>51.30.35.14</t>
  </si>
  <si>
    <t>Grand Champion - Toprail Short Welded 350 (TwinSpring)</t>
  </si>
  <si>
    <t>8715839086898</t>
  </si>
  <si>
    <t>51.30.35.15</t>
  </si>
  <si>
    <t>Grand Champion - Toprail Long Welded 350 (TwinSpring)</t>
  </si>
  <si>
    <t>8715839086904</t>
  </si>
  <si>
    <t>51.30.47.13</t>
  </si>
  <si>
    <t>Grand Champion - Toprail Short Welded 470 (TwinSpring)</t>
  </si>
  <si>
    <t>8715839086911</t>
  </si>
  <si>
    <t>51.30.47.14</t>
  </si>
  <si>
    <t>Grand Champion - Toprail Long Welded 470 (TwinSpring)</t>
  </si>
  <si>
    <t>8715839086928</t>
  </si>
  <si>
    <t>51.30.19.44</t>
  </si>
  <si>
    <t>Grand Champion - Toprail Short Welded 520 (TwinSpring)</t>
  </si>
  <si>
    <t>8715839086935</t>
  </si>
  <si>
    <t>51.30.19.45</t>
  </si>
  <si>
    <t>Grand Champion - Toprail Long Welded 520 (TwinSpring)</t>
  </si>
  <si>
    <t>8715839086942</t>
  </si>
  <si>
    <t>51.30.09.34</t>
  </si>
  <si>
    <t>Champion/Elite - Middle post 270, (Curved,Black)</t>
  </si>
  <si>
    <t>8715839086959</t>
  </si>
  <si>
    <t>51.30.09.35</t>
  </si>
  <si>
    <t>Champion/Elite - W-Leg 270, (Curved,Black)</t>
  </si>
  <si>
    <t>8715839086966</t>
  </si>
  <si>
    <t>51.30.11.55</t>
  </si>
  <si>
    <t>Champion/Elite - W-Leg 330, (Curved,Black)</t>
  </si>
  <si>
    <t>8715839086973</t>
  </si>
  <si>
    <t>51.30.12.41</t>
  </si>
  <si>
    <t>Champion/Elite - W-Leg 380, (Curved,Black)</t>
  </si>
  <si>
    <t>8715839086980</t>
  </si>
  <si>
    <t>51.30.14.51</t>
  </si>
  <si>
    <t>Champion/Elite - W-Leg 430 + 470 (Curved,Black)</t>
  </si>
  <si>
    <t>8715839086997</t>
  </si>
  <si>
    <t>51.30.35.16</t>
  </si>
  <si>
    <t>Grand Champion - W-Leg 350, (Curved,Black)</t>
  </si>
  <si>
    <t>8715839087000</t>
  </si>
  <si>
    <t>51.30.19.46</t>
  </si>
  <si>
    <t>Grand Champion/Elite - W-Leg 520, (Curved,Black)</t>
  </si>
  <si>
    <t>8715839087017</t>
  </si>
  <si>
    <t>51.30.11.56</t>
  </si>
  <si>
    <t>AirFlow Pro 330 Jump mat</t>
  </si>
  <si>
    <t>8715839087024</t>
  </si>
  <si>
    <t>51.30.12.42</t>
  </si>
  <si>
    <t>AirFlow Pro 380 Jump mat</t>
  </si>
  <si>
    <t>8715839087031</t>
  </si>
  <si>
    <t>51.30.14.52</t>
  </si>
  <si>
    <t>AirFlow Pro 430 Jump mat</t>
  </si>
  <si>
    <t>8715839087048</t>
  </si>
  <si>
    <t>51.30.18.38</t>
  </si>
  <si>
    <t>Ultim AirFlow Pro 330 Jump mat</t>
  </si>
  <si>
    <t>8715839087055</t>
  </si>
  <si>
    <t>51.32.41.21</t>
  </si>
  <si>
    <t>Ultim AirFlow Pro 410 Jump mat</t>
  </si>
  <si>
    <t>8715839087062</t>
  </si>
  <si>
    <t>51.30.72.67</t>
  </si>
  <si>
    <t>Safety Net Deluxe - Netting 270</t>
  </si>
  <si>
    <t>8715839087079</t>
  </si>
  <si>
    <t>51.30.72.68</t>
  </si>
  <si>
    <t>Safety Net Deluxe - Netting 330</t>
  </si>
  <si>
    <t>8715839087086</t>
  </si>
  <si>
    <t>51.30.72.69</t>
  </si>
  <si>
    <t>Safety Net Deluxe - Netting 380</t>
  </si>
  <si>
    <t>8715839087093</t>
  </si>
  <si>
    <t>51.30.72.75</t>
  </si>
  <si>
    <t>Safety Net Deluxe - Netting 430</t>
  </si>
  <si>
    <t>8715839087109</t>
  </si>
  <si>
    <t>51.30.72.76</t>
  </si>
  <si>
    <t>Safety Net DLX XL - Netting 430</t>
  </si>
  <si>
    <t>8715839087116</t>
  </si>
  <si>
    <t>51.30.72.77</t>
  </si>
  <si>
    <t>Grand Safety Net Deluxe - Netting 350</t>
  </si>
  <si>
    <t>8715839087123</t>
  </si>
  <si>
    <t>51.30.72.78</t>
  </si>
  <si>
    <t>Grand Safety Net Deluxe - Netting 470</t>
  </si>
  <si>
    <t>8715839087130</t>
  </si>
  <si>
    <t>51.30.72.79</t>
  </si>
  <si>
    <t>Grand Safety Net Deluxe - Netting 520</t>
  </si>
  <si>
    <t>8715839087147</t>
  </si>
  <si>
    <t>51.30.72.81</t>
  </si>
  <si>
    <t>Grand Safety Net DLX XL - Netting 520</t>
  </si>
  <si>
    <t>8715839087154</t>
  </si>
  <si>
    <t>51.30.72.82</t>
  </si>
  <si>
    <t>Ultim Safety Net Deluxe - Netting 330</t>
  </si>
  <si>
    <t>8715839087161</t>
  </si>
  <si>
    <t>51.30.72.83</t>
  </si>
  <si>
    <t>Ultim Safety Net DLX XL - Netting 410</t>
  </si>
  <si>
    <t>8715839087178</t>
  </si>
  <si>
    <t>51.30.72.84</t>
  </si>
  <si>
    <t>Ultim Safety Net DLX XL - Netting 500</t>
  </si>
  <si>
    <t>8715839087185</t>
  </si>
  <si>
    <t>51.32.50.24</t>
  </si>
  <si>
    <t>Ultim Champion - Padding 500 Grey</t>
  </si>
  <si>
    <t>8715839087192</t>
  </si>
  <si>
    <t>51.32.50.25</t>
  </si>
  <si>
    <t>Ultim Champion - Padding 500 Black</t>
  </si>
  <si>
    <t>8715839087208</t>
  </si>
  <si>
    <t>51.32.50.26</t>
  </si>
  <si>
    <t>Ultim Elite - Padding 500 Grey</t>
  </si>
  <si>
    <t>8715839087215</t>
  </si>
  <si>
    <t>51.30.01.29</t>
  </si>
  <si>
    <t>Champion/Elite - Middle post (Curved,Black)</t>
  </si>
  <si>
    <t>8715839087222</t>
  </si>
  <si>
    <t>51.32.50.27</t>
  </si>
  <si>
    <t>Ultim AirFlow Pro 500 Jump mat</t>
  </si>
  <si>
    <t>8715839087239</t>
  </si>
  <si>
    <t>51.32.20.00</t>
  </si>
  <si>
    <t>Ultim Champion - Corner Frame Tube 200</t>
  </si>
  <si>
    <t>8715839087437</t>
  </si>
  <si>
    <t>51.32.20.01</t>
  </si>
  <si>
    <t>Ultim AirFlow Pro 200 Jump mat</t>
  </si>
  <si>
    <t>8715839087444</t>
  </si>
  <si>
    <t>51.32.20.02</t>
  </si>
  <si>
    <t>Ultim Champion - FlatGround Padding 200 Grey</t>
  </si>
  <si>
    <t>8715839087451</t>
  </si>
  <si>
    <t>51.32.20.03</t>
  </si>
  <si>
    <t>Ultim Champion - Hook for Padding (2x)</t>
  </si>
  <si>
    <t>8715839087468</t>
  </si>
  <si>
    <t>51.32.20.04</t>
  </si>
  <si>
    <t>Ultim Champion - Padding Band 200</t>
  </si>
  <si>
    <t>8715839087475</t>
  </si>
  <si>
    <t>51.32.20.05</t>
  </si>
  <si>
    <t>Ultim Champion - FlatGround Ruler 200</t>
  </si>
  <si>
    <t>8715839087482</t>
  </si>
  <si>
    <t>51.32.33.00</t>
  </si>
  <si>
    <t>Ultim Favorit - Regular Padding 330 Grey</t>
  </si>
  <si>
    <t>8715839087536</t>
  </si>
  <si>
    <t>51.32.33.01</t>
  </si>
  <si>
    <t>Ultim Favorit - Regular Padding 330 Black</t>
  </si>
  <si>
    <t>8715839087543</t>
  </si>
  <si>
    <t>51.32.33.02</t>
  </si>
  <si>
    <t>Ultim Favorit - InGround Padding 330 Grey</t>
  </si>
  <si>
    <t>8715839087550</t>
  </si>
  <si>
    <t>51.32.33.03</t>
  </si>
  <si>
    <t>Ultim Favorit - InGround Padding 330 Black</t>
  </si>
  <si>
    <t>8715839087567</t>
  </si>
  <si>
    <t>51.32.33.04</t>
  </si>
  <si>
    <t>Ultim Favorit - Toprail Short Welded 330</t>
  </si>
  <si>
    <t>8715839087574</t>
  </si>
  <si>
    <t>51.32.33.05</t>
  </si>
  <si>
    <t>Ultim Favorit - Toprail Long Welded 330</t>
  </si>
  <si>
    <t>8715839087581</t>
  </si>
  <si>
    <t>51.32.33.06</t>
  </si>
  <si>
    <t>Ultim Favorit - Toprail Corner Right 330</t>
  </si>
  <si>
    <t>8715839087598</t>
  </si>
  <si>
    <t>51.32.33.07</t>
  </si>
  <si>
    <t>Ultim Favorit - Toprail Corner Left 330</t>
  </si>
  <si>
    <t>8715839087604</t>
  </si>
  <si>
    <t>51.32.33.08</t>
  </si>
  <si>
    <t>Ultim Favorit - Middle post 330</t>
  </si>
  <si>
    <t>8715839087611</t>
  </si>
  <si>
    <t>51.32.33.09</t>
  </si>
  <si>
    <t>Ultim Favorit - Middle post 330 Black</t>
  </si>
  <si>
    <t>8715839087628</t>
  </si>
  <si>
    <t>51.32.33.10</t>
  </si>
  <si>
    <t>Ultim Favorit - W-leg 330</t>
  </si>
  <si>
    <t>8715839087635</t>
  </si>
  <si>
    <t>51.32.33.11</t>
  </si>
  <si>
    <t>Ultim Favorit - W-leg 330 Black</t>
  </si>
  <si>
    <t>8715839087642</t>
  </si>
  <si>
    <t>51.32.33.12</t>
  </si>
  <si>
    <t>Ultim Favorit - Jump Mat 330</t>
  </si>
  <si>
    <t>8715839087659</t>
  </si>
  <si>
    <t>51.30.74.27</t>
  </si>
  <si>
    <t>Ultim Safety Net Comfort - Netting 330</t>
  </si>
  <si>
    <t>8715839087666</t>
  </si>
  <si>
    <t>51.30.74.28</t>
  </si>
  <si>
    <t>Safety Net Comfort - Fasteners 330 &amp; 410 (Set for 1 Tube)</t>
  </si>
  <si>
    <t>8715839087673</t>
  </si>
  <si>
    <t>51.32.41.22</t>
  </si>
  <si>
    <t>Ultim Favorit - Regular Padding 410 Grey</t>
  </si>
  <si>
    <t>8715839087680</t>
  </si>
  <si>
    <t>51.32.41.23</t>
  </si>
  <si>
    <t>Ultim Favorit - InGround Padding 410 Grey</t>
  </si>
  <si>
    <t>8715839087697</t>
  </si>
  <si>
    <t>51.32.41.24</t>
  </si>
  <si>
    <t>Ultim Favorit - Regular Padding 410 Black</t>
  </si>
  <si>
    <t>8715839087703</t>
  </si>
  <si>
    <t>51.32.41.25</t>
  </si>
  <si>
    <t>Ultim Favorit - Middle post 410</t>
  </si>
  <si>
    <t>8715839087710</t>
  </si>
  <si>
    <t>51.32.41.26</t>
  </si>
  <si>
    <t>Ultim Favorit - Middle post 410 Black</t>
  </si>
  <si>
    <t>8715839087727</t>
  </si>
  <si>
    <t>51.32.41.27</t>
  </si>
  <si>
    <t>Ultim Favorit - W-leg 410</t>
  </si>
  <si>
    <t>8715839087734</t>
  </si>
  <si>
    <t>51.32.41.28</t>
  </si>
  <si>
    <t>Ultim Favorit - W-leg 410 Black</t>
  </si>
  <si>
    <t>8715839087741</t>
  </si>
  <si>
    <t>51.30.74.29</t>
  </si>
  <si>
    <t>Ultim Safety Net Comfort - Netting 410</t>
  </si>
  <si>
    <t>8715839087758</t>
  </si>
  <si>
    <t>51.30.82.09</t>
  </si>
  <si>
    <t>TwinHoop - Basketball</t>
  </si>
  <si>
    <t>8715839088892</t>
  </si>
  <si>
    <t>51.30.82.10</t>
  </si>
  <si>
    <t>TwinHoop - Hoop Protection Foam</t>
  </si>
  <si>
    <t>8715839088908</t>
  </si>
  <si>
    <t>51.30.82.11</t>
  </si>
  <si>
    <t>TwinHoop - Hoop Netting + Red Sleeve</t>
  </si>
  <si>
    <t>8715839088915</t>
  </si>
  <si>
    <t>51.30.82.12</t>
  </si>
  <si>
    <t>TwinHoop - Backboard Fabrics</t>
  </si>
  <si>
    <t>8715839088922</t>
  </si>
  <si>
    <t>51.30.82.13</t>
  </si>
  <si>
    <t>TwinHoop - Backboard Tent Tubes</t>
  </si>
  <si>
    <t>8715839088939</t>
  </si>
  <si>
    <t>51.30.82.14</t>
  </si>
  <si>
    <t>TwinHoop - Safety Net Pole Adapter</t>
  </si>
  <si>
    <t>8715839088946</t>
  </si>
  <si>
    <t>51.30.82.15</t>
  </si>
  <si>
    <t>TwinHoop - Plastic Cover</t>
  </si>
  <si>
    <t>8715839088953</t>
  </si>
  <si>
    <t>51.30.82.16</t>
  </si>
  <si>
    <t>TwinHoop - Assembly Set</t>
  </si>
  <si>
    <t>8715839088960</t>
  </si>
  <si>
    <t>51.32.33.13</t>
  </si>
  <si>
    <t>Ultim Champion - Fasteners 330</t>
  </si>
  <si>
    <t>8715839088977</t>
  </si>
  <si>
    <t>51.32.33.14</t>
  </si>
  <si>
    <t>Ultim Champion - Straight Frame Tube Long 330</t>
  </si>
  <si>
    <t>8715839088984</t>
  </si>
  <si>
    <t>51.32.33.15</t>
  </si>
  <si>
    <t>Ultim Champion - Straight Frame Tube Short 330</t>
  </si>
  <si>
    <t>8715839088991</t>
  </si>
  <si>
    <t>51.32.33.16</t>
  </si>
  <si>
    <t>Ultim Champion - Corner Frame Tube L 330</t>
  </si>
  <si>
    <t>8715839089004</t>
  </si>
  <si>
    <t>51.32.33.17</t>
  </si>
  <si>
    <t>Ultim Champion - Corner Frame Tube R 330</t>
  </si>
  <si>
    <t>8715839089011</t>
  </si>
  <si>
    <t>51.32.33.18</t>
  </si>
  <si>
    <t>Ultim Champion - Padding Band 330</t>
  </si>
  <si>
    <t>8715839089028</t>
  </si>
  <si>
    <t>51.32.33.19</t>
  </si>
  <si>
    <t>Ultim Champion - Padding Spring 120x40 (2x)</t>
  </si>
  <si>
    <t>8715839089035</t>
  </si>
  <si>
    <t>51.32.33.20</t>
  </si>
  <si>
    <t>Ultim Champion - FlatGround Ruler 330</t>
  </si>
  <si>
    <t>8715839089042</t>
  </si>
  <si>
    <t>51.32.50.28</t>
  </si>
  <si>
    <t>TwinSpring Pro (10x)</t>
  </si>
  <si>
    <t>8715839089905</t>
  </si>
  <si>
    <t>51.32.50.29</t>
  </si>
  <si>
    <t>Ultim Pro Bouncer - Small Rectangular Foam For Padding (2x)</t>
  </si>
  <si>
    <t>8715839089912</t>
  </si>
  <si>
    <t>51.32.50.30</t>
  </si>
  <si>
    <t>Ultim Pro Bouncer - Jump mat 500 (Airflow Pro)</t>
  </si>
  <si>
    <t>8715839089929</t>
  </si>
  <si>
    <t>51.32.50.31</t>
  </si>
  <si>
    <t>Ultim Pro Bouncer - Padding 500</t>
  </si>
  <si>
    <t>8715839089936</t>
  </si>
  <si>
    <t>51.32.50.32</t>
  </si>
  <si>
    <t>Ultim Pro B. - Rounded Corner Parts Foam For Padding (2x2)</t>
  </si>
  <si>
    <t>8715839089943</t>
  </si>
  <si>
    <t>51.32.50.33</t>
  </si>
  <si>
    <t>Ultim Pro Bouncer - Ladder</t>
  </si>
  <si>
    <t>8715839089950</t>
  </si>
  <si>
    <t>51.32.50.34</t>
  </si>
  <si>
    <t>Ultim Pro Bouncer - Middle Post 500</t>
  </si>
  <si>
    <t>8715839089967</t>
  </si>
  <si>
    <t>51.32.50.35</t>
  </si>
  <si>
    <t>Ultim Pro Bouncer - Frame Sticker Set</t>
  </si>
  <si>
    <t>8715839089974</t>
  </si>
  <si>
    <t>51.30.72.85</t>
  </si>
  <si>
    <t>Ultim Safety Net DLX XL PB - Pole Sleeves (8x)</t>
  </si>
  <si>
    <t>8715839089981</t>
  </si>
  <si>
    <t>51.30.72.86</t>
  </si>
  <si>
    <t>Ultim Safety Net DLX XL PB - Netting 500</t>
  </si>
  <si>
    <t>8715839089998</t>
  </si>
  <si>
    <t>51.36.15.00</t>
  </si>
  <si>
    <t>Hoppaa - Frame Left (Completely Assembled)</t>
  </si>
  <si>
    <t>8715839090208</t>
  </si>
  <si>
    <t>51.36.15.01</t>
  </si>
  <si>
    <t>Hoppaa - Frame Right (Completely Assembled)</t>
  </si>
  <si>
    <t>8715839090215</t>
  </si>
  <si>
    <t>51.36.15.03</t>
  </si>
  <si>
    <t>Hoppaa - Padding</t>
  </si>
  <si>
    <t>8715839090222</t>
  </si>
  <si>
    <t>51.36.15.02</t>
  </si>
  <si>
    <t>Hoppaa - Frame Middle (Completely Assembled)</t>
  </si>
  <si>
    <t>8715839090239</t>
  </si>
  <si>
    <t>51.36.15.04</t>
  </si>
  <si>
    <t>Hoppaa - TwinElastic + Clip</t>
  </si>
  <si>
    <t>8715839090246</t>
  </si>
  <si>
    <t>51.36.15.05</t>
  </si>
  <si>
    <t>Hoppaa - Jumpmat (Completely Assembled)</t>
  </si>
  <si>
    <t>8715839090253</t>
  </si>
  <si>
    <t>51.36.15.06</t>
  </si>
  <si>
    <t>Hoppaa - Bottom Net (Completely Assembled)</t>
  </si>
  <si>
    <t>8715839090260</t>
  </si>
  <si>
    <t>51.36.15.07</t>
  </si>
  <si>
    <t>Hoppaa - Handlebar Middle (Completely Assembled)</t>
  </si>
  <si>
    <t>8715839090277</t>
  </si>
  <si>
    <t>51.36.15.08</t>
  </si>
  <si>
    <t>Hoppaa - Stepping Stone - 3x</t>
  </si>
  <si>
    <t>8715839090284</t>
  </si>
  <si>
    <t>51.36.15.10</t>
  </si>
  <si>
    <t>Hoppaa - Foot L&amp;R - 3x</t>
  </si>
  <si>
    <t>8715839090291</t>
  </si>
  <si>
    <t>51.32.41.29</t>
  </si>
  <si>
    <t>Ultim Champion ECO - Padding Band 410</t>
  </si>
  <si>
    <t>8715839091595</t>
  </si>
  <si>
    <t>51.32.41.30</t>
  </si>
  <si>
    <t>Ultim Champion ECO - Padding Spring 410 (2x)</t>
  </si>
  <si>
    <t>8715839091601</t>
  </si>
  <si>
    <t>51.32.41.31</t>
  </si>
  <si>
    <t>Ultim Champion ECO - Jump mat 410</t>
  </si>
  <si>
    <t>8715839091618</t>
  </si>
  <si>
    <t>51.30.72.87</t>
  </si>
  <si>
    <t>Ultim Safety Net Deluxe XL ECO - Pole Sleeves (8x)</t>
  </si>
  <si>
    <t>8715839091625</t>
  </si>
  <si>
    <t>51.30.72.88</t>
  </si>
  <si>
    <t>Ultim Safety Net DLX XL ECO - Set Tent Tubes 410</t>
  </si>
  <si>
    <t>8715839091632</t>
  </si>
  <si>
    <t>51.30.72.89</t>
  </si>
  <si>
    <t>Ultim Safety Net DLX XL ECO -  Netting 410</t>
  </si>
  <si>
    <t>8715839091649</t>
  </si>
  <si>
    <t>51.32.41.32</t>
  </si>
  <si>
    <t>Spring To Secure Padding Strap (4x) ECO</t>
  </si>
  <si>
    <t>8715839091656</t>
  </si>
  <si>
    <t>51.30.01.30</t>
  </si>
  <si>
    <t>TwinSpring ECO (10x)</t>
  </si>
  <si>
    <t>8715839091663</t>
  </si>
  <si>
    <t>51.32.41.33</t>
  </si>
  <si>
    <t>Ultim Champion ECO - Padding Fabric 410</t>
  </si>
  <si>
    <t>8715839091694</t>
  </si>
  <si>
    <t>51.30.18.39</t>
  </si>
  <si>
    <t>Ultim Champion - Regular Middle Post 330 (1,5mm)</t>
  </si>
  <si>
    <t>8715839091793</t>
  </si>
  <si>
    <t>51.30.18.40</t>
  </si>
  <si>
    <t>Ultim Champion - Regular W-leg 330 (1,5mm)</t>
  </si>
  <si>
    <t>8715839091809</t>
  </si>
  <si>
    <t>51.30.18.41</t>
  </si>
  <si>
    <t>Ultim Champion - Regular Middle Post + W-leg 330 (1,5mm)</t>
  </si>
  <si>
    <t>8715839091816</t>
  </si>
  <si>
    <t>51.36.10.00</t>
  </si>
  <si>
    <t>Pro Launcher - Straight Frame Tube</t>
  </si>
  <si>
    <t>8715839092141</t>
  </si>
  <si>
    <t>51.36.10.01</t>
  </si>
  <si>
    <t>Pro Launcher - W-leg Left</t>
  </si>
  <si>
    <t>8715839092158</t>
  </si>
  <si>
    <t>51.36.10.02</t>
  </si>
  <si>
    <t>Pro Launcher - Frame Tube Left</t>
  </si>
  <si>
    <t>8715839092165</t>
  </si>
  <si>
    <t>51.36.10.03</t>
  </si>
  <si>
    <t>Pro Launcher - Straight Leg Left</t>
  </si>
  <si>
    <t>8715839092172</t>
  </si>
  <si>
    <t>51.36.10.04</t>
  </si>
  <si>
    <t>Pro Launcher - Straight Leg Rubber Foot + Plastic Cap (2x)</t>
  </si>
  <si>
    <t>8715839092189</t>
  </si>
  <si>
    <t>51.36.10.05</t>
  </si>
  <si>
    <t>Pro Launcher - Jumpmat</t>
  </si>
  <si>
    <t>8715839092196</t>
  </si>
  <si>
    <t>51.36.10.06</t>
  </si>
  <si>
    <t>Pro Launcher - Straight Leg Right</t>
  </si>
  <si>
    <t>8715839092202</t>
  </si>
  <si>
    <t>51.36.10.07</t>
  </si>
  <si>
    <t>Pro Launcher - W-leg Right</t>
  </si>
  <si>
    <t>8715839092219</t>
  </si>
  <si>
    <t>51.36.10.08</t>
  </si>
  <si>
    <t>Pro Launcher - W-leg Rubber Foot (2x)</t>
  </si>
  <si>
    <t>8715839092226</t>
  </si>
  <si>
    <t>51.36.10.09</t>
  </si>
  <si>
    <t>Pro Launcher - Frame Tube Right</t>
  </si>
  <si>
    <t>8715839092233</t>
  </si>
  <si>
    <t>51.36.10.10</t>
  </si>
  <si>
    <t>Pro Launcher - Padding</t>
  </si>
  <si>
    <t>8715839092240</t>
  </si>
  <si>
    <t>51.36.10.11</t>
  </si>
  <si>
    <t>Pro Launcher - Fasteners</t>
  </si>
  <si>
    <t>8715839092257</t>
  </si>
  <si>
    <t>51.36.10.12</t>
  </si>
  <si>
    <t>Pro Launcher - Carrier Bag + Foam</t>
  </si>
  <si>
    <t>8715839092264</t>
  </si>
  <si>
    <t>51.36.10.13</t>
  </si>
  <si>
    <t>SoloSpring Pro (10x)</t>
  </si>
  <si>
    <t>8715839092271</t>
  </si>
  <si>
    <t>51.30.72.90</t>
  </si>
  <si>
    <t>Ultim Safety Net DLX XL - Set Tent Tubes 5x5</t>
  </si>
  <si>
    <t>8715839092295</t>
  </si>
  <si>
    <t>51.30.72.91</t>
  </si>
  <si>
    <t>Ultim Safety Net DLX XL PB - Netting 5x5</t>
  </si>
  <si>
    <t>8715839092301</t>
  </si>
  <si>
    <t>51.32.50.43</t>
  </si>
  <si>
    <t>Ultim Pro Bouncer - Jump mat 5x5 (Airflow Pro)</t>
  </si>
  <si>
    <t>8715839092325</t>
  </si>
  <si>
    <t>51.32.50.40</t>
  </si>
  <si>
    <t>Ultim Pro Bouncer - Middle Post 5x5</t>
  </si>
  <si>
    <t>8715839092332</t>
  </si>
  <si>
    <t>51.32.50.42</t>
  </si>
  <si>
    <t>Ultim Pro Bouncer - Padding Band 5x5</t>
  </si>
  <si>
    <t>8715839092349</t>
  </si>
  <si>
    <t>51.32.50.41</t>
  </si>
  <si>
    <t>Ultim Pro Bouncer - W-leg 5x5 (L+R, Incl. Fasteners)</t>
  </si>
  <si>
    <t>8715839092356</t>
  </si>
  <si>
    <t>51.32.50.39</t>
  </si>
  <si>
    <t>Ultim Pro Bouncer - Corner Frame Tube</t>
  </si>
  <si>
    <t>8715839092363</t>
  </si>
  <si>
    <t>51.32.50.37</t>
  </si>
  <si>
    <t>Ultim Pro Bouncer - Straight Frame Tube Extension L</t>
  </si>
  <si>
    <t>8715839092370</t>
  </si>
  <si>
    <t>51.32.50.38</t>
  </si>
  <si>
    <t>Ultim Pro Bouncer - Straight Frame Tube Extension R</t>
  </si>
  <si>
    <t>8715839092387</t>
  </si>
  <si>
    <t>51.32.50.44</t>
  </si>
  <si>
    <t>Ultim Pro Bouncer 5x5 - Ladder</t>
  </si>
  <si>
    <t>8715839092653</t>
  </si>
  <si>
    <t>51.32.50.45</t>
  </si>
  <si>
    <t>8715839101232</t>
  </si>
  <si>
    <t>51.32.50.46</t>
  </si>
  <si>
    <t>Ultim Champion - Padding 16ft Grey</t>
  </si>
  <si>
    <t>8715839101249</t>
  </si>
  <si>
    <t>51.30.47.25</t>
  </si>
  <si>
    <t>Grand Champion - Jump mat 470 (TwinSpring, Airflow Pro)</t>
  </si>
  <si>
    <t>8715839101690</t>
  </si>
  <si>
    <t>51.30.35.26</t>
  </si>
  <si>
    <t>Grand Champion - Jump mat 350 (TwinSpring, Airflow Pro)</t>
  </si>
  <si>
    <t>8715839101706</t>
  </si>
  <si>
    <t>51.30.14.57</t>
  </si>
  <si>
    <t>Champion/Elite - Jumpmat Airflow Pro 430 Levels</t>
  </si>
  <si>
    <t>8715839101713</t>
  </si>
  <si>
    <t>51.30.19.51</t>
  </si>
  <si>
    <t>Grand Champion - Jump mat (TwinSpring, Airflow Pro) 520</t>
  </si>
  <si>
    <t>8715839101720</t>
  </si>
  <si>
    <t>51.36.12.00</t>
  </si>
  <si>
    <t>Fitness Trampoline - Leg Gripcap (2x)</t>
  </si>
  <si>
    <t>8715839102093</t>
  </si>
  <si>
    <t>51.36.12.01</t>
  </si>
  <si>
    <t>Fitness Trampoline - Frame Cover (2x)</t>
  </si>
  <si>
    <t>8715839102109</t>
  </si>
  <si>
    <t>51.36.12.02</t>
  </si>
  <si>
    <t>Fitness Trampoline - Jump mat</t>
  </si>
  <si>
    <t>8715839102116</t>
  </si>
  <si>
    <t>51.36.12.03</t>
  </si>
  <si>
    <t>Fitness Trampoline - Elastic band + Holder (6x)</t>
  </si>
  <si>
    <t>8715839102123</t>
  </si>
  <si>
    <t>51.30.07.08</t>
  </si>
  <si>
    <t>Favorit - Jump Mat 200 AirFlow</t>
  </si>
  <si>
    <t>8715839103236</t>
  </si>
  <si>
    <t>51.30.09.36</t>
  </si>
  <si>
    <t>Favorit - Jump Mat 270 AirFlow</t>
  </si>
  <si>
    <t>8715839103243</t>
  </si>
  <si>
    <t>51.30.11.61</t>
  </si>
  <si>
    <t>Favorit - Jump mat 330 AirFlow</t>
  </si>
  <si>
    <t>8715839103250</t>
  </si>
  <si>
    <t>51.30.12.45</t>
  </si>
  <si>
    <t>Favorit - Jump mat 380 AirFlow</t>
  </si>
  <si>
    <t>8715839103267</t>
  </si>
  <si>
    <t>51.30.14.58</t>
  </si>
  <si>
    <t>Favorit - Jump mat 430 AirFlow</t>
  </si>
  <si>
    <t>8715839103274</t>
  </si>
  <si>
    <t>51.30.14.59</t>
  </si>
  <si>
    <t>Favorit - Jump mat 430 Levels AirFlow</t>
  </si>
  <si>
    <t>8715839103281</t>
  </si>
  <si>
    <t>51.30.19.52</t>
  </si>
  <si>
    <t>Grand Favorit - Jump mat 520 AirFlow</t>
  </si>
  <si>
    <t>8715839103298</t>
  </si>
  <si>
    <t>51.32.28.19</t>
  </si>
  <si>
    <t>Ultim Favorit - Jump Mat 280 AirFlow</t>
  </si>
  <si>
    <t>8715839103304</t>
  </si>
  <si>
    <t>51.32.41.36</t>
  </si>
  <si>
    <t>Ultim Favorit - Jump Mat 410 AirFlow</t>
  </si>
  <si>
    <t>8715839103311</t>
  </si>
  <si>
    <t>51.20.00.41</t>
  </si>
  <si>
    <t>PlayBase Green - Top Frame Medium, Female - Female</t>
  </si>
  <si>
    <t>8715839105162</t>
  </si>
  <si>
    <t>51.20.00.42</t>
  </si>
  <si>
    <t>PlayBase Green - Top Frame Medium, Male - Female (+ Sticker)</t>
  </si>
  <si>
    <t>8715839105179</t>
  </si>
  <si>
    <t>51.42.00.66</t>
  </si>
  <si>
    <t>Wheel 10-spoke black 12.5x2.25-8 all terrain, Trail</t>
  </si>
  <si>
    <t>8715839105346</t>
  </si>
  <si>
    <t>51.42.00.67</t>
  </si>
  <si>
    <t>Wheel 10-spoke black 12.5x2.25-8 all terrain, traction Trail</t>
  </si>
  <si>
    <t>8715839105353</t>
  </si>
  <si>
    <t>51.42.00.68</t>
  </si>
  <si>
    <t>Tire 12.5x2.25-8 All Terrain black/beige Trail</t>
  </si>
  <si>
    <t>8715839105360</t>
  </si>
  <si>
    <t>51.80.00.13</t>
  </si>
  <si>
    <t>Proxus X1 - Front Cap</t>
  </si>
  <si>
    <t>8715839105094</t>
  </si>
  <si>
    <t>51.81.00.12</t>
  </si>
  <si>
    <t>MOOV 10 - Sticker Set Sand Beige</t>
  </si>
  <si>
    <t>8715839105384</t>
  </si>
  <si>
    <t>51.81.00.13</t>
  </si>
  <si>
    <t>MOOV 10 - Bag of Plastics Sand Beige</t>
  </si>
  <si>
    <t>8715839105391</t>
  </si>
  <si>
    <t>51.20.00.43</t>
  </si>
  <si>
    <t>PlayBase Green - Frame stickerset</t>
  </si>
  <si>
    <t>8715839105407</t>
  </si>
  <si>
    <t>51.67.01.29</t>
  </si>
  <si>
    <t>Buzzy - Basket Buzzy Pink</t>
  </si>
  <si>
    <t>8715839105254</t>
  </si>
  <si>
    <t>51.67.01.30</t>
  </si>
  <si>
    <t>Buzzy - Plastic parts Buzzy Pink</t>
  </si>
  <si>
    <t>8715839105261</t>
  </si>
  <si>
    <t>51.67.01.31</t>
  </si>
  <si>
    <t>Wheel 9x2 - Beige/Black Front</t>
  </si>
  <si>
    <t>8715839105285</t>
  </si>
  <si>
    <t>51.67.01.32</t>
  </si>
  <si>
    <t>Wheel 9x2 - Beige/Black Rear</t>
  </si>
  <si>
    <t>8715839105292</t>
  </si>
  <si>
    <t>51.67.01.33</t>
  </si>
  <si>
    <t>Buzzy - Spoiler Buzzy Green</t>
  </si>
  <si>
    <t>8715839105308</t>
  </si>
  <si>
    <t>51.67.01.34</t>
  </si>
  <si>
    <t>Buzzy - Plastic parts Buzzy Green</t>
  </si>
  <si>
    <t>8715839105278</t>
  </si>
  <si>
    <t>15.07.69.00</t>
  </si>
  <si>
    <t>Paint pin Pink RAL3015</t>
  </si>
  <si>
    <t>8715839105230</t>
  </si>
  <si>
    <t>15.07.70.00</t>
  </si>
  <si>
    <t>Paint pin Green PMS 5635C</t>
  </si>
  <si>
    <t>8715839105247</t>
  </si>
  <si>
    <t>51.20.00.31</t>
  </si>
  <si>
    <t>PlayBase Green - Top Frame Large, Female - Female</t>
  </si>
  <si>
    <t>8715839104622</t>
  </si>
  <si>
    <t>51.20.00.32</t>
  </si>
  <si>
    <t>PlayBase Green - Top Frame Large, Male - Female (+ Sticker)</t>
  </si>
  <si>
    <t>8715839104639</t>
  </si>
  <si>
    <t>51.20.00.33</t>
  </si>
  <si>
    <t>PlayBase Green - Frame Corner</t>
  </si>
  <si>
    <t>8715839104646</t>
  </si>
  <si>
    <t>51.20.00.34</t>
  </si>
  <si>
    <t>PlayBase Green - Side Frame, No Connection Point</t>
  </si>
  <si>
    <t>8715839104653</t>
  </si>
  <si>
    <t>51.20.00.35</t>
  </si>
  <si>
    <t>PlayBase Green - Side Frame, 1x  Connection Point</t>
  </si>
  <si>
    <t>8715839104660</t>
  </si>
  <si>
    <t>51.20.00.36</t>
  </si>
  <si>
    <t>PlayBase Green - Side Frame, 4x  Connection Points</t>
  </si>
  <si>
    <t>8715839104677</t>
  </si>
  <si>
    <t>51.20.00.37</t>
  </si>
  <si>
    <t>PlayBase Green - Side Frame, 3x  Connection Points</t>
  </si>
  <si>
    <t>8715839104684</t>
  </si>
  <si>
    <t>51.20.00.38</t>
  </si>
  <si>
    <t>PlayBase Green - Underground Frame, Connection Bar</t>
  </si>
  <si>
    <t>8715839104691</t>
  </si>
  <si>
    <t>51.20.00.39</t>
  </si>
  <si>
    <t>PlayBase Green - Monkey Bar, Square hole for Swing Knob</t>
  </si>
  <si>
    <t>8715839104707</t>
  </si>
  <si>
    <t>51.20.00.40</t>
  </si>
  <si>
    <t>PlayBase Green - Ladder Rung, Tumble Bar</t>
  </si>
  <si>
    <t>8715839104714</t>
  </si>
  <si>
    <t>51.36.01.02</t>
  </si>
  <si>
    <t>AirTrack - Electric Pump</t>
  </si>
  <si>
    <t>8715839103786</t>
  </si>
  <si>
    <t>51.36.12.05</t>
  </si>
  <si>
    <t>Fitness Trampoline - Fasteners (6x)</t>
  </si>
  <si>
    <t>8715839103809</t>
  </si>
  <si>
    <t>51.75.00.65</t>
  </si>
  <si>
    <t>Biky - Logo + Sleeves Cross Green</t>
  </si>
  <si>
    <t>8715839104790</t>
  </si>
  <si>
    <t>51.75.00.66</t>
  </si>
  <si>
    <t>Biky - Sticker set Cross Green</t>
  </si>
  <si>
    <t>8715839104806</t>
  </si>
  <si>
    <t>51.75.00.67</t>
  </si>
  <si>
    <t>Biky - Logo + Sleeves Trail Sand</t>
  </si>
  <si>
    <t>8715839104813</t>
  </si>
  <si>
    <t>51.75.00.68</t>
  </si>
  <si>
    <t>Biky - Sticker set Trail Sand</t>
  </si>
  <si>
    <t>8715839104820</t>
  </si>
  <si>
    <t>51.30.82.22</t>
  </si>
  <si>
    <t>TwinHoop - Fastners set</t>
  </si>
  <si>
    <t>8715839104868</t>
  </si>
  <si>
    <t>51.90.00.00</t>
  </si>
  <si>
    <t>Dash 14 - Tire 14x1.75</t>
  </si>
  <si>
    <t>8715839104875</t>
  </si>
  <si>
    <t>51.90.00.01</t>
  </si>
  <si>
    <t>Dash 14/16 - Bike Grips</t>
  </si>
  <si>
    <t>8715839104882</t>
  </si>
  <si>
    <t>51.90.00.02</t>
  </si>
  <si>
    <t>Dash 14/16 - Set of Plastic Parts</t>
  </si>
  <si>
    <t>8715839104899</t>
  </si>
  <si>
    <t>51.90.00.03</t>
  </si>
  <si>
    <t>Dash 14 - Chain guard</t>
  </si>
  <si>
    <t>8715839104905</t>
  </si>
  <si>
    <t>51.90.00.04</t>
  </si>
  <si>
    <t>Dash 14 - Saddle</t>
  </si>
  <si>
    <t>8715839104912</t>
  </si>
  <si>
    <t>51.90.00.05</t>
  </si>
  <si>
    <t>Dash 14/16 - Seat Clamp</t>
  </si>
  <si>
    <t>8715839104929</t>
  </si>
  <si>
    <t>51.90.00.06</t>
  </si>
  <si>
    <t>Dash 14 - Front Wheel</t>
  </si>
  <si>
    <t>8715839104936</t>
  </si>
  <si>
    <t>51.90.00.07</t>
  </si>
  <si>
    <t>Dash 14 - Rear Wheel</t>
  </si>
  <si>
    <t>8715839104943</t>
  </si>
  <si>
    <t>51.90.00.08</t>
  </si>
  <si>
    <t>Dash 14/16 - Headset</t>
  </si>
  <si>
    <t>8715839104950</t>
  </si>
  <si>
    <t>51.90.00.09</t>
  </si>
  <si>
    <t>Dash 14 - Crankset</t>
  </si>
  <si>
    <t>8715839104967</t>
  </si>
  <si>
    <t>51.90.00.10</t>
  </si>
  <si>
    <t>Dash 14/16 - Steering Limiter</t>
  </si>
  <si>
    <t>8715839104974</t>
  </si>
  <si>
    <t>15.07.67.00</t>
  </si>
  <si>
    <t>Paint pin Blue Process Blue</t>
  </si>
  <si>
    <t>8715839105018</t>
  </si>
  <si>
    <t>15.07.68.00</t>
  </si>
  <si>
    <t>Paint pin Pink PMS 218 C</t>
  </si>
  <si>
    <t>8715839105025</t>
  </si>
  <si>
    <t>51.16.00.11</t>
  </si>
  <si>
    <t>BERG Handbrake Buddy Bearings and Fasteners</t>
  </si>
  <si>
    <t>8715839105827</t>
  </si>
  <si>
    <t>51.24.20.95</t>
  </si>
  <si>
    <t>Buddy 2.0 - Sticker set Cross Black</t>
  </si>
  <si>
    <t>8715839105742</t>
  </si>
  <si>
    <t>51.24.20.99</t>
  </si>
  <si>
    <t>Buddy 2.0 - Sticker set Purple</t>
  </si>
  <si>
    <t>8715839105780</t>
  </si>
  <si>
    <t>51.42.00.93</t>
  </si>
  <si>
    <t>Wheel 10-spoke black 12.5x2.25-8 all terrain, traction</t>
  </si>
  <si>
    <t>8715839105797</t>
  </si>
  <si>
    <t>51.42.00.94</t>
  </si>
  <si>
    <t>Wheel 10-spoke black 12.5x2.25-8 all terrain</t>
  </si>
  <si>
    <t>8715839105803</t>
  </si>
  <si>
    <t>51.75.00.69</t>
  </si>
  <si>
    <t>Biky - Logo + Sleeves Cross Red</t>
  </si>
  <si>
    <t>8715839105834</t>
  </si>
  <si>
    <t>51.75.00.70</t>
  </si>
  <si>
    <t>Biky - Sticker Set Cross Red Handbrake</t>
  </si>
  <si>
    <t>8715839105841</t>
  </si>
  <si>
    <t>Pricelist Trampolines</t>
  </si>
  <si>
    <t>Trampoline Regular + Safety net</t>
  </si>
  <si>
    <t>BERG Favorit - Regular + Safety Net Comfort</t>
  </si>
  <si>
    <t>35.07.33.02</t>
  </si>
  <si>
    <t>BERG Favorit Regular 200 Grey + Safety Net Comfort</t>
  </si>
  <si>
    <t>8715839102512</t>
  </si>
  <si>
    <t>35.09.33.02</t>
  </si>
  <si>
    <t>BERG Favorit Regular 270 Grey + Safety Net Comfort</t>
  </si>
  <si>
    <t>8715839102543</t>
  </si>
  <si>
    <t>35.11.33.02</t>
  </si>
  <si>
    <t>BERG Favorit Regular 330 Grey + Safety Net Comfort</t>
  </si>
  <si>
    <t>8715839102581</t>
  </si>
  <si>
    <t>35.11.37.02</t>
  </si>
  <si>
    <t>BERG Favorit Regular 330 Green + Safety Net Comfort</t>
  </si>
  <si>
    <t>8715839102598</t>
  </si>
  <si>
    <t>35.12.94.03</t>
  </si>
  <si>
    <t>BERG Favorit Regular 380 Grey + Safety Net Comfort</t>
  </si>
  <si>
    <t>8715839102680</t>
  </si>
  <si>
    <t>35.12.95.04</t>
  </si>
  <si>
    <t>BERG Favorit Regular 380 Black + Safety Net Comfort</t>
  </si>
  <si>
    <t>8715839102697</t>
  </si>
  <si>
    <t>35.12.01.05</t>
  </si>
  <si>
    <t>BERG Favorit Regular 380 Green + Safety Net Comfort</t>
  </si>
  <si>
    <t>8715839102703</t>
  </si>
  <si>
    <t>35.14.94.03</t>
  </si>
  <si>
    <t>BERG Favorit Regular 430 Grey + Safety Net Comfort</t>
  </si>
  <si>
    <t>8715839102802</t>
  </si>
  <si>
    <t>35.14.95.04</t>
  </si>
  <si>
    <t>BERG Favorit Regular 430 Black + Safety Net Comfort</t>
  </si>
  <si>
    <t>8715839102826</t>
  </si>
  <si>
    <t>35.14.02.05</t>
  </si>
  <si>
    <t>BERG Favorit Regular 430 Green + Safety Net Comfort</t>
  </si>
  <si>
    <t>8715839102833</t>
  </si>
  <si>
    <t>35.14.99.03</t>
  </si>
  <si>
    <t>BERG Favorit Regular 430 Grey Levels + Safety Net Comfort</t>
  </si>
  <si>
    <t>8715839102840</t>
  </si>
  <si>
    <t>BERG Champion - Regular + Safety Net Deluxe</t>
  </si>
  <si>
    <t>35.41.93.04</t>
  </si>
  <si>
    <t>BERG Champion Regular 330 Grey + Safety Net Deluxe</t>
  </si>
  <si>
    <t>8715839101065</t>
  </si>
  <si>
    <t>35.42.93.04</t>
  </si>
  <si>
    <t>BERG Champion Regular 380 Grey + Safety Net Deluxe</t>
  </si>
  <si>
    <t>8715839101072</t>
  </si>
  <si>
    <t>35.44.93.04</t>
  </si>
  <si>
    <t>BERG Champion Regular 430 Grey + Safety Net Deluxe</t>
  </si>
  <si>
    <t>8715839101089</t>
  </si>
  <si>
    <t>35.44.99.04</t>
  </si>
  <si>
    <t>BERG Champion Regular 430 Grey Levels + Safety Net Deluxe</t>
  </si>
  <si>
    <t>8715839101096</t>
  </si>
  <si>
    <t>35.44.88.02</t>
  </si>
  <si>
    <t>BERG Champion Regular 430 Grey + Safety Net DLX XL</t>
  </si>
  <si>
    <t>8715839101492</t>
  </si>
  <si>
    <t>35.44.89.02</t>
  </si>
  <si>
    <t>BERG Champion Regular 430 Grey Levels + Safety Net DLX XL</t>
  </si>
  <si>
    <t>8715839101102</t>
  </si>
  <si>
    <t>BERG Elite - Regular + Safety Net Deluxe</t>
  </si>
  <si>
    <t>37.81.03.03</t>
  </si>
  <si>
    <t>BERG Elite Regular 330 Grey + Safety Net Deluxe</t>
  </si>
  <si>
    <t>8715839101119</t>
  </si>
  <si>
    <t>37.82.03.03</t>
  </si>
  <si>
    <t>BERG Elite Regular 380 Grey + Safety Net Deluxe</t>
  </si>
  <si>
    <t>8715839101126</t>
  </si>
  <si>
    <t>37.84.03.03</t>
  </si>
  <si>
    <t>BERG Elite Regular 430 Grey + Safety Net Deluxe</t>
  </si>
  <si>
    <t>8715839101133</t>
  </si>
  <si>
    <t>37.84.13.04</t>
  </si>
  <si>
    <t>BERG Elite Regular 430 Grey Levels + Safety Net Deluxe</t>
  </si>
  <si>
    <t>8715839101140</t>
  </si>
  <si>
    <t>37.84.23.02</t>
  </si>
  <si>
    <t>BERG Elite Regular 430 Grey + Safety Net DLX XL</t>
  </si>
  <si>
    <t>8715839101157</t>
  </si>
  <si>
    <t>37.84.33.02</t>
  </si>
  <si>
    <t>BERG Elite Regular 430 Grey Levels + Safety Net DLX XL</t>
  </si>
  <si>
    <t>8715839101164</t>
  </si>
  <si>
    <t>BERG Grand Favorit - Regular + Safety Net Comfort</t>
  </si>
  <si>
    <t>30.25.65.33</t>
  </si>
  <si>
    <t>BERG Grand Favorit Regular 520 Grey + Safety Net Comfort</t>
  </si>
  <si>
    <t>8715839102963</t>
  </si>
  <si>
    <t>30.25.65.42</t>
  </si>
  <si>
    <t>BERG Grand Favorit Regular 520 Black + Safety Net Comfort</t>
  </si>
  <si>
    <t>8715839102970</t>
  </si>
  <si>
    <t>30.25.65.73</t>
  </si>
  <si>
    <t>BERG Grand Favorit Regular 520 Green + Safety Net Comfort</t>
  </si>
  <si>
    <t>8715839102987</t>
  </si>
  <si>
    <t>BERG Grand Champion - Regular + Safety Net Deluxe</t>
  </si>
  <si>
    <t>30.35.73.32</t>
  </si>
  <si>
    <t>BERG Grand Champion Regular 350 Grey + Safety Net Deluxe</t>
  </si>
  <si>
    <t>8715839101171</t>
  </si>
  <si>
    <t>30.35.74.32</t>
  </si>
  <si>
    <t>BERG Grand Champion Regular 470 Grey + Safety Net Deluxe</t>
  </si>
  <si>
    <t>8715839101188</t>
  </si>
  <si>
    <t>30.35.75.33</t>
  </si>
  <si>
    <t>BERG Grand Champion Regular 520 Grey + Safety Net Deluxe</t>
  </si>
  <si>
    <t>8715839101195</t>
  </si>
  <si>
    <t>30.35.95.32</t>
  </si>
  <si>
    <t>BERG Grand Champion Regular 520 Grey + Safety Net DLX XL</t>
  </si>
  <si>
    <t>8715839101201</t>
  </si>
  <si>
    <t>BERG Grand Elite - Regular + Safety Net Deluxe</t>
  </si>
  <si>
    <t>30.45.75.33</t>
  </si>
  <si>
    <t>BERG Grand Elite Regular 520 Grey + Safety Net Deluxe</t>
  </si>
  <si>
    <t>8715839101218</t>
  </si>
  <si>
    <t>30.45.95.32</t>
  </si>
  <si>
    <t>BERG Grand Elite Regular 520 Grey + Safety Net DLX XL</t>
  </si>
  <si>
    <t>8715839101485</t>
  </si>
  <si>
    <t>BERG Ultim Favorit - Regular + Safety Net Comfort</t>
  </si>
  <si>
    <t>32.25.62.33</t>
  </si>
  <si>
    <t>BERG Ultim Favorit Regular 280 Grey + Safety Net Comfort</t>
  </si>
  <si>
    <t>8715839103045</t>
  </si>
  <si>
    <t>32.25.62.43</t>
  </si>
  <si>
    <t>BERG Ultim Favorit Regular 280 Black + Safety Net Comfort</t>
  </si>
  <si>
    <t>8715839103052</t>
  </si>
  <si>
    <t>32.25.62.73</t>
  </si>
  <si>
    <t>BERG Ultim Favorit Regular 280 Green + Safety Net Comfort</t>
  </si>
  <si>
    <t>8715839103069</t>
  </si>
  <si>
    <t>32.25.63.32</t>
  </si>
  <si>
    <t>BERG Ultim Favorit Regular 330 Grey + Safety Net Comfort</t>
  </si>
  <si>
    <t>8715839103137</t>
  </si>
  <si>
    <t>32.25.63.42</t>
  </si>
  <si>
    <t>BERG Ultim Favorit Regular 330 Black + Safety Net Comfort</t>
  </si>
  <si>
    <t>8715839103144</t>
  </si>
  <si>
    <t>32.25.64.32</t>
  </si>
  <si>
    <t>BERG Ultim Favorit Regular 410 Grey + Safety Net Comfort</t>
  </si>
  <si>
    <t>8715839103212</t>
  </si>
  <si>
    <t>32.25.64.42</t>
  </si>
  <si>
    <t>BERG Ultim Favorit Regular 410 Black + Safety Net Comfort</t>
  </si>
  <si>
    <t>8715839103229</t>
  </si>
  <si>
    <t>BERG Ultim Champion - Regular + Safety Net Deluxe</t>
  </si>
  <si>
    <t>32.35.73.32</t>
  </si>
  <si>
    <t>BERG Ultim Champion Regular 330 Grey + Safety Net Deluxe</t>
  </si>
  <si>
    <t>8715839084740</t>
  </si>
  <si>
    <t>32.35.94.31</t>
  </si>
  <si>
    <t>BERG Ultim Champion Regular 410 Grey + Safety Net DLX XL</t>
  </si>
  <si>
    <t>8715839077490</t>
  </si>
  <si>
    <t>32.35.94.71</t>
  </si>
  <si>
    <t>BERG Ultim Champion Regular 410 Green + Safety Net DLX XL</t>
  </si>
  <si>
    <t>8715839077506</t>
  </si>
  <si>
    <t>32.35.94.10</t>
  </si>
  <si>
    <t>BERG Ultim Champion ECO Regular 410 + Safety Net DLX XL</t>
  </si>
  <si>
    <t>8715839090864</t>
  </si>
  <si>
    <t>32.35.95.30</t>
  </si>
  <si>
    <t>BERG Ultim Champion Regular 500 Grey + Safety Net DLX XL</t>
  </si>
  <si>
    <t>8715839084887</t>
  </si>
  <si>
    <t>BERG Ultim Elite - Regular + Safety Net Deluxe</t>
  </si>
  <si>
    <t>32.45.95.31</t>
  </si>
  <si>
    <t>BERG Ultim Elite Regular 500 Grey + Safety Net DLX XL</t>
  </si>
  <si>
    <t>8715839077582</t>
  </si>
  <si>
    <t>BERG Ultim Pro Bouncer - Regular + Safety Net Deluxe</t>
  </si>
  <si>
    <t>32.55.95.30</t>
  </si>
  <si>
    <t>BERG SPORTS Ultim Pro Bouncer Regular 500 + Safety Net XL</t>
  </si>
  <si>
    <t>8715839086294</t>
  </si>
  <si>
    <t>32.55.96.30</t>
  </si>
  <si>
    <t>BERG SPORTS Ultim Pro Bouncer Regular 5x5 + Safety Net XL</t>
  </si>
  <si>
    <t>8715839090802</t>
  </si>
  <si>
    <t>Trampoline InGround + Safety net</t>
  </si>
  <si>
    <t>BERG Favorit - InGround + Safety Net Comfort</t>
  </si>
  <si>
    <t>35.07.23.02</t>
  </si>
  <si>
    <t>BERG Favorit InGround 200 Grey + Safety Net Comfort</t>
  </si>
  <si>
    <t>8715839102505</t>
  </si>
  <si>
    <t>35.09.23.02</t>
  </si>
  <si>
    <t>BERG Favorit InGround 270 Grey + Safety Net Comfort</t>
  </si>
  <si>
    <t>8715839102536</t>
  </si>
  <si>
    <t>35.11.23.02</t>
  </si>
  <si>
    <t>BERG Favorit InGround 330 Grey + Safety Net Comfort</t>
  </si>
  <si>
    <t>8715839102567</t>
  </si>
  <si>
    <t>35.11.27.02</t>
  </si>
  <si>
    <t>BERG Favorit InGround 330 Green + Safety Net Comfort</t>
  </si>
  <si>
    <t>8715839102574</t>
  </si>
  <si>
    <t>35.12.92.03</t>
  </si>
  <si>
    <t>BERG Favorit InGround 380 Grey + Safety Net Comfort</t>
  </si>
  <si>
    <t>8715839102710</t>
  </si>
  <si>
    <t>35.12.96.04</t>
  </si>
  <si>
    <t>BERG Favorit InGround 380 Black + Safety Net Comfort</t>
  </si>
  <si>
    <t>8715839102727</t>
  </si>
  <si>
    <t>35.12.04.04</t>
  </si>
  <si>
    <t>BERG Favorit InGround 380 Green + Safety Net Comfort</t>
  </si>
  <si>
    <t>8715839102734</t>
  </si>
  <si>
    <t>35.14.92.03</t>
  </si>
  <si>
    <t>BERG Favorit InGround 430 Grey + Safety Net Comfort</t>
  </si>
  <si>
    <t>8715839102857</t>
  </si>
  <si>
    <t>35.14.96.04</t>
  </si>
  <si>
    <t>BERG Favorit InGround 430 Black + Safety Net Comfort</t>
  </si>
  <si>
    <t>8715839102864</t>
  </si>
  <si>
    <t>35.14.09.04</t>
  </si>
  <si>
    <t>BERG Favorit InGround 430 Green + Safety Net Comfort</t>
  </si>
  <si>
    <t>8715839102871</t>
  </si>
  <si>
    <t>BERG Champion - InGround + Safety Net Deluxe</t>
  </si>
  <si>
    <t>35.41.91.04</t>
  </si>
  <si>
    <t>BERG Champion InGround 330 Grey + Safety Net Deluxe</t>
  </si>
  <si>
    <t>8715839101263</t>
  </si>
  <si>
    <t>35.42.91.04</t>
  </si>
  <si>
    <t>BERG Champion InGround 380 Grey + Safety Net Deluxe</t>
  </si>
  <si>
    <t>8715839101270</t>
  </si>
  <si>
    <t>35.44.91.04</t>
  </si>
  <si>
    <t>BERG Champion InGround 430 Grey + Safety Net Deluxe</t>
  </si>
  <si>
    <t>8715839101294</t>
  </si>
  <si>
    <t>35.44.87.02</t>
  </si>
  <si>
    <t>BERG Champion InGround 430 Grey + Safety Net DLX XL</t>
  </si>
  <si>
    <t>8715839101287</t>
  </si>
  <si>
    <t>BERG Elite - InGround + Safety Net Deluxe</t>
  </si>
  <si>
    <t>37.91.03.03</t>
  </si>
  <si>
    <t>BERG Elite InGround 330 Grey + Safety Net Deluxe</t>
  </si>
  <si>
    <t>8715839101300</t>
  </si>
  <si>
    <t>37.92.03.03</t>
  </si>
  <si>
    <t>BERG Elite InGround 380 Grey + Safety Net Deluxe</t>
  </si>
  <si>
    <t>8715839101317</t>
  </si>
  <si>
    <t>37.94.03.03</t>
  </si>
  <si>
    <t>BERG Elite InGround 430 Grey + Safety Net Deluxe</t>
  </si>
  <si>
    <t>8715839101478</t>
  </si>
  <si>
    <t>37.94.13.04</t>
  </si>
  <si>
    <t>BERG Elite InGround 430 Grey Levels + Safety Net Deluxe</t>
  </si>
  <si>
    <t>8715839101324</t>
  </si>
  <si>
    <t>37.94.23.02</t>
  </si>
  <si>
    <t>BERG Elite InGround 430 Grey + Safety Net DLX XL</t>
  </si>
  <si>
    <t>8715839101331</t>
  </si>
  <si>
    <t>37.94.33.02</t>
  </si>
  <si>
    <t>BERG Elite InGround 430 Grey Levels + Safety Net DLX XL</t>
  </si>
  <si>
    <t>8715839101348</t>
  </si>
  <si>
    <t>BERG Grand Favorit - InGround + Safety Net Comfort</t>
  </si>
  <si>
    <t>30.23.65.33</t>
  </si>
  <si>
    <t>BERG Grand Favorit InGround 520 Grey + Safety Net Comfort</t>
  </si>
  <si>
    <t>8715839102901</t>
  </si>
  <si>
    <t>30.23.65.42</t>
  </si>
  <si>
    <t>BERG Grand Favorit InGround 520 Black + Safety Net Comfort</t>
  </si>
  <si>
    <t>8715839102918</t>
  </si>
  <si>
    <t>30.23.65.73</t>
  </si>
  <si>
    <t>BERG Grand Favorit InGround 520 Green + Safety Net Comfort</t>
  </si>
  <si>
    <t>8715839102925</t>
  </si>
  <si>
    <t>BERG Grand Champion - InGround + Safety Net Deluxe</t>
  </si>
  <si>
    <t>30.33.73.32</t>
  </si>
  <si>
    <t>BERG Grand Champion InGround 350 Grey + Safety Net Deluxe</t>
  </si>
  <si>
    <t>8715839101355</t>
  </si>
  <si>
    <t>30.33.74.32</t>
  </si>
  <si>
    <t>BERG Grand Champion InGround 470 Grey + Safety Net Deluxe</t>
  </si>
  <si>
    <t>8715839101362</t>
  </si>
  <si>
    <t>30.33.75.33</t>
  </si>
  <si>
    <t>BERG Grand Champion InGround 520 Grey + Safety Net Deluxe</t>
  </si>
  <si>
    <t>8715839101379</t>
  </si>
  <si>
    <t>30.33.95.32</t>
  </si>
  <si>
    <t>BERG Grand Champion InGround 520 Grey + Safety Net DLX XL</t>
  </si>
  <si>
    <t>8715839101386</t>
  </si>
  <si>
    <t>BERG Grand Elite - InGround + Safety Net Deluxe</t>
  </si>
  <si>
    <t>30.43.75.33</t>
  </si>
  <si>
    <t>BERG Grand Elite InGround 520 Grey + Safety Net Deluxe</t>
  </si>
  <si>
    <t>8715839101416</t>
  </si>
  <si>
    <t>30.43.95.32</t>
  </si>
  <si>
    <t>BERG Grand Elite InGround 520 Grey + Safety Net DLX XL</t>
  </si>
  <si>
    <t>8715839101409</t>
  </si>
  <si>
    <t>BERG Ultim Favorit - InGround + Safety Net Comfort</t>
  </si>
  <si>
    <t>32.23.62.32</t>
  </si>
  <si>
    <t>BERG Ultim Favorit InGround 280 Grey + Safety Net Comfort</t>
  </si>
  <si>
    <t>8715839103021</t>
  </si>
  <si>
    <t>32.23.62.43</t>
  </si>
  <si>
    <t>BERG Ultim Favorit InGround 280 Black + Safety Net Comfort</t>
  </si>
  <si>
    <t>8715839103342</t>
  </si>
  <si>
    <t>32.23.62.72</t>
  </si>
  <si>
    <t>BERG Ultim Favorit InGround 280 Green + Safety Net Comfort</t>
  </si>
  <si>
    <t>8715839103038</t>
  </si>
  <si>
    <t>32.23.63.32</t>
  </si>
  <si>
    <t>BERG Ultim Favorit InGround 330 Grey + Safety Net Comfort</t>
  </si>
  <si>
    <t>8715839103090</t>
  </si>
  <si>
    <t>32.23.63.42</t>
  </si>
  <si>
    <t>BERG Ultim Favorit InGround 330 Black + Safety Net Comfort</t>
  </si>
  <si>
    <t>8715839103106</t>
  </si>
  <si>
    <t>32.23.64.32</t>
  </si>
  <si>
    <t>BERG Ultim Favorit InGround 410 Grey + Safety Net Comfort</t>
  </si>
  <si>
    <t>8715839103175</t>
  </si>
  <si>
    <t>32.23.64.42</t>
  </si>
  <si>
    <t>BERG Ultim Favorit InGround 410 Black + Safety Net Comfort</t>
  </si>
  <si>
    <t>8715839103182</t>
  </si>
  <si>
    <t>BERG Ultim Champion - InGround + Safety Net Deluxe</t>
  </si>
  <si>
    <t>32.33.73.32</t>
  </si>
  <si>
    <t>BERG Ultim Champion InGround 330 Grey + Safety Net Deluxe</t>
  </si>
  <si>
    <t>8715839084764</t>
  </si>
  <si>
    <t>Trampoline FlatGround + Safety Net Deluxe</t>
  </si>
  <si>
    <t>BERG Ultim Champion - FlatGround + Safety Net Deluxe</t>
  </si>
  <si>
    <t>32.31.94.31</t>
  </si>
  <si>
    <t>BERG Ultim Champion FlatGround 410 Grey + Safety Net DLX XL</t>
  </si>
  <si>
    <t>8715839077476</t>
  </si>
  <si>
    <t>32.31.94.71</t>
  </si>
  <si>
    <t>BERG Ultim Champion FlatGround 410 Green + Safety Net DLX XL</t>
  </si>
  <si>
    <t>8715839077483</t>
  </si>
  <si>
    <t>32.31.94.10</t>
  </si>
  <si>
    <t>BERG Ultim Champion ECO FlatGround 410 + Safety Net DLX XL</t>
  </si>
  <si>
    <t>8715839090871</t>
  </si>
  <si>
    <t>32.31.95.30</t>
  </si>
  <si>
    <t>BERG Ultim Champion FlatGround 500 Grey + Safety Net DLX XL</t>
  </si>
  <si>
    <t>8715839084900</t>
  </si>
  <si>
    <t>BERG Ultim Elite - FlatGround + Safety Net Deluxe</t>
  </si>
  <si>
    <t>32.41.95.31</t>
  </si>
  <si>
    <t>BERG Ultim Elite FlatGround 500 Grey + Safety Net DLX XL</t>
  </si>
  <si>
    <t>8715839077575</t>
  </si>
  <si>
    <t>Trampoline  Sport</t>
  </si>
  <si>
    <t>InGround</t>
  </si>
  <si>
    <t>BERG Favorit - InGround</t>
  </si>
  <si>
    <t>35.07.53.02</t>
  </si>
  <si>
    <t>BERG SPORTS Favorit InGround 200 Grey</t>
  </si>
  <si>
    <t>8715839102529</t>
  </si>
  <si>
    <t>35.09.53.02</t>
  </si>
  <si>
    <t>BERG SPORTS Favorit InGround 270 Grey</t>
  </si>
  <si>
    <t>8715839102550</t>
  </si>
  <si>
    <t>35.11.53.02</t>
  </si>
  <si>
    <t>BERG SPORTS Favorit InGround 330 Grey</t>
  </si>
  <si>
    <t>8715839102604</t>
  </si>
  <si>
    <t>35.11.57.02</t>
  </si>
  <si>
    <t>BERG SPORTS Favorit InGround 330 Green</t>
  </si>
  <si>
    <t>8715839102611</t>
  </si>
  <si>
    <t>35.12.43.02</t>
  </si>
  <si>
    <t>BERG SPORTS Favorit InGround 380 Grey</t>
  </si>
  <si>
    <t>8715839102659</t>
  </si>
  <si>
    <t>35.12.44.03</t>
  </si>
  <si>
    <t>BERG SPORTS Favorit InGround 380 Black</t>
  </si>
  <si>
    <t>8715839102666</t>
  </si>
  <si>
    <t>35.12.47.04</t>
  </si>
  <si>
    <t>BERG SPORTS Favorit InGround 380 Green</t>
  </si>
  <si>
    <t>8715839102673</t>
  </si>
  <si>
    <t>35.14.43.02</t>
  </si>
  <si>
    <t>BERG SPORTS Favorit InGround 430 Grey</t>
  </si>
  <si>
    <t>8715839102789</t>
  </si>
  <si>
    <t>35.14.44.03</t>
  </si>
  <si>
    <t>BERG SPORTS Favorit InGround 430 Black</t>
  </si>
  <si>
    <t>8715839102796</t>
  </si>
  <si>
    <t>35.14.47.04</t>
  </si>
  <si>
    <t>BERG SPORTS Favorit InGround 430 Green</t>
  </si>
  <si>
    <t>8715839102819</t>
  </si>
  <si>
    <t>BERG Champion - InGround</t>
  </si>
  <si>
    <t>35.41.53.03</t>
  </si>
  <si>
    <t>BERG SPORTS Champion InGround 330 Grey</t>
  </si>
  <si>
    <t>8715839100815</t>
  </si>
  <si>
    <t>35.42.53.03</t>
  </si>
  <si>
    <t>BERG SPORTS Champion InGround 380 Grey</t>
  </si>
  <si>
    <t>8715839100822</t>
  </si>
  <si>
    <t>35.44.53.03</t>
  </si>
  <si>
    <t>BERG SPORTS Champion InGround 430 Grey</t>
  </si>
  <si>
    <t>8715839100839</t>
  </si>
  <si>
    <t>BERG Elite - InGround</t>
  </si>
  <si>
    <t>37.51.03.02</t>
  </si>
  <si>
    <t>BERG SPORTS Elite InGround 330 Grey</t>
  </si>
  <si>
    <t>8715839100846</t>
  </si>
  <si>
    <t>37.52.03.02</t>
  </si>
  <si>
    <t>BERG SPORTS Elite InGround 380 Grey</t>
  </si>
  <si>
    <t>8715839100853</t>
  </si>
  <si>
    <t>37.54.03.02</t>
  </si>
  <si>
    <t>BERG SPORTS Elite InGround 430 Grey</t>
  </si>
  <si>
    <t>8715839100860</t>
  </si>
  <si>
    <t>BERG Grand Favorit - InGround</t>
  </si>
  <si>
    <t>30.23.15.32</t>
  </si>
  <si>
    <t>BERG SPORTS Grand Favorit InGround 520 Grey</t>
  </si>
  <si>
    <t>8715839102888</t>
  </si>
  <si>
    <t>30.23.15.42</t>
  </si>
  <si>
    <t>BERG SPORTS Grand Favorit InGround 520 Black</t>
  </si>
  <si>
    <t>8715839103328</t>
  </si>
  <si>
    <t>30.23.15.72</t>
  </si>
  <si>
    <t>BERG SPORTS Grand Favorit InGround 520 Green</t>
  </si>
  <si>
    <t>8715839102895</t>
  </si>
  <si>
    <t>BERG Grand Champion - InGround</t>
  </si>
  <si>
    <t>30.33.13.32</t>
  </si>
  <si>
    <t>BERG SPORTS Grand Champion InGround 350 Grey</t>
  </si>
  <si>
    <t>8715839100877</t>
  </si>
  <si>
    <t>30.33.14.32</t>
  </si>
  <si>
    <t>BERG SPORTS Grand Champion InGround 470 Grey</t>
  </si>
  <si>
    <t>8715839100884</t>
  </si>
  <si>
    <t>30.33.25.32</t>
  </si>
  <si>
    <t>BERG SPORTS Grand Champion InGround 520 Grey</t>
  </si>
  <si>
    <t>8715839101393</t>
  </si>
  <si>
    <t>BERG Grand Elite - InGround</t>
  </si>
  <si>
    <t>30.43.25.32</t>
  </si>
  <si>
    <t>BERG SPORTS Grand Elite InGround 520 Grey</t>
  </si>
  <si>
    <t>8715839101423</t>
  </si>
  <si>
    <t>BERG Ultim Favorit - InGround</t>
  </si>
  <si>
    <t>32.23.12.32</t>
  </si>
  <si>
    <t>BERG SPORTS Ultim Favorit InGround 280 Grey</t>
  </si>
  <si>
    <t>8715839102994</t>
  </si>
  <si>
    <t>32.23.12.43</t>
  </si>
  <si>
    <t>BERG SPORTS Ultim Favorit InGround 280 Black</t>
  </si>
  <si>
    <t>8715839103007</t>
  </si>
  <si>
    <t>32.23.12.72</t>
  </si>
  <si>
    <t>BERG SPORTS Ultim Favorit InGround 280 Green</t>
  </si>
  <si>
    <t>8715839103014</t>
  </si>
  <si>
    <t>32.23.13.32</t>
  </si>
  <si>
    <t>BERG SPORTS Ultim Favorit InGround 330 Grey</t>
  </si>
  <si>
    <t>8715839103076</t>
  </si>
  <si>
    <t>32.23.13.42</t>
  </si>
  <si>
    <t>BERG SPORTS Ultim Favorit InGround 330 Black</t>
  </si>
  <si>
    <t>8715839103083</t>
  </si>
  <si>
    <t>32.23.14.32</t>
  </si>
  <si>
    <t>BERG SPORTS Ultim Favorit InGround 410 Grey</t>
  </si>
  <si>
    <t>8715839103151</t>
  </si>
  <si>
    <t>BERG Ultim Champion - InGround</t>
  </si>
  <si>
    <t>32.33.13.31</t>
  </si>
  <si>
    <t>BERG SPORTS Ultim Champion InGround 330 Grey</t>
  </si>
  <si>
    <t>8715839083019</t>
  </si>
  <si>
    <t>FlatGround</t>
  </si>
  <si>
    <t>BERG Champion FlatGround</t>
  </si>
  <si>
    <t>38.11.03.01</t>
  </si>
  <si>
    <t>BERG SPORTS Champion FlatGround 330 Grey</t>
  </si>
  <si>
    <t>8715839077599</t>
  </si>
  <si>
    <t>38.12.03.01</t>
  </si>
  <si>
    <t>BERG SPORTS Champion FlatGround 380 Grey</t>
  </si>
  <si>
    <t>8715839077605</t>
  </si>
  <si>
    <t>38.14.03.01</t>
  </si>
  <si>
    <t>BERG SPORTS Champion FlatGround 430 Grey</t>
  </si>
  <si>
    <t>8715839077636</t>
  </si>
  <si>
    <t>BERG Elite FlatGround</t>
  </si>
  <si>
    <t>38.31.03.01</t>
  </si>
  <si>
    <t>BERG SPORTS Elite FlatGround 330 Grey</t>
  </si>
  <si>
    <t>8715839077650</t>
  </si>
  <si>
    <t>38.32.03.01</t>
  </si>
  <si>
    <t>BERG SPORTS Elite FlatGround 380 Grey</t>
  </si>
  <si>
    <t>8715839077667</t>
  </si>
  <si>
    <t>38.34.03.01</t>
  </si>
  <si>
    <t>BERG SPORTS Elite FlatGround 430 Grey</t>
  </si>
  <si>
    <t>8715839077674</t>
  </si>
  <si>
    <t>BERG Ultim Champion FlatGround</t>
  </si>
  <si>
    <t>32.31.11.30</t>
  </si>
  <si>
    <t>BERG SPORTS Ultim Champion FlatGround 200 Grey</t>
  </si>
  <si>
    <t>8715839082968</t>
  </si>
  <si>
    <t>32.31.23.30</t>
  </si>
  <si>
    <t>BERG SPORTS Ultim Champion FlatGround 330 Grey</t>
  </si>
  <si>
    <t>8715839084818</t>
  </si>
  <si>
    <t>32.31.23.70</t>
  </si>
  <si>
    <t>BERG SPORTS Ultim Champion FlatGround 330 Green</t>
  </si>
  <si>
    <t>8715839084801</t>
  </si>
  <si>
    <t>32.31.24.31</t>
  </si>
  <si>
    <t>BERG SPORTS Ultim Champion FlatGround 410 Grey</t>
  </si>
  <si>
    <t>8715839077452</t>
  </si>
  <si>
    <t>32.31.24.71</t>
  </si>
  <si>
    <t>BERG SPORTS Ultim Champion FlatGround 410 Green</t>
  </si>
  <si>
    <t>8715839077469</t>
  </si>
  <si>
    <t>32.31.24.10</t>
  </si>
  <si>
    <t>BERG SPORTS Ultim Champion ECO FlatGround 410</t>
  </si>
  <si>
    <t>8715839090888</t>
  </si>
  <si>
    <t>32.31.25.30</t>
  </si>
  <si>
    <t>BERG SPORTS Ultim Champion FlatGround 500 Grey</t>
  </si>
  <si>
    <t>8715839084924</t>
  </si>
  <si>
    <t>BERG Ultim Elite FlatGround</t>
  </si>
  <si>
    <t>32.41.25.32</t>
  </si>
  <si>
    <t>BERG SPORTS Ultim Elite FlatGround 500 Grey</t>
  </si>
  <si>
    <t>8715839077551</t>
  </si>
  <si>
    <t>BERG Ultim Pro Bouncer FlatGround</t>
  </si>
  <si>
    <t>32.51.25.30</t>
  </si>
  <si>
    <t>BERG SPORTS Ultim Pro Bouncer FlatGround 500</t>
  </si>
  <si>
    <t>8715839086317</t>
  </si>
  <si>
    <t>32.51.95.30</t>
  </si>
  <si>
    <t>BERG SPORTS Ultim Pro Bouncer FlatGround 500 + Safety Net XL</t>
  </si>
  <si>
    <t>8715839086300</t>
  </si>
  <si>
    <t>32.51.26.30</t>
  </si>
  <si>
    <t>BERG SPORTS Ultim Pro Bouncer FlatGround 5x5</t>
  </si>
  <si>
    <t>8715839090772</t>
  </si>
  <si>
    <t>32.51.96.30</t>
  </si>
  <si>
    <t>BERG SPORTS Ultim Pro Bouncer FlatGround 5x5 + Safety Net XL</t>
  </si>
  <si>
    <t>8715839090796</t>
  </si>
  <si>
    <t>Safety Net</t>
  </si>
  <si>
    <t>BERG Safety Net Comfort</t>
  </si>
  <si>
    <t>35.74.40.00</t>
  </si>
  <si>
    <t>BERG Safety Net Comfort 200</t>
  </si>
  <si>
    <t>8715839070972</t>
  </si>
  <si>
    <t>35.74.41.00</t>
  </si>
  <si>
    <t>BERG Safety Net Comfort 270 (6 poles)</t>
  </si>
  <si>
    <t>8715839070989</t>
  </si>
  <si>
    <t>35.74.42.00</t>
  </si>
  <si>
    <t>BERG Safety Net Comfort 330 (6 poles)</t>
  </si>
  <si>
    <t>8715839070996</t>
  </si>
  <si>
    <t>35.74.12.03</t>
  </si>
  <si>
    <t>8715839071009</t>
  </si>
  <si>
    <t>35.74.14.03</t>
  </si>
  <si>
    <t>8715839071016</t>
  </si>
  <si>
    <t>35.74.63.01</t>
  </si>
  <si>
    <t>BERG Grand Safety Net Comfort 520</t>
  </si>
  <si>
    <t>8715839071023</t>
  </si>
  <si>
    <t>35.74.32.00</t>
  </si>
  <si>
    <t>BERG Ultim Safety Net Comfort 280</t>
  </si>
  <si>
    <t>8715839070538</t>
  </si>
  <si>
    <t>35.74.33.00</t>
  </si>
  <si>
    <t>BERG Ultim Safety Net Comfort 330</t>
  </si>
  <si>
    <t>8715839083613</t>
  </si>
  <si>
    <t>35.74.34.00</t>
  </si>
  <si>
    <t>BERG Ultim Safety Net Comfort 410</t>
  </si>
  <si>
    <t>8715839083620</t>
  </si>
  <si>
    <t>BERG Safety Net Deluxe</t>
  </si>
  <si>
    <t>35.72.21.04</t>
  </si>
  <si>
    <t>8715839083415</t>
  </si>
  <si>
    <t>35.72.22.04</t>
  </si>
  <si>
    <t>8715839083422</t>
  </si>
  <si>
    <t>35.72.24.04</t>
  </si>
  <si>
    <t>8715839083439</t>
  </si>
  <si>
    <t>35.76.58.01</t>
  </si>
  <si>
    <t>BERG Safety Net Deluxe XL 430</t>
  </si>
  <si>
    <t>8715839083446</t>
  </si>
  <si>
    <t>35.72.64.02</t>
  </si>
  <si>
    <t>BERG Grand Safety Net Deluxe 350</t>
  </si>
  <si>
    <t>8715839083460</t>
  </si>
  <si>
    <t>35.72.65.02</t>
  </si>
  <si>
    <t>BERG Grand Safety Net Deluxe 470</t>
  </si>
  <si>
    <t>8715839083477</t>
  </si>
  <si>
    <t>35.72.63.03</t>
  </si>
  <si>
    <t>BERG Grand Safety Net Deluxe 520</t>
  </si>
  <si>
    <t>8715839083484</t>
  </si>
  <si>
    <t>35.76.05.01</t>
  </si>
  <si>
    <t>BERG Grand Safety Net DLX XL 520</t>
  </si>
  <si>
    <t>8715839083453</t>
  </si>
  <si>
    <t>35.72.62.03</t>
  </si>
  <si>
    <t>BERG Ultim Safety Net Deluxe 330</t>
  </si>
  <si>
    <t>8715839083491</t>
  </si>
  <si>
    <t>35.72.54.11</t>
  </si>
  <si>
    <t>BERG Ultim Safety Net DLX XL 410</t>
  </si>
  <si>
    <t>8715839083507</t>
  </si>
  <si>
    <t>35.72.58.00</t>
  </si>
  <si>
    <t>BERG Ultim Safety Net DLX XL ECO 410</t>
  </si>
  <si>
    <t>8715839090857</t>
  </si>
  <si>
    <t>35.72.55.11</t>
  </si>
  <si>
    <t>BERG Ultim Safety Net DLX XL 500</t>
  </si>
  <si>
    <t>8715839083514</t>
  </si>
  <si>
    <t>35.72.57.00</t>
  </si>
  <si>
    <t>BERG Ultim Safety Net DLX XL PB 500</t>
  </si>
  <si>
    <t>8715839086256</t>
  </si>
  <si>
    <t>35.72.59.00</t>
  </si>
  <si>
    <t>BERG Ultim Safety Net DLX XL PB 5x5</t>
  </si>
  <si>
    <t>8715839091557</t>
  </si>
  <si>
    <t>Accessories</t>
  </si>
  <si>
    <t>BERG Weather Cover Extra</t>
  </si>
  <si>
    <t>35.99.71.00</t>
  </si>
  <si>
    <t>BERG Weather Cover Extra 200 Black</t>
  </si>
  <si>
    <t>8715839083637</t>
  </si>
  <si>
    <t>35.99.72.00</t>
  </si>
  <si>
    <t>BERG Weather Cover Extra 270 Black</t>
  </si>
  <si>
    <t>8715839083644</t>
  </si>
  <si>
    <t>35.99.73.00</t>
  </si>
  <si>
    <t>BERG Weather Cover Extra 330 Black</t>
  </si>
  <si>
    <t>8715839068023</t>
  </si>
  <si>
    <t>35.99.74.00</t>
  </si>
  <si>
    <t>BERG Weather Cover Extra 380 Black</t>
  </si>
  <si>
    <t>8715839083705</t>
  </si>
  <si>
    <t>35.99.75.00</t>
  </si>
  <si>
    <t>BERG Weather Cover Extra 430 Black</t>
  </si>
  <si>
    <t>8715839068030</t>
  </si>
  <si>
    <t>BERG Weather Cover Extra 430 Green</t>
  </si>
  <si>
    <t>35.97.34.00</t>
  </si>
  <si>
    <t>BERG Grand Weather Cover Extra 350 Black</t>
  </si>
  <si>
    <t>8715839083651</t>
  </si>
  <si>
    <t>35.97.37.00</t>
  </si>
  <si>
    <t>BERG Grand Weather Cover Extra 350 Green</t>
  </si>
  <si>
    <t>8715839068061</t>
  </si>
  <si>
    <t>35.97.44.00</t>
  </si>
  <si>
    <t>BERG Grand Weather Cover Extra 470 Black</t>
  </si>
  <si>
    <t>8715839083668</t>
  </si>
  <si>
    <t>35.97.54.00</t>
  </si>
  <si>
    <t>BERG Grand Weather Cover Extra 520 Black</t>
  </si>
  <si>
    <t>8715839083699</t>
  </si>
  <si>
    <t>BERG Grand Weather Cover Extra 520 Green</t>
  </si>
  <si>
    <t>35.98.14.00</t>
  </si>
  <si>
    <t>BERG Ultim Weather Cover Extra 200 Black</t>
  </si>
  <si>
    <t>8715839085310</t>
  </si>
  <si>
    <t>35.98.24.00</t>
  </si>
  <si>
    <t>BERG Ultim Weather Cover Extra 280 Black</t>
  </si>
  <si>
    <t>8715839070613</t>
  </si>
  <si>
    <t>35.98.34.00</t>
  </si>
  <si>
    <t>BERG Ultim Weather Cover Extra 330 Black</t>
  </si>
  <si>
    <t>8715839083675</t>
  </si>
  <si>
    <t>35.98.44.00</t>
  </si>
  <si>
    <t>BERG Ultim Weather Cover Extra 410 Black</t>
  </si>
  <si>
    <t>8715839083682</t>
  </si>
  <si>
    <t>35.98.47.00</t>
  </si>
  <si>
    <t>BERG Ultim Weather Cover Extra 410 Green</t>
  </si>
  <si>
    <t>8715839072556</t>
  </si>
  <si>
    <t>35.98.54.00</t>
  </si>
  <si>
    <t>BERG Ultim Weather Cover Extra 500 Black</t>
  </si>
  <si>
    <t>8715839068047</t>
  </si>
  <si>
    <t>BERG Ladder</t>
  </si>
  <si>
    <t>35.90.05.01</t>
  </si>
  <si>
    <t>8715839072570</t>
  </si>
  <si>
    <t>35.90.04.01</t>
  </si>
  <si>
    <t>BERG Ladder L (for Ultim Favorit 410)</t>
  </si>
  <si>
    <t>8715839087505</t>
  </si>
  <si>
    <t>35.90.54.01</t>
  </si>
  <si>
    <t>BERG Ladder Platform + Ladder L (for Ultim Favorit 410)</t>
  </si>
  <si>
    <t>8715839088663</t>
  </si>
  <si>
    <t>35.90.55.01</t>
  </si>
  <si>
    <t>8715839072587</t>
  </si>
  <si>
    <t>BERG Spotting Mat</t>
  </si>
  <si>
    <t>35.82.21.00</t>
  </si>
  <si>
    <t>BERG x GRT Spotting Mat</t>
  </si>
  <si>
    <t>8715839086232</t>
  </si>
  <si>
    <t>35.82.22.00</t>
  </si>
  <si>
    <t>BERG x GRT Spotting Mat XL</t>
  </si>
  <si>
    <t>8715839086249</t>
  </si>
  <si>
    <t>BERG Others</t>
  </si>
  <si>
    <t>35.81.24.30</t>
  </si>
  <si>
    <t>BERG AeroWall 2x2 BLK&amp;GRY</t>
  </si>
  <si>
    <t>8715839075724</t>
  </si>
  <si>
    <t>35.99.11.00</t>
  </si>
  <si>
    <t>8715839079432</t>
  </si>
  <si>
    <t>35.91.00.01</t>
  </si>
  <si>
    <t>BERG TwinHoop</t>
  </si>
  <si>
    <t>8715839103359</t>
  </si>
  <si>
    <t>36.15.10.00</t>
  </si>
  <si>
    <t>BERG Hoppaa</t>
  </si>
  <si>
    <t>8715839069853</t>
  </si>
  <si>
    <t>36.10.00.00</t>
  </si>
  <si>
    <t>BERG Pro Launcher</t>
  </si>
  <si>
    <t>8715839090765</t>
  </si>
  <si>
    <t>36.12.00.00</t>
  </si>
  <si>
    <t>BERG Fitness Trampoline 110 Black</t>
  </si>
  <si>
    <t>8715839101751</t>
  </si>
  <si>
    <t>36.12.01.00</t>
  </si>
  <si>
    <t>BERG Fitness Trampoline 110 Black + Handlebar</t>
  </si>
  <si>
    <t>8715839101768</t>
  </si>
  <si>
    <t>36.12.02.00</t>
  </si>
  <si>
    <t>BERG Fitness Trampoline Black Handlebar</t>
  </si>
  <si>
    <t>8715839101775</t>
  </si>
  <si>
    <t>Price reduction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</si>
</sst>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64" formatCode="_ &quot;€&quot;\ * #,##0.00_ ;_ &quot;€&quot;\ * \-#,##0.00_ ;_ &quot;€&quot;\ * &quot;-&quot;??_ ;_ @_ "/>
    <numFmt numFmtId="165" formatCode="_ * #,##0.00_ ;_ * \-#,##0.00_ ;_ * &quot;-&quot;??_ ;_ @_ "/>
    <numFmt numFmtId="166" formatCode="_-&quot;€&quot;\ * #,##0.00_-;_-&quot;€&quot;\ * #,##0.00\-;_-&quot;€&quot;\ * &quot;-&quot;??_-;_-@_-"/>
    <numFmt numFmtId="167" formatCode="[$€-413]\ #,##0.00_-"/>
    <numFmt numFmtId="168" formatCode="&quot;€&quot;\ #,##0.00_-"/>
    <numFmt numFmtId="169" formatCode="_ [$€-413]\ * #,##0.00_ ;_ [$€-413]\ * \-#,##0.00_ ;_ [$€-413]\ * &quot;-&quot;??_ ;_ @_ "/>
    <numFmt numFmtId="170" formatCode="#,##0.000"/>
    <numFmt numFmtId="171" formatCode="[$$-409]#,##0.00_ ;\-[$$-409]#,##0.00\ "/>
    <numFmt numFmtId="172" formatCode="[$£-809]#,##0.00;\-[$£-809]#,##0.00"/>
    <numFmt numFmtId="173" formatCode="[$€-413]\ #,##0.00"/>
    <numFmt numFmtId="174" formatCode="0.0%"/>
    <numFmt numFmtId="175" formatCode="0.0"/>
    <numFmt numFmtId="176" formatCode="_ [$¥-804]* #,##0.00_ ;_ [$¥-804]* \-#,##0.00_ ;_ [$¥-804]* &quot;-&quot;??_ ;_ @_ "/>
    <numFmt numFmtId="177" formatCode="[$€-413]\ #,##0"/>
    <numFmt numFmtId="178" formatCode="_(&quot;$&quot;* #,##0.00_);_(&quot;$&quot;* \(#,##0.00\);_(&quot;$&quot;* &quot;-&quot;??_);_(@_)"/>
    <numFmt numFmtId="179" formatCode="_ [$DKK]\ * #,##0.00_ ;_ [$DKK]\ * \-#,##0.00_ ;_ [$DKK]\ * &quot;-&quot;??_ ;_ @_ "/>
    <numFmt numFmtId="180" formatCode="_([$$-409]* #,##0.00_);_([$$-409]* \(#,##0.00\);_([$$-409]* &quot;-&quot;??_);_(@_)"/>
  </numFmts>
  <fonts count="68"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Arial"/>
      <family val="2"/>
    </font>
    <font>
      <sz val="10"/>
      <color indexed="10"/>
      <name val="Arial"/>
      <family val="2"/>
    </font>
    <font>
      <sz val="8"/>
      <color indexed="10"/>
      <name val="Arial"/>
      <family val="2"/>
    </font>
    <font>
      <sz val="10"/>
      <name val="Verdana"/>
      <family val="2"/>
    </font>
    <font>
      <b/>
      <sz val="18"/>
      <name val="Verdana"/>
      <family val="2"/>
    </font>
    <font>
      <sz val="9"/>
      <name val="Verdana"/>
      <family val="2"/>
    </font>
    <font>
      <b/>
      <sz val="10"/>
      <color indexed="10"/>
      <name val="Verdana"/>
      <family val="2"/>
    </font>
    <font>
      <sz val="10"/>
      <name val="PF Centro Sans Pro"/>
      <family val="3"/>
    </font>
    <font>
      <b/>
      <sz val="10"/>
      <name val="PF Centro Sans Pro"/>
      <family val="3"/>
    </font>
    <font>
      <b/>
      <sz val="10"/>
      <color indexed="10"/>
      <name val="PF Centro Sans Pro"/>
      <family val="3"/>
    </font>
    <font>
      <sz val="18"/>
      <name val="PF Centro Slab Pro"/>
      <family val="3"/>
    </font>
    <font>
      <sz val="12"/>
      <name val="PF Centro Slab Pro"/>
      <family val="3"/>
    </font>
    <font>
      <sz val="10"/>
      <name val="Arial"/>
      <family val="2"/>
    </font>
    <font>
      <b/>
      <sz val="18"/>
      <color rgb="FFD10019"/>
      <name val="PF Centro Slab Pro"/>
      <family val="3"/>
    </font>
    <font>
      <sz val="10"/>
      <name val="Arial"/>
      <family val="2"/>
    </font>
    <font>
      <b/>
      <sz val="20"/>
      <color rgb="FFD10019"/>
      <name val="PF Centro Slab Pro"/>
      <family val="3"/>
    </font>
    <font>
      <u/>
      <sz val="10"/>
      <color indexed="12"/>
      <name val="Arial"/>
      <family val="2"/>
    </font>
    <font>
      <b/>
      <sz val="8"/>
      <color rgb="FFFF0000"/>
      <name val="Arial"/>
      <family val="2"/>
    </font>
    <font>
      <b/>
      <sz val="16"/>
      <name val="PF Centro Sans Pro"/>
      <family val="3"/>
    </font>
    <font>
      <sz val="16"/>
      <name val="Verdana"/>
      <family val="2"/>
    </font>
    <font>
      <sz val="16"/>
      <name val="Arial"/>
      <family val="2"/>
    </font>
    <font>
      <sz val="10"/>
      <color theme="1" tint="0.499984740745262"/>
      <name val="PF Centro Sans Pro"/>
      <family val="3"/>
    </font>
    <font>
      <sz val="10"/>
      <name val="Arial"/>
      <family val="2"/>
    </font>
    <font>
      <b/>
      <sz val="10"/>
      <name val="Calibri"/>
      <family val="2"/>
    </font>
    <font>
      <sz val="10"/>
      <color rgb="FFFF0000"/>
      <name val="Arial"/>
      <family val="2"/>
    </font>
    <font>
      <b/>
      <i/>
      <sz val="11"/>
      <name val="PF Centro Sans Pro Light"/>
      <family val="3"/>
    </font>
    <font>
      <sz val="10"/>
      <color rgb="FFFF0000"/>
      <name val="PF Centro Sans Pro"/>
      <family val="3"/>
    </font>
    <font>
      <sz val="10"/>
      <color rgb="FFE60000"/>
      <name val="PF Centro Sans Pro"/>
      <family val="3"/>
    </font>
    <font>
      <sz val="10"/>
      <color rgb="FFE60000"/>
      <name val="Arial"/>
      <family val="2"/>
    </font>
    <font>
      <sz val="10"/>
      <name val="Arial"/>
      <family val="2"/>
    </font>
    <font>
      <sz val="10"/>
      <name val="Arial"/>
      <family val="2"/>
    </font>
    <font>
      <b/>
      <sz val="14"/>
      <color theme="0"/>
      <name val="PF Centro Sans Pro"/>
      <family val="3"/>
    </font>
    <font>
      <b/>
      <sz val="36"/>
      <color theme="0"/>
      <name val="PF Centro Slab Pro"/>
      <family val="3"/>
    </font>
    <font>
      <b/>
      <sz val="36"/>
      <color theme="0"/>
      <name val="Verdana"/>
      <family val="2"/>
    </font>
    <font>
      <b/>
      <sz val="11"/>
      <name val="Calibri"/>
      <family val="2"/>
    </font>
    <font>
      <sz val="11"/>
      <name val="Aptos Narrow"/>
      <family val="2"/>
    </font>
    <font>
      <sz val="8"/>
      <name val="Arial"/>
      <family val="2"/>
    </font>
    <font>
      <sz val="11"/>
      <name val="Calibri"/>
      <family val="2"/>
    </font>
    <font>
      <b/>
      <i/>
      <sz val="11"/>
      <name val="PF Centro Slab Pro"/>
      <family val="3"/>
    </font>
    <font>
      <b/>
      <sz val="8"/>
      <name val="Calibri"/>
      <family val="2"/>
      <scheme val="minor"/>
    </font>
    <font>
      <b/>
      <sz val="10"/>
      <color indexed="10"/>
      <name val="Calibri"/>
      <family val="2"/>
      <scheme val="minor"/>
    </font>
    <font>
      <b/>
      <sz val="11"/>
      <color theme="1"/>
      <name val="Calibri"/>
      <family val="2"/>
      <scheme val="minor"/>
    </font>
    <font>
      <b/>
      <i/>
      <sz val="11"/>
      <name val="PF Centro Sans Pro"/>
      <family val="3"/>
    </font>
    <font>
      <sz val="9"/>
      <name val="PF Centro Sans Pro"/>
      <family val="3"/>
    </font>
    <font>
      <b/>
      <sz val="10"/>
      <color theme="0"/>
      <name val="Arial"/>
      <family val="2"/>
    </font>
    <font>
      <b/>
      <sz val="11"/>
      <name val="PF Centro Sans Pro"/>
      <family val="3"/>
    </font>
    <font>
      <sz val="9"/>
      <name val="Calibri"/>
      <family val="2"/>
    </font>
    <font>
      <b/>
      <sz val="10"/>
      <color rgb="FFFF0000"/>
      <name val="Calibri"/>
      <family val="2"/>
    </font>
    <font>
      <b/>
      <sz val="20"/>
      <color rgb="FFD10019"/>
      <name val="PF Centro Sans Pro"/>
      <family val="3"/>
    </font>
    <font>
      <b/>
      <sz val="28"/>
      <name val="Verdana"/>
      <family val="2"/>
    </font>
    <font>
      <sz val="10"/>
      <color theme="0" tint="-0.34998626667073579"/>
      <name val="Arial"/>
      <family val="2"/>
    </font>
    <font>
      <b/>
      <sz val="12"/>
      <color theme="0"/>
      <name val="Arial"/>
      <family val="2"/>
    </font>
    <font>
      <b/>
      <sz val="14"/>
      <color theme="2" tint="-0.249977111117893"/>
      <name val="Arial"/>
      <family val="2"/>
    </font>
    <font>
      <b/>
      <sz val="28"/>
      <color rgb="FFD10019"/>
      <name val="PF Centro Sans Pro"/>
      <family val="3"/>
    </font>
    <font>
      <b/>
      <sz val="14"/>
      <name val="PF Centro Slab Pro"/>
      <family val="3"/>
    </font>
    <font>
      <sz val="12"/>
      <name val="Calibri"/>
      <family val="2"/>
      <scheme val="minor"/>
    </font>
    <font>
      <b/>
      <sz val="12"/>
      <name val="PF Centro Sans Pro"/>
      <family val="3"/>
    </font>
    <font>
      <b/>
      <sz val="12"/>
      <name val="PF Centro Slab Pro"/>
      <family val="3"/>
    </font>
    <font>
      <sz val="11"/>
      <name val="Calibri"/>
      <family val="2"/>
      <scheme val="minor"/>
    </font>
    <font>
      <b/>
      <sz val="10"/>
      <name val="Calibri"/>
      <family val="2"/>
      <scheme val="minor"/>
    </font>
  </fonts>
  <fills count="19">
    <fill>
      <patternFill patternType="none"/>
    </fill>
    <fill>
      <patternFill patternType="gray125"/>
    </fill>
    <fill>
      <patternFill patternType="solid">
        <fgColor indexed="9"/>
        <bgColor indexed="64"/>
      </patternFill>
    </fill>
    <fill>
      <patternFill patternType="solid">
        <fgColor theme="0" tint="-0.14999847407452621"/>
        <bgColor indexed="64"/>
      </patternFill>
    </fill>
    <fill>
      <patternFill patternType="solid">
        <fgColor rgb="FFD10019"/>
        <bgColor indexed="64"/>
      </patternFill>
    </fill>
    <fill>
      <patternFill patternType="solid">
        <fgColor theme="8" tint="0.39997558519241921"/>
        <bgColor indexed="64"/>
      </patternFill>
    </fill>
    <fill>
      <patternFill patternType="solid">
        <fgColor rgb="FFFFFF00"/>
        <bgColor indexed="64"/>
      </patternFill>
    </fill>
    <fill>
      <patternFill patternType="solid">
        <fgColor theme="8" tint="0.79998168889431442"/>
        <bgColor indexed="64"/>
      </patternFill>
    </fill>
    <fill>
      <patternFill patternType="solid">
        <fgColor rgb="FFE60000"/>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7" tint="0.59999389629810485"/>
        <bgColor indexed="64"/>
      </patternFill>
    </fill>
    <fill>
      <patternFill patternType="solid">
        <fgColor rgb="FFDE0000"/>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6" tint="0.79998168889431442"/>
        <bgColor indexed="64"/>
      </patternFill>
    </fill>
    <fill>
      <patternFill patternType="solid">
        <fgColor rgb="FFE60000"/>
        <bgColor rgb="FF000000"/>
      </patternFill>
    </fill>
    <fill>
      <patternFill patternType="solid">
        <fgColor theme="0"/>
        <bgColor indexed="64"/>
      </patternFill>
    </fill>
    <fill>
      <patternFill patternType="solid">
        <fgColor rgb="FFFFFF99"/>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s>
  <cellStyleXfs count="81">
    <xf numFmtId="0" fontId="0" fillId="0" borderId="0"/>
    <xf numFmtId="166" fontId="7" fillId="0" borderId="0" applyFont="0" applyFill="0" applyBorder="0" applyAlignment="0" applyProtection="0"/>
    <xf numFmtId="166" fontId="20" fillId="0" borderId="0" applyFont="0" applyFill="0" applyBorder="0" applyAlignment="0" applyProtection="0"/>
    <xf numFmtId="166" fontId="22" fillId="0" borderId="0" applyFont="0" applyFill="0" applyBorder="0" applyAlignment="0" applyProtection="0"/>
    <xf numFmtId="166" fontId="7" fillId="0" borderId="0" applyFont="0" applyFill="0" applyBorder="0" applyAlignment="0" applyProtection="0"/>
    <xf numFmtId="0" fontId="7" fillId="0" borderId="0"/>
    <xf numFmtId="0" fontId="24" fillId="0" borderId="0" applyNumberFormat="0" applyFill="0" applyBorder="0" applyAlignment="0" applyProtection="0">
      <alignment vertical="top"/>
      <protection locked="0"/>
    </xf>
    <xf numFmtId="0" fontId="6" fillId="0" borderId="0"/>
    <xf numFmtId="9" fontId="30" fillId="0" borderId="0" applyFont="0" applyFill="0" applyBorder="0" applyAlignment="0" applyProtection="0"/>
    <xf numFmtId="0" fontId="5" fillId="0" borderId="0"/>
    <xf numFmtId="0" fontId="37" fillId="0" borderId="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0" fontId="5" fillId="0" borderId="0"/>
    <xf numFmtId="9" fontId="7" fillId="0" borderId="0" applyFont="0" applyFill="0" applyBorder="0" applyAlignment="0" applyProtection="0"/>
    <xf numFmtId="0" fontId="5" fillId="0" borderId="0"/>
    <xf numFmtId="178" fontId="5" fillId="0" borderId="0" applyFont="0" applyFill="0" applyBorder="0" applyAlignment="0" applyProtection="0"/>
    <xf numFmtId="9" fontId="5" fillId="0" borderId="0" applyFont="0" applyFill="0" applyBorder="0" applyAlignment="0" applyProtection="0"/>
    <xf numFmtId="178" fontId="5" fillId="0" borderId="0" applyFont="0" applyFill="0" applyBorder="0" applyAlignment="0" applyProtection="0"/>
    <xf numFmtId="9" fontId="7" fillId="0" borderId="0" applyFont="0" applyFill="0" applyBorder="0" applyAlignment="0" applyProtection="0"/>
    <xf numFmtId="0" fontId="7" fillId="0" borderId="0"/>
    <xf numFmtId="165" fontId="7" fillId="0" borderId="0" applyFont="0" applyFill="0" applyBorder="0" applyAlignment="0" applyProtection="0"/>
    <xf numFmtId="9" fontId="7" fillId="0" borderId="0" applyFont="0" applyFill="0" applyBorder="0" applyAlignment="0" applyProtection="0"/>
    <xf numFmtId="0" fontId="5" fillId="0" borderId="0"/>
    <xf numFmtId="0" fontId="5" fillId="0" borderId="0"/>
    <xf numFmtId="0" fontId="5" fillId="0" borderId="0"/>
    <xf numFmtId="178" fontId="5" fillId="0" borderId="0" applyFont="0" applyFill="0" applyBorder="0" applyAlignment="0" applyProtection="0"/>
    <xf numFmtId="9" fontId="5" fillId="0" borderId="0" applyFont="0" applyFill="0" applyBorder="0" applyAlignment="0" applyProtection="0"/>
    <xf numFmtId="0" fontId="5" fillId="0" borderId="0"/>
    <xf numFmtId="178" fontId="5" fillId="0" borderId="0" applyFont="0" applyFill="0" applyBorder="0" applyAlignment="0" applyProtection="0"/>
    <xf numFmtId="165" fontId="7" fillId="0" borderId="0" applyFont="0" applyFill="0" applyBorder="0" applyAlignment="0" applyProtection="0"/>
    <xf numFmtId="9" fontId="37" fillId="0" borderId="0" applyFont="0" applyFill="0" applyBorder="0" applyAlignment="0" applyProtection="0"/>
    <xf numFmtId="0" fontId="5" fillId="0" borderId="0"/>
    <xf numFmtId="0" fontId="5" fillId="0" borderId="0"/>
    <xf numFmtId="0" fontId="4" fillId="0" borderId="0"/>
    <xf numFmtId="0" fontId="4" fillId="0" borderId="0"/>
    <xf numFmtId="178" fontId="4" fillId="0" borderId="0" applyFont="0" applyFill="0" applyBorder="0" applyAlignment="0" applyProtection="0"/>
    <xf numFmtId="9" fontId="4" fillId="0" borderId="0" applyFont="0" applyFill="0" applyBorder="0" applyAlignment="0" applyProtection="0"/>
    <xf numFmtId="0" fontId="4" fillId="0" borderId="0"/>
    <xf numFmtId="178" fontId="4" fillId="0" borderId="0" applyFont="0" applyFill="0" applyBorder="0" applyAlignment="0" applyProtection="0"/>
    <xf numFmtId="0" fontId="4" fillId="0" borderId="0"/>
    <xf numFmtId="0" fontId="4" fillId="0" borderId="0"/>
    <xf numFmtId="0" fontId="4" fillId="0" borderId="0"/>
    <xf numFmtId="0" fontId="4" fillId="0" borderId="0"/>
    <xf numFmtId="178" fontId="4" fillId="0" borderId="0" applyFont="0" applyFill="0" applyBorder="0" applyAlignment="0" applyProtection="0"/>
    <xf numFmtId="9" fontId="4" fillId="0" borderId="0" applyFont="0" applyFill="0" applyBorder="0" applyAlignment="0" applyProtection="0"/>
    <xf numFmtId="0" fontId="4" fillId="0" borderId="0"/>
    <xf numFmtId="178" fontId="4" fillId="0" borderId="0" applyFont="0" applyFill="0" applyBorder="0" applyAlignment="0" applyProtection="0"/>
    <xf numFmtId="165" fontId="7" fillId="0" borderId="0" applyFont="0" applyFill="0" applyBorder="0" applyAlignment="0" applyProtection="0"/>
    <xf numFmtId="9" fontId="7" fillId="0" borderId="0" applyFont="0" applyFill="0" applyBorder="0" applyAlignment="0" applyProtection="0"/>
    <xf numFmtId="0" fontId="4" fillId="0" borderId="0"/>
    <xf numFmtId="0" fontId="4" fillId="0" borderId="0"/>
    <xf numFmtId="0" fontId="3" fillId="0" borderId="0"/>
    <xf numFmtId="0" fontId="3" fillId="0" borderId="0"/>
    <xf numFmtId="178" fontId="3" fillId="0" borderId="0" applyFont="0" applyFill="0" applyBorder="0" applyAlignment="0" applyProtection="0"/>
    <xf numFmtId="9" fontId="3" fillId="0" borderId="0" applyFont="0" applyFill="0" applyBorder="0" applyAlignment="0" applyProtection="0"/>
    <xf numFmtId="0" fontId="3" fillId="0" borderId="0"/>
    <xf numFmtId="178" fontId="3" fillId="0" borderId="0" applyFont="0" applyFill="0" applyBorder="0" applyAlignment="0" applyProtection="0"/>
    <xf numFmtId="0" fontId="3" fillId="0" borderId="0"/>
    <xf numFmtId="0" fontId="3" fillId="0" borderId="0"/>
    <xf numFmtId="0" fontId="3" fillId="0" borderId="0"/>
    <xf numFmtId="0" fontId="3" fillId="0" borderId="0"/>
    <xf numFmtId="178" fontId="3" fillId="0" borderId="0" applyFont="0" applyFill="0" applyBorder="0" applyAlignment="0" applyProtection="0"/>
    <xf numFmtId="9" fontId="3" fillId="0" borderId="0" applyFont="0" applyFill="0" applyBorder="0" applyAlignment="0" applyProtection="0"/>
    <xf numFmtId="0" fontId="3" fillId="0" borderId="0"/>
    <xf numFmtId="178" fontId="3" fillId="0" borderId="0" applyFont="0" applyFill="0" applyBorder="0" applyAlignment="0" applyProtection="0"/>
    <xf numFmtId="165" fontId="7" fillId="0" borderId="0" applyFont="0" applyFill="0" applyBorder="0" applyAlignment="0" applyProtection="0"/>
    <xf numFmtId="9" fontId="38" fillId="0" borderId="0" applyFont="0" applyFill="0" applyBorder="0" applyAlignment="0" applyProtection="0"/>
    <xf numFmtId="0" fontId="3" fillId="0" borderId="0"/>
    <xf numFmtId="0" fontId="3" fillId="0" borderId="0"/>
    <xf numFmtId="0" fontId="3" fillId="0" borderId="0"/>
    <xf numFmtId="0" fontId="43" fillId="0" borderId="0"/>
    <xf numFmtId="0" fontId="2" fillId="0" borderId="0"/>
    <xf numFmtId="0" fontId="45" fillId="0" borderId="0"/>
    <xf numFmtId="0" fontId="45" fillId="0" borderId="0"/>
    <xf numFmtId="0" fontId="42" fillId="0" borderId="0"/>
    <xf numFmtId="0" fontId="7" fillId="0" borderId="0"/>
    <xf numFmtId="0" fontId="7" fillId="0" borderId="0"/>
    <xf numFmtId="164" fontId="1" fillId="0" borderId="0" applyFont="0" applyFill="0" applyBorder="0" applyAlignment="0" applyProtection="0"/>
    <xf numFmtId="0" fontId="1" fillId="0" borderId="0"/>
  </cellStyleXfs>
  <cellXfs count="305">
    <xf numFmtId="0" fontId="0" fillId="0" borderId="0" xfId="0"/>
    <xf numFmtId="0" fontId="0" fillId="0" borderId="1" xfId="0" applyBorder="1"/>
    <xf numFmtId="0" fontId="8" fillId="0" borderId="0" xfId="0" applyFont="1"/>
    <xf numFmtId="0" fontId="0" fillId="0" borderId="2" xfId="0" applyBorder="1"/>
    <xf numFmtId="167" fontId="0" fillId="0" borderId="0" xfId="0" applyNumberFormat="1" applyAlignment="1">
      <alignment horizontal="right"/>
    </xf>
    <xf numFmtId="167" fontId="0" fillId="0" borderId="1" xfId="0" applyNumberFormat="1" applyBorder="1" applyAlignment="1">
      <alignment horizontal="right"/>
    </xf>
    <xf numFmtId="0" fontId="0" fillId="0" borderId="0" xfId="0" applyAlignment="1">
      <alignment horizontal="center"/>
    </xf>
    <xf numFmtId="0" fontId="0" fillId="0" borderId="1" xfId="0" applyBorder="1" applyAlignment="1">
      <alignment horizontal="center"/>
    </xf>
    <xf numFmtId="0" fontId="11" fillId="0" borderId="0" xfId="0" applyFont="1"/>
    <xf numFmtId="0" fontId="12" fillId="0" borderId="0" xfId="0" applyFont="1"/>
    <xf numFmtId="0" fontId="11" fillId="0" borderId="1" xfId="0" applyFont="1" applyBorder="1"/>
    <xf numFmtId="0" fontId="13" fillId="0" borderId="0" xfId="0" applyFont="1"/>
    <xf numFmtId="0" fontId="11" fillId="2" borderId="0" xfId="0" applyFont="1" applyFill="1"/>
    <xf numFmtId="1" fontId="11" fillId="0" borderId="0" xfId="0" applyNumberFormat="1" applyFont="1" applyAlignment="1">
      <alignment horizontal="center"/>
    </xf>
    <xf numFmtId="167" fontId="11" fillId="0" borderId="0" xfId="0" applyNumberFormat="1" applyFont="1" applyAlignment="1">
      <alignment horizontal="right"/>
    </xf>
    <xf numFmtId="0" fontId="11" fillId="0" borderId="0" xfId="0" applyFont="1" applyAlignment="1">
      <alignment horizontal="center"/>
    </xf>
    <xf numFmtId="168" fontId="11" fillId="0" borderId="0" xfId="1" applyNumberFormat="1" applyFont="1" applyFill="1" applyBorder="1" applyAlignment="1">
      <alignment horizontal="right"/>
    </xf>
    <xf numFmtId="1" fontId="15" fillId="2" borderId="1" xfId="0" applyNumberFormat="1" applyFont="1" applyFill="1" applyBorder="1" applyAlignment="1">
      <alignment horizontal="center"/>
    </xf>
    <xf numFmtId="1" fontId="15" fillId="2" borderId="0" xfId="0" applyNumberFormat="1" applyFont="1" applyFill="1" applyAlignment="1">
      <alignment horizontal="center"/>
    </xf>
    <xf numFmtId="167" fontId="15" fillId="0" borderId="0" xfId="0" applyNumberFormat="1" applyFont="1" applyAlignment="1">
      <alignment horizontal="right"/>
    </xf>
    <xf numFmtId="0" fontId="15" fillId="0" borderId="0" xfId="0" applyFont="1"/>
    <xf numFmtId="1" fontId="15" fillId="0" borderId="0" xfId="0" applyNumberFormat="1" applyFont="1" applyAlignment="1">
      <alignment horizontal="center"/>
    </xf>
    <xf numFmtId="0" fontId="21" fillId="0" borderId="0" xfId="0" applyFont="1" applyAlignment="1">
      <alignment horizontal="center"/>
    </xf>
    <xf numFmtId="167" fontId="21" fillId="0" borderId="0" xfId="0" applyNumberFormat="1" applyFont="1" applyAlignment="1">
      <alignment horizontal="right"/>
    </xf>
    <xf numFmtId="0" fontId="18" fillId="0" borderId="0" xfId="0" applyFont="1" applyAlignment="1">
      <alignment horizontal="center"/>
    </xf>
    <xf numFmtId="0" fontId="16" fillId="3" borderId="3" xfId="0" applyFont="1" applyFill="1" applyBorder="1"/>
    <xf numFmtId="0" fontId="16" fillId="3" borderId="4" xfId="0" applyFont="1" applyFill="1" applyBorder="1"/>
    <xf numFmtId="0" fontId="16" fillId="3" borderId="6" xfId="0" applyFont="1" applyFill="1" applyBorder="1"/>
    <xf numFmtId="167" fontId="9" fillId="4" borderId="0" xfId="0" applyNumberFormat="1" applyFont="1" applyFill="1" applyAlignment="1">
      <alignment horizontal="right"/>
    </xf>
    <xf numFmtId="0" fontId="16" fillId="0" borderId="0" xfId="0" applyFont="1" applyAlignment="1">
      <alignment horizontal="right"/>
    </xf>
    <xf numFmtId="1" fontId="15" fillId="0" borderId="1" xfId="0" applyNumberFormat="1" applyFont="1" applyBorder="1" applyAlignment="1">
      <alignment horizontal="center"/>
    </xf>
    <xf numFmtId="0" fontId="16" fillId="3" borderId="0" xfId="0" applyFont="1" applyFill="1"/>
    <xf numFmtId="0" fontId="16" fillId="3" borderId="5" xfId="0" applyFont="1" applyFill="1" applyBorder="1"/>
    <xf numFmtId="0" fontId="23" fillId="0" borderId="0" xfId="0" applyFont="1" applyAlignment="1">
      <alignment horizontal="left"/>
    </xf>
    <xf numFmtId="0" fontId="19" fillId="0" borderId="0" xfId="0" applyFont="1" applyAlignment="1">
      <alignment horizontal="right"/>
    </xf>
    <xf numFmtId="1" fontId="15" fillId="3" borderId="4" xfId="0" applyNumberFormat="1" applyFont="1" applyFill="1" applyBorder="1" applyAlignment="1">
      <alignment horizontal="center"/>
    </xf>
    <xf numFmtId="167" fontId="16" fillId="3" borderId="4" xfId="0" applyNumberFormat="1" applyFont="1" applyFill="1" applyBorder="1" applyAlignment="1">
      <alignment horizontal="right"/>
    </xf>
    <xf numFmtId="1" fontId="16" fillId="3" borderId="6" xfId="0" applyNumberFormat="1" applyFont="1" applyFill="1" applyBorder="1" applyAlignment="1">
      <alignment horizontal="center"/>
    </xf>
    <xf numFmtId="167" fontId="16" fillId="3" borderId="6" xfId="0" applyNumberFormat="1" applyFont="1" applyFill="1" applyBorder="1" applyAlignment="1">
      <alignment horizontal="right"/>
    </xf>
    <xf numFmtId="0" fontId="15" fillId="0" borderId="1" xfId="0" applyFont="1" applyBorder="1"/>
    <xf numFmtId="1" fontId="16" fillId="3" borderId="0" xfId="0" applyNumberFormat="1" applyFont="1" applyFill="1" applyAlignment="1">
      <alignment horizontal="center"/>
    </xf>
    <xf numFmtId="167" fontId="15" fillId="0" borderId="1" xfId="1" applyNumberFormat="1" applyFont="1" applyFill="1" applyBorder="1" applyAlignment="1">
      <alignment horizontal="right"/>
    </xf>
    <xf numFmtId="167" fontId="15" fillId="0" borderId="0" xfId="1" applyNumberFormat="1" applyFont="1" applyFill="1" applyBorder="1" applyAlignment="1">
      <alignment horizontal="right"/>
    </xf>
    <xf numFmtId="167" fontId="15" fillId="0" borderId="7" xfId="1" applyNumberFormat="1" applyFont="1" applyFill="1" applyBorder="1" applyAlignment="1">
      <alignment horizontal="right"/>
    </xf>
    <xf numFmtId="167" fontId="15" fillId="0" borderId="8" xfId="1" applyNumberFormat="1" applyFont="1" applyFill="1" applyBorder="1" applyAlignment="1">
      <alignment horizontal="right"/>
    </xf>
    <xf numFmtId="167" fontId="10" fillId="4" borderId="4" xfId="0" applyNumberFormat="1" applyFont="1" applyFill="1" applyBorder="1" applyAlignment="1">
      <alignment horizontal="right"/>
    </xf>
    <xf numFmtId="167" fontId="25" fillId="4" borderId="4" xfId="0" applyNumberFormat="1" applyFont="1" applyFill="1" applyBorder="1" applyAlignment="1">
      <alignment horizontal="right"/>
    </xf>
    <xf numFmtId="167" fontId="25" fillId="4" borderId="0" xfId="0" applyNumberFormat="1" applyFont="1" applyFill="1" applyAlignment="1">
      <alignment horizontal="right"/>
    </xf>
    <xf numFmtId="0" fontId="6" fillId="0" borderId="0" xfId="7"/>
    <xf numFmtId="49" fontId="6" fillId="6" borderId="0" xfId="7" applyNumberFormat="1" applyFill="1" applyAlignment="1">
      <alignment horizontal="left"/>
    </xf>
    <xf numFmtId="49" fontId="6" fillId="0" borderId="0" xfId="7" applyNumberFormat="1" applyAlignment="1">
      <alignment horizontal="left"/>
    </xf>
    <xf numFmtId="4" fontId="6" fillId="0" borderId="0" xfId="7" applyNumberFormat="1" applyAlignment="1">
      <alignment horizontal="right"/>
    </xf>
    <xf numFmtId="3" fontId="6" fillId="0" borderId="0" xfId="7" applyNumberFormat="1" applyAlignment="1">
      <alignment horizontal="left"/>
    </xf>
    <xf numFmtId="171" fontId="15" fillId="0" borderId="1" xfId="1" applyNumberFormat="1" applyFont="1" applyFill="1" applyBorder="1" applyAlignment="1">
      <alignment horizontal="right"/>
    </xf>
    <xf numFmtId="172" fontId="15" fillId="0" borderId="1" xfId="1" applyNumberFormat="1" applyFont="1" applyFill="1" applyBorder="1" applyAlignment="1">
      <alignment horizontal="right"/>
    </xf>
    <xf numFmtId="0" fontId="8" fillId="0" borderId="0" xfId="0" applyFont="1" applyAlignment="1">
      <alignment wrapText="1"/>
    </xf>
    <xf numFmtId="0" fontId="0" fillId="3" borderId="0" xfId="0" applyFill="1"/>
    <xf numFmtId="0" fontId="27" fillId="0" borderId="0" xfId="0" applyFont="1" applyAlignment="1">
      <alignment vertical="center"/>
    </xf>
    <xf numFmtId="0" fontId="28" fillId="0" borderId="0" xfId="0" applyFont="1" applyAlignment="1">
      <alignment vertical="center"/>
    </xf>
    <xf numFmtId="0" fontId="16" fillId="3" borderId="0" xfId="0" applyFont="1" applyFill="1" applyAlignment="1">
      <alignment horizontal="center"/>
    </xf>
    <xf numFmtId="167" fontId="15" fillId="0" borderId="6" xfId="1" applyNumberFormat="1" applyFont="1" applyFill="1" applyBorder="1" applyAlignment="1">
      <alignment horizontal="right"/>
    </xf>
    <xf numFmtId="167" fontId="15" fillId="0" borderId="6" xfId="0" applyNumberFormat="1" applyFont="1" applyBorder="1" applyAlignment="1">
      <alignment horizontal="right"/>
    </xf>
    <xf numFmtId="171" fontId="15" fillId="0" borderId="0" xfId="1" applyNumberFormat="1" applyFont="1" applyFill="1" applyBorder="1" applyAlignment="1">
      <alignment horizontal="right"/>
    </xf>
    <xf numFmtId="172" fontId="15" fillId="0" borderId="0" xfId="1" applyNumberFormat="1" applyFont="1" applyFill="1" applyBorder="1" applyAlignment="1">
      <alignment horizontal="right"/>
    </xf>
    <xf numFmtId="171" fontId="15" fillId="0" borderId="7" xfId="1" applyNumberFormat="1" applyFont="1" applyFill="1" applyBorder="1" applyAlignment="1">
      <alignment horizontal="right"/>
    </xf>
    <xf numFmtId="172" fontId="15" fillId="0" borderId="7" xfId="1" applyNumberFormat="1" applyFont="1" applyFill="1" applyBorder="1" applyAlignment="1">
      <alignment horizontal="right"/>
    </xf>
    <xf numFmtId="0" fontId="19" fillId="0" borderId="0" xfId="0" applyFont="1" applyAlignment="1">
      <alignment horizontal="center"/>
    </xf>
    <xf numFmtId="167" fontId="15" fillId="0" borderId="0" xfId="0" applyNumberFormat="1" applyFont="1" applyAlignment="1">
      <alignment horizontal="center"/>
    </xf>
    <xf numFmtId="167" fontId="11" fillId="0" borderId="0" xfId="0" applyNumberFormat="1" applyFont="1" applyAlignment="1">
      <alignment horizontal="center"/>
    </xf>
    <xf numFmtId="167" fontId="0" fillId="0" borderId="0" xfId="0" applyNumberFormat="1" applyAlignment="1">
      <alignment horizontal="center"/>
    </xf>
    <xf numFmtId="0" fontId="15" fillId="7" borderId="1" xfId="0" applyFont="1" applyFill="1" applyBorder="1"/>
    <xf numFmtId="1" fontId="15" fillId="7" borderId="1" xfId="0" applyNumberFormat="1" applyFont="1" applyFill="1" applyBorder="1" applyAlignment="1">
      <alignment horizontal="center"/>
    </xf>
    <xf numFmtId="167" fontId="15" fillId="7" borderId="1" xfId="1" applyNumberFormat="1" applyFont="1" applyFill="1" applyBorder="1" applyAlignment="1">
      <alignment horizontal="right"/>
    </xf>
    <xf numFmtId="171" fontId="15" fillId="7" borderId="1" xfId="1" applyNumberFormat="1" applyFont="1" applyFill="1" applyBorder="1" applyAlignment="1">
      <alignment horizontal="right"/>
    </xf>
    <xf numFmtId="172" fontId="15" fillId="7" borderId="1" xfId="1" applyNumberFormat="1" applyFont="1" applyFill="1" applyBorder="1" applyAlignment="1">
      <alignment horizontal="right"/>
    </xf>
    <xf numFmtId="167" fontId="15" fillId="7" borderId="0" xfId="1" applyNumberFormat="1" applyFont="1" applyFill="1" applyBorder="1" applyAlignment="1">
      <alignment horizontal="right"/>
    </xf>
    <xf numFmtId="176" fontId="13" fillId="0" borderId="0" xfId="0" applyNumberFormat="1" applyFont="1"/>
    <xf numFmtId="0" fontId="32" fillId="8" borderId="0" xfId="0" applyFont="1" applyFill="1" applyAlignment="1">
      <alignment horizontal="left"/>
    </xf>
    <xf numFmtId="0" fontId="9" fillId="8" borderId="0" xfId="0" applyFont="1" applyFill="1"/>
    <xf numFmtId="0" fontId="9" fillId="8" borderId="0" xfId="0" applyFont="1" applyFill="1" applyAlignment="1">
      <alignment horizontal="center"/>
    </xf>
    <xf numFmtId="0" fontId="9" fillId="8" borderId="0" xfId="0" applyFont="1" applyFill="1" applyAlignment="1">
      <alignment horizontal="left"/>
    </xf>
    <xf numFmtId="0" fontId="33" fillId="0" borderId="0" xfId="0" applyFont="1" applyAlignment="1">
      <alignment horizontal="left"/>
    </xf>
    <xf numFmtId="167" fontId="29" fillId="7" borderId="1" xfId="1" applyNumberFormat="1" applyFont="1" applyFill="1" applyBorder="1" applyAlignment="1">
      <alignment horizontal="right"/>
    </xf>
    <xf numFmtId="167" fontId="29" fillId="7" borderId="0" xfId="1" applyNumberFormat="1" applyFont="1" applyFill="1" applyBorder="1" applyAlignment="1">
      <alignment horizontal="right"/>
    </xf>
    <xf numFmtId="0" fontId="17" fillId="0" borderId="0" xfId="0" applyFont="1"/>
    <xf numFmtId="171" fontId="15" fillId="7" borderId="0" xfId="1" applyNumberFormat="1" applyFont="1" applyFill="1" applyBorder="1" applyAlignment="1">
      <alignment horizontal="right"/>
    </xf>
    <xf numFmtId="172" fontId="15" fillId="7" borderId="0" xfId="1" applyNumberFormat="1" applyFont="1" applyFill="1" applyBorder="1" applyAlignment="1">
      <alignment horizontal="right"/>
    </xf>
    <xf numFmtId="174" fontId="15" fillId="0" borderId="0" xfId="8" applyNumberFormat="1" applyFont="1" applyBorder="1"/>
    <xf numFmtId="176" fontId="15" fillId="0" borderId="0" xfId="0" applyNumberFormat="1" applyFont="1"/>
    <xf numFmtId="169" fontId="15" fillId="0" borderId="0" xfId="0" applyNumberFormat="1" applyFont="1"/>
    <xf numFmtId="173" fontId="15" fillId="0" borderId="0" xfId="0" applyNumberFormat="1" applyFont="1"/>
    <xf numFmtId="175" fontId="15" fillId="0" borderId="0" xfId="0" applyNumberFormat="1" applyFont="1"/>
    <xf numFmtId="169" fontId="15" fillId="7" borderId="0" xfId="0" applyNumberFormat="1" applyFont="1" applyFill="1"/>
    <xf numFmtId="175" fontId="15" fillId="7" borderId="0" xfId="0" applyNumberFormat="1" applyFont="1" applyFill="1"/>
    <xf numFmtId="169" fontId="15" fillId="0" borderId="1" xfId="0" applyNumberFormat="1" applyFont="1" applyBorder="1"/>
    <xf numFmtId="175" fontId="15" fillId="0" borderId="1" xfId="0" applyNumberFormat="1" applyFont="1" applyBorder="1"/>
    <xf numFmtId="0" fontId="7" fillId="0" borderId="0" xfId="0" applyFont="1"/>
    <xf numFmtId="0" fontId="34" fillId="7" borderId="1" xfId="0" applyFont="1" applyFill="1" applyBorder="1"/>
    <xf numFmtId="0" fontId="15" fillId="9" borderId="1" xfId="0" applyFont="1" applyFill="1" applyBorder="1"/>
    <xf numFmtId="1" fontId="15" fillId="9" borderId="1" xfId="0" applyNumberFormat="1" applyFont="1" applyFill="1" applyBorder="1" applyAlignment="1">
      <alignment horizontal="center"/>
    </xf>
    <xf numFmtId="167" fontId="15" fillId="9" borderId="1" xfId="1" applyNumberFormat="1" applyFont="1" applyFill="1" applyBorder="1" applyAlignment="1">
      <alignment horizontal="right"/>
    </xf>
    <xf numFmtId="169" fontId="15" fillId="9" borderId="1" xfId="0" applyNumberFormat="1" applyFont="1" applyFill="1" applyBorder="1"/>
    <xf numFmtId="175" fontId="15" fillId="9" borderId="1" xfId="0" applyNumberFormat="1" applyFont="1" applyFill="1" applyBorder="1"/>
    <xf numFmtId="174" fontId="15" fillId="9" borderId="0" xfId="8" applyNumberFormat="1" applyFont="1" applyFill="1" applyBorder="1"/>
    <xf numFmtId="169" fontId="15" fillId="9" borderId="0" xfId="0" applyNumberFormat="1" applyFont="1" applyFill="1"/>
    <xf numFmtId="173" fontId="15" fillId="9" borderId="0" xfId="0" applyNumberFormat="1" applyFont="1" applyFill="1"/>
    <xf numFmtId="175" fontId="15" fillId="9" borderId="0" xfId="0" applyNumberFormat="1" applyFont="1" applyFill="1"/>
    <xf numFmtId="0" fontId="36" fillId="0" borderId="0" xfId="0" applyFont="1"/>
    <xf numFmtId="171" fontId="35" fillId="0" borderId="7" xfId="1" applyNumberFormat="1" applyFont="1" applyFill="1" applyBorder="1" applyAlignment="1">
      <alignment horizontal="right"/>
    </xf>
    <xf numFmtId="167" fontId="35" fillId="0" borderId="7" xfId="1" applyNumberFormat="1" applyFont="1" applyFill="1" applyBorder="1" applyAlignment="1">
      <alignment horizontal="right"/>
    </xf>
    <xf numFmtId="172" fontId="35" fillId="0" borderId="7" xfId="1" applyNumberFormat="1" applyFont="1" applyFill="1" applyBorder="1" applyAlignment="1">
      <alignment horizontal="right"/>
    </xf>
    <xf numFmtId="176" fontId="15" fillId="0" borderId="1" xfId="1" applyNumberFormat="1" applyFont="1" applyFill="1" applyBorder="1" applyAlignment="1">
      <alignment horizontal="center"/>
    </xf>
    <xf numFmtId="176" fontId="15" fillId="9" borderId="1" xfId="1" applyNumberFormat="1" applyFont="1" applyFill="1" applyBorder="1" applyAlignment="1">
      <alignment horizontal="center"/>
    </xf>
    <xf numFmtId="167" fontId="15" fillId="0" borderId="5" xfId="1" applyNumberFormat="1" applyFont="1" applyFill="1" applyBorder="1" applyAlignment="1">
      <alignment horizontal="right"/>
    </xf>
    <xf numFmtId="167" fontId="15" fillId="0" borderId="9" xfId="1" applyNumberFormat="1" applyFont="1" applyFill="1" applyBorder="1" applyAlignment="1">
      <alignment horizontal="right"/>
    </xf>
    <xf numFmtId="176" fontId="15" fillId="0" borderId="0" xfId="1" applyNumberFormat="1" applyFont="1" applyFill="1" applyBorder="1" applyAlignment="1">
      <alignment horizontal="center"/>
    </xf>
    <xf numFmtId="176" fontId="15" fillId="0" borderId="10" xfId="1" applyNumberFormat="1" applyFont="1" applyFill="1" applyBorder="1" applyAlignment="1">
      <alignment horizontal="center"/>
    </xf>
    <xf numFmtId="9" fontId="0" fillId="0" borderId="0" xfId="8" applyFont="1" applyBorder="1"/>
    <xf numFmtId="172" fontId="15" fillId="0" borderId="9" xfId="1" applyNumberFormat="1" applyFont="1" applyFill="1" applyBorder="1" applyAlignment="1">
      <alignment horizontal="right"/>
    </xf>
    <xf numFmtId="177" fontId="0" fillId="0" borderId="0" xfId="0" applyNumberFormat="1"/>
    <xf numFmtId="174" fontId="0" fillId="0" borderId="0" xfId="0" applyNumberFormat="1"/>
    <xf numFmtId="176" fontId="15" fillId="6" borderId="1" xfId="0" applyNumberFormat="1" applyFont="1" applyFill="1" applyBorder="1"/>
    <xf numFmtId="0" fontId="15" fillId="6" borderId="1" xfId="0" applyFont="1" applyFill="1" applyBorder="1" applyAlignment="1">
      <alignment horizontal="center" vertical="center" wrapText="1"/>
    </xf>
    <xf numFmtId="0" fontId="15" fillId="0" borderId="0" xfId="0" applyFont="1" applyAlignment="1">
      <alignment horizontal="center"/>
    </xf>
    <xf numFmtId="9" fontId="15" fillId="0" borderId="1" xfId="8" applyFont="1" applyBorder="1" applyAlignment="1">
      <alignment horizontal="center"/>
    </xf>
    <xf numFmtId="0" fontId="15" fillId="0" borderId="1" xfId="0" applyFont="1" applyBorder="1" applyAlignment="1">
      <alignment horizontal="center"/>
    </xf>
    <xf numFmtId="174" fontId="15" fillId="0" borderId="1" xfId="0" applyNumberFormat="1" applyFont="1" applyBorder="1" applyAlignment="1">
      <alignment horizontal="center"/>
    </xf>
    <xf numFmtId="0" fontId="29" fillId="0" borderId="1" xfId="0" applyFont="1" applyBorder="1" applyAlignment="1">
      <alignment horizontal="center" wrapText="1"/>
    </xf>
    <xf numFmtId="167" fontId="29" fillId="0" borderId="1" xfId="1" applyNumberFormat="1" applyFont="1" applyFill="1" applyBorder="1" applyAlignment="1">
      <alignment horizontal="center"/>
    </xf>
    <xf numFmtId="164" fontId="15" fillId="0" borderId="1" xfId="0" applyNumberFormat="1" applyFont="1" applyBorder="1" applyAlignment="1">
      <alignment horizontal="center"/>
    </xf>
    <xf numFmtId="0" fontId="15" fillId="0" borderId="1" xfId="0" applyFont="1" applyBorder="1" applyAlignment="1">
      <alignment horizontal="center" wrapText="1"/>
    </xf>
    <xf numFmtId="0" fontId="26" fillId="0" borderId="0" xfId="0" applyFont="1" applyAlignment="1">
      <alignment vertical="center"/>
    </xf>
    <xf numFmtId="167" fontId="16" fillId="3" borderId="6" xfId="0" applyNumberFormat="1" applyFont="1" applyFill="1" applyBorder="1" applyAlignment="1">
      <alignment horizontal="right" vertical="center"/>
    </xf>
    <xf numFmtId="167" fontId="16" fillId="3" borderId="4" xfId="0" applyNumberFormat="1" applyFont="1" applyFill="1" applyBorder="1" applyAlignment="1">
      <alignment horizontal="center" vertical="center"/>
    </xf>
    <xf numFmtId="167" fontId="16" fillId="3" borderId="6" xfId="0" applyNumberFormat="1" applyFont="1" applyFill="1" applyBorder="1" applyAlignment="1">
      <alignment horizontal="center" vertical="center"/>
    </xf>
    <xf numFmtId="0" fontId="16" fillId="3" borderId="4" xfId="0" applyFont="1" applyFill="1" applyBorder="1" applyAlignment="1">
      <alignment horizontal="center" vertical="center"/>
    </xf>
    <xf numFmtId="0" fontId="16" fillId="3" borderId="6" xfId="0" applyFont="1" applyFill="1" applyBorder="1" applyAlignment="1">
      <alignment horizontal="center" vertical="center"/>
    </xf>
    <xf numFmtId="0" fontId="0" fillId="3" borderId="4" xfId="0" applyFill="1" applyBorder="1" applyAlignment="1">
      <alignment vertical="center"/>
    </xf>
    <xf numFmtId="0" fontId="15" fillId="11" borderId="1" xfId="0" applyFont="1" applyFill="1" applyBorder="1" applyAlignment="1">
      <alignment horizontal="center" vertical="center" wrapText="1"/>
    </xf>
    <xf numFmtId="167" fontId="15" fillId="11" borderId="1" xfId="1" applyNumberFormat="1" applyFont="1" applyFill="1" applyBorder="1" applyAlignment="1">
      <alignment horizontal="right"/>
    </xf>
    <xf numFmtId="9" fontId="15" fillId="0" borderId="0" xfId="8" applyFont="1" applyBorder="1" applyAlignment="1">
      <alignment horizontal="center"/>
    </xf>
    <xf numFmtId="174" fontId="15" fillId="0" borderId="0" xfId="0" applyNumberFormat="1" applyFont="1" applyAlignment="1">
      <alignment horizontal="center"/>
    </xf>
    <xf numFmtId="164" fontId="15" fillId="0" borderId="1" xfId="0" applyNumberFormat="1" applyFont="1" applyBorder="1"/>
    <xf numFmtId="164" fontId="15" fillId="0" borderId="0" xfId="0" applyNumberFormat="1" applyFont="1" applyAlignment="1">
      <alignment horizontal="center"/>
    </xf>
    <xf numFmtId="0" fontId="16" fillId="3" borderId="3" xfId="0" applyFont="1" applyFill="1" applyBorder="1" applyAlignment="1">
      <alignment horizontal="center" vertical="center"/>
    </xf>
    <xf numFmtId="0" fontId="32" fillId="8" borderId="3" xfId="0" applyFont="1" applyFill="1" applyBorder="1" applyAlignment="1">
      <alignment horizontal="left"/>
    </xf>
    <xf numFmtId="0" fontId="9" fillId="8" borderId="4" xfId="0" applyFont="1" applyFill="1" applyBorder="1"/>
    <xf numFmtId="0" fontId="9" fillId="8" borderId="12" xfId="0" applyFont="1" applyFill="1" applyBorder="1" applyAlignment="1">
      <alignment horizontal="left"/>
    </xf>
    <xf numFmtId="1" fontId="15" fillId="3" borderId="11" xfId="0" applyNumberFormat="1" applyFont="1" applyFill="1" applyBorder="1" applyAlignment="1">
      <alignment horizontal="center"/>
    </xf>
    <xf numFmtId="0" fontId="40" fillId="12" borderId="0" xfId="0" applyFont="1" applyFill="1" applyAlignment="1">
      <alignment horizontal="left"/>
    </xf>
    <xf numFmtId="0" fontId="41" fillId="12" borderId="0" xfId="0" applyFont="1" applyFill="1"/>
    <xf numFmtId="0" fontId="21" fillId="12" borderId="0" xfId="0" applyFont="1" applyFill="1" applyAlignment="1">
      <alignment horizontal="center"/>
    </xf>
    <xf numFmtId="0" fontId="11" fillId="12" borderId="0" xfId="0" applyFont="1" applyFill="1"/>
    <xf numFmtId="0" fontId="11" fillId="13" borderId="1" xfId="0" applyFont="1" applyFill="1" applyBorder="1"/>
    <xf numFmtId="0" fontId="9" fillId="8" borderId="4" xfId="0" applyFont="1" applyFill="1" applyBorder="1" applyAlignment="1">
      <alignment horizontal="right"/>
    </xf>
    <xf numFmtId="0" fontId="9" fillId="8" borderId="11" xfId="0" applyFont="1" applyFill="1" applyBorder="1" applyAlignment="1">
      <alignment horizontal="right"/>
    </xf>
    <xf numFmtId="0" fontId="39" fillId="8" borderId="3" xfId="0" applyFont="1" applyFill="1" applyBorder="1" applyAlignment="1">
      <alignment horizontal="right" vertical="center"/>
    </xf>
    <xf numFmtId="0" fontId="9" fillId="8" borderId="0" xfId="0" applyFont="1" applyFill="1" applyAlignment="1">
      <alignment horizontal="right"/>
    </xf>
    <xf numFmtId="0" fontId="9" fillId="8" borderId="13" xfId="0" applyFont="1" applyFill="1" applyBorder="1" applyAlignment="1">
      <alignment horizontal="right"/>
    </xf>
    <xf numFmtId="0" fontId="39" fillId="8" borderId="5" xfId="0" applyFont="1" applyFill="1" applyBorder="1" applyAlignment="1">
      <alignment horizontal="right" vertical="center"/>
    </xf>
    <xf numFmtId="0" fontId="46" fillId="3" borderId="0" xfId="0" applyFont="1" applyFill="1" applyAlignment="1">
      <alignment horizontal="left"/>
    </xf>
    <xf numFmtId="0" fontId="15" fillId="13" borderId="1" xfId="0" applyFont="1" applyFill="1" applyBorder="1"/>
    <xf numFmtId="0" fontId="16" fillId="3" borderId="7" xfId="0" applyFont="1" applyFill="1" applyBorder="1"/>
    <xf numFmtId="0" fontId="16" fillId="3" borderId="8" xfId="0" applyFont="1" applyFill="1" applyBorder="1"/>
    <xf numFmtId="1" fontId="16" fillId="3" borderId="7" xfId="0" applyNumberFormat="1" applyFont="1" applyFill="1" applyBorder="1" applyAlignment="1">
      <alignment horizontal="center"/>
    </xf>
    <xf numFmtId="1" fontId="16" fillId="3" borderId="8" xfId="0" applyNumberFormat="1" applyFont="1" applyFill="1" applyBorder="1" applyAlignment="1">
      <alignment horizontal="center"/>
    </xf>
    <xf numFmtId="1" fontId="16" fillId="3" borderId="7" xfId="0" applyNumberFormat="1" applyFont="1" applyFill="1" applyBorder="1" applyAlignment="1">
      <alignment horizontal="right"/>
    </xf>
    <xf numFmtId="1" fontId="16" fillId="3" borderId="8" xfId="0" applyNumberFormat="1" applyFont="1" applyFill="1" applyBorder="1" applyAlignment="1">
      <alignment horizontal="right"/>
    </xf>
    <xf numFmtId="0" fontId="11" fillId="7" borderId="1" xfId="0" applyFont="1" applyFill="1" applyBorder="1"/>
    <xf numFmtId="0" fontId="15" fillId="7" borderId="0" xfId="0" applyFont="1" applyFill="1"/>
    <xf numFmtId="0" fontId="46" fillId="7" borderId="0" xfId="0" applyFont="1" applyFill="1" applyAlignment="1">
      <alignment horizontal="left"/>
    </xf>
    <xf numFmtId="0" fontId="23" fillId="0" borderId="0" xfId="77" applyFont="1" applyAlignment="1">
      <alignment horizontal="left"/>
    </xf>
    <xf numFmtId="0" fontId="12" fillId="0" borderId="0" xfId="77" applyFont="1"/>
    <xf numFmtId="1" fontId="21" fillId="0" borderId="0" xfId="77" applyNumberFormat="1" applyFont="1" applyAlignment="1">
      <alignment horizontal="center"/>
    </xf>
    <xf numFmtId="0" fontId="11" fillId="0" borderId="0" xfId="77" applyFont="1"/>
    <xf numFmtId="0" fontId="11" fillId="0" borderId="1" xfId="77" applyFont="1" applyBorder="1"/>
    <xf numFmtId="0" fontId="16" fillId="0" borderId="0" xfId="77" applyFont="1" applyAlignment="1">
      <alignment horizontal="right"/>
    </xf>
    <xf numFmtId="1" fontId="18" fillId="0" borderId="0" xfId="77" applyNumberFormat="1" applyFont="1" applyAlignment="1">
      <alignment horizontal="center"/>
    </xf>
    <xf numFmtId="0" fontId="26" fillId="0" borderId="0" xfId="77" applyFont="1" applyAlignment="1">
      <alignment vertical="center"/>
    </xf>
    <xf numFmtId="0" fontId="32" fillId="8" borderId="3" xfId="77" applyFont="1" applyFill="1" applyBorder="1" applyAlignment="1">
      <alignment horizontal="left"/>
    </xf>
    <xf numFmtId="0" fontId="9" fillId="8" borderId="4" xfId="77" applyFont="1" applyFill="1" applyBorder="1"/>
    <xf numFmtId="1" fontId="9" fillId="8" borderId="11" xfId="77" applyNumberFormat="1" applyFont="1" applyFill="1" applyBorder="1" applyAlignment="1">
      <alignment horizontal="center"/>
    </xf>
    <xf numFmtId="0" fontId="39" fillId="8" borderId="4" xfId="77" applyFont="1" applyFill="1" applyBorder="1" applyAlignment="1">
      <alignment horizontal="right" vertical="center"/>
    </xf>
    <xf numFmtId="0" fontId="7" fillId="0" borderId="1" xfId="77" applyBorder="1"/>
    <xf numFmtId="0" fontId="9" fillId="8" borderId="12" xfId="77" applyFont="1" applyFill="1" applyBorder="1" applyAlignment="1">
      <alignment horizontal="left"/>
    </xf>
    <xf numFmtId="0" fontId="9" fillId="8" borderId="0" xfId="77" applyFont="1" applyFill="1"/>
    <xf numFmtId="1" fontId="9" fillId="8" borderId="13" xfId="77" applyNumberFormat="1" applyFont="1" applyFill="1" applyBorder="1" applyAlignment="1">
      <alignment horizontal="center"/>
    </xf>
    <xf numFmtId="0" fontId="39" fillId="8" borderId="5" xfId="77" applyFont="1" applyFill="1" applyBorder="1" applyAlignment="1">
      <alignment vertical="center"/>
    </xf>
    <xf numFmtId="0" fontId="16" fillId="3" borderId="3" xfId="77" applyFont="1" applyFill="1" applyBorder="1"/>
    <xf numFmtId="0" fontId="16" fillId="3" borderId="4" xfId="77" applyFont="1" applyFill="1" applyBorder="1"/>
    <xf numFmtId="1" fontId="15" fillId="3" borderId="11" xfId="77" applyNumberFormat="1" applyFont="1" applyFill="1" applyBorder="1" applyAlignment="1">
      <alignment horizontal="center"/>
    </xf>
    <xf numFmtId="0" fontId="16" fillId="3" borderId="3" xfId="77" applyFont="1" applyFill="1" applyBorder="1" applyAlignment="1">
      <alignment horizontal="center" vertical="center"/>
    </xf>
    <xf numFmtId="0" fontId="7" fillId="0" borderId="0" xfId="77"/>
    <xf numFmtId="0" fontId="16" fillId="3" borderId="7" xfId="77" applyFont="1" applyFill="1" applyBorder="1"/>
    <xf numFmtId="1" fontId="16" fillId="3" borderId="7" xfId="77" applyNumberFormat="1" applyFont="1" applyFill="1" applyBorder="1" applyAlignment="1">
      <alignment horizontal="center"/>
    </xf>
    <xf numFmtId="1" fontId="16" fillId="3" borderId="7" xfId="77" applyNumberFormat="1" applyFont="1" applyFill="1" applyBorder="1" applyAlignment="1">
      <alignment horizontal="right"/>
    </xf>
    <xf numFmtId="0" fontId="16" fillId="3" borderId="8" xfId="77" applyFont="1" applyFill="1" applyBorder="1"/>
    <xf numFmtId="1" fontId="16" fillId="3" borderId="8" xfId="77" applyNumberFormat="1" applyFont="1" applyFill="1" applyBorder="1" applyAlignment="1">
      <alignment horizontal="center"/>
    </xf>
    <xf numFmtId="1" fontId="16" fillId="3" borderId="8" xfId="77" applyNumberFormat="1" applyFont="1" applyFill="1" applyBorder="1" applyAlignment="1">
      <alignment horizontal="right"/>
    </xf>
    <xf numFmtId="0" fontId="15" fillId="0" borderId="0" xfId="77" applyFont="1"/>
    <xf numFmtId="0" fontId="50" fillId="0" borderId="0" xfId="77" applyFont="1" applyAlignment="1">
      <alignment horizontal="left"/>
    </xf>
    <xf numFmtId="1" fontId="15" fillId="0" borderId="0" xfId="77" applyNumberFormat="1" applyFont="1" applyAlignment="1">
      <alignment horizontal="center"/>
    </xf>
    <xf numFmtId="0" fontId="15" fillId="14" borderId="1" xfId="77" applyFont="1" applyFill="1" applyBorder="1"/>
    <xf numFmtId="0" fontId="15" fillId="0" borderId="1" xfId="77" applyFont="1" applyBorder="1"/>
    <xf numFmtId="1" fontId="15" fillId="0" borderId="1" xfId="77" applyNumberFormat="1" applyFont="1" applyBorder="1" applyAlignment="1">
      <alignment horizontal="center"/>
    </xf>
    <xf numFmtId="0" fontId="15" fillId="7" borderId="0" xfId="77" applyFont="1" applyFill="1"/>
    <xf numFmtId="0" fontId="50" fillId="7" borderId="0" xfId="77" applyFont="1" applyFill="1" applyAlignment="1">
      <alignment horizontal="left"/>
    </xf>
    <xf numFmtId="0" fontId="15" fillId="15" borderId="1" xfId="77" applyFont="1" applyFill="1" applyBorder="1"/>
    <xf numFmtId="0" fontId="11" fillId="2" borderId="0" xfId="77" applyFont="1" applyFill="1"/>
    <xf numFmtId="1" fontId="15" fillId="2" borderId="0" xfId="77" applyNumberFormat="1" applyFont="1" applyFill="1" applyAlignment="1">
      <alignment horizontal="center"/>
    </xf>
    <xf numFmtId="0" fontId="15" fillId="7" borderId="1" xfId="77" applyFont="1" applyFill="1" applyBorder="1"/>
    <xf numFmtId="179" fontId="15" fillId="0" borderId="0" xfId="77" applyNumberFormat="1" applyFont="1"/>
    <xf numFmtId="0" fontId="13" fillId="0" borderId="0" xfId="77" applyFont="1"/>
    <xf numFmtId="1" fontId="11" fillId="0" borderId="0" xfId="77" applyNumberFormat="1" applyFont="1" applyAlignment="1">
      <alignment horizontal="center"/>
    </xf>
    <xf numFmtId="0" fontId="11" fillId="7" borderId="1" xfId="77" applyFont="1" applyFill="1" applyBorder="1"/>
    <xf numFmtId="1" fontId="9" fillId="8" borderId="4" xfId="77" applyNumberFormat="1" applyFont="1" applyFill="1" applyBorder="1" applyAlignment="1">
      <alignment horizontal="center"/>
    </xf>
    <xf numFmtId="1" fontId="7" fillId="0" borderId="0" xfId="77" applyNumberFormat="1" applyAlignment="1">
      <alignment horizontal="center"/>
    </xf>
    <xf numFmtId="0" fontId="18" fillId="0" borderId="0" xfId="77" applyFont="1" applyAlignment="1">
      <alignment horizontal="center"/>
    </xf>
    <xf numFmtId="0" fontId="15" fillId="13" borderId="1" xfId="77" applyFont="1" applyFill="1" applyBorder="1"/>
    <xf numFmtId="0" fontId="7" fillId="0" borderId="0" xfId="78"/>
    <xf numFmtId="0" fontId="11" fillId="0" borderId="0" xfId="77" applyFont="1" applyAlignment="1">
      <alignment horizontal="center"/>
    </xf>
    <xf numFmtId="0" fontId="8" fillId="0" borderId="0" xfId="77" applyFont="1"/>
    <xf numFmtId="0" fontId="7" fillId="0" borderId="0" xfId="77" applyAlignment="1">
      <alignment horizontal="center"/>
    </xf>
    <xf numFmtId="0" fontId="21" fillId="0" borderId="0" xfId="77" applyFont="1" applyAlignment="1">
      <alignment horizontal="center"/>
    </xf>
    <xf numFmtId="166" fontId="11" fillId="0" borderId="0" xfId="1" applyFont="1"/>
    <xf numFmtId="166" fontId="26" fillId="0" borderId="0" xfId="1" applyFont="1" applyAlignment="1">
      <alignment vertical="center"/>
    </xf>
    <xf numFmtId="0" fontId="9" fillId="8" borderId="11" xfId="77" applyFont="1" applyFill="1" applyBorder="1" applyAlignment="1">
      <alignment horizontal="center"/>
    </xf>
    <xf numFmtId="0" fontId="9" fillId="8" borderId="13" xfId="77" applyFont="1" applyFill="1" applyBorder="1" applyAlignment="1">
      <alignment horizontal="center"/>
    </xf>
    <xf numFmtId="1" fontId="16" fillId="3" borderId="11" xfId="77" applyNumberFormat="1" applyFont="1" applyFill="1" applyBorder="1" applyAlignment="1">
      <alignment horizontal="right"/>
    </xf>
    <xf numFmtId="0" fontId="16" fillId="3" borderId="5" xfId="77" applyFont="1" applyFill="1" applyBorder="1"/>
    <xf numFmtId="0" fontId="16" fillId="3" borderId="6" xfId="77" applyFont="1" applyFill="1" applyBorder="1"/>
    <xf numFmtId="1" fontId="16" fillId="3" borderId="14" xfId="77" applyNumberFormat="1" applyFont="1" applyFill="1" applyBorder="1" applyAlignment="1">
      <alignment horizontal="right"/>
    </xf>
    <xf numFmtId="166" fontId="15" fillId="0" borderId="0" xfId="1" applyFont="1"/>
    <xf numFmtId="166" fontId="15" fillId="0" borderId="1" xfId="1" applyFont="1" applyFill="1" applyBorder="1"/>
    <xf numFmtId="0" fontId="15" fillId="17" borderId="0" xfId="77" applyFont="1" applyFill="1"/>
    <xf numFmtId="166" fontId="15" fillId="0" borderId="0" xfId="1" applyFont="1" applyFill="1"/>
    <xf numFmtId="0" fontId="15" fillId="2" borderId="0" xfId="77" applyFont="1" applyFill="1"/>
    <xf numFmtId="166" fontId="15" fillId="0" borderId="0" xfId="1" applyFont="1" applyBorder="1"/>
    <xf numFmtId="166" fontId="0" fillId="0" borderId="0" xfId="1" applyFont="1" applyBorder="1"/>
    <xf numFmtId="164" fontId="56" fillId="0" borderId="0" xfId="79" applyFont="1" applyBorder="1" applyAlignment="1">
      <alignment horizontal="left"/>
    </xf>
    <xf numFmtId="0" fontId="57" fillId="0" borderId="0" xfId="80" applyFont="1"/>
    <xf numFmtId="0" fontId="58" fillId="0" borderId="0" xfId="80" applyFont="1"/>
    <xf numFmtId="0" fontId="1" fillId="0" borderId="0" xfId="80"/>
    <xf numFmtId="0" fontId="1" fillId="0" borderId="0" xfId="80" applyAlignment="1">
      <alignment horizontal="center"/>
    </xf>
    <xf numFmtId="167" fontId="59" fillId="8" borderId="0" xfId="80" applyNumberFormat="1" applyFont="1" applyFill="1" applyAlignment="1">
      <alignment horizontal="left"/>
    </xf>
    <xf numFmtId="167" fontId="10" fillId="8" borderId="0" xfId="80" applyNumberFormat="1" applyFont="1" applyFill="1"/>
    <xf numFmtId="0" fontId="60" fillId="8" borderId="0" xfId="80" applyFont="1" applyFill="1" applyAlignment="1">
      <alignment horizontal="center"/>
    </xf>
    <xf numFmtId="170" fontId="16" fillId="3" borderId="4" xfId="80" applyNumberFormat="1" applyFont="1" applyFill="1" applyBorder="1" applyAlignment="1">
      <alignment horizontal="center" wrapText="1"/>
    </xf>
    <xf numFmtId="0" fontId="16" fillId="3" borderId="4" xfId="80" applyFont="1" applyFill="1" applyBorder="1" applyAlignment="1">
      <alignment horizontal="right"/>
    </xf>
    <xf numFmtId="0" fontId="49" fillId="0" borderId="0" xfId="80" applyFont="1"/>
    <xf numFmtId="0" fontId="49" fillId="0" borderId="0" xfId="80" applyFont="1" applyAlignment="1">
      <alignment horizontal="right"/>
    </xf>
    <xf numFmtId="169" fontId="1" fillId="0" borderId="0" xfId="80" applyNumberFormat="1"/>
    <xf numFmtId="166" fontId="61" fillId="0" borderId="0" xfId="1" applyFont="1" applyBorder="1" applyAlignment="1">
      <alignment horizontal="left"/>
    </xf>
    <xf numFmtId="0" fontId="57" fillId="0" borderId="0" xfId="77" applyFont="1"/>
    <xf numFmtId="0" fontId="58" fillId="0" borderId="0" xfId="77" applyFont="1"/>
    <xf numFmtId="167" fontId="10" fillId="8" borderId="0" xfId="77" applyNumberFormat="1" applyFont="1" applyFill="1"/>
    <xf numFmtId="0" fontId="39" fillId="8" borderId="0" xfId="77" applyFont="1" applyFill="1" applyAlignment="1">
      <alignment horizontal="right" vertical="center"/>
    </xf>
    <xf numFmtId="170" fontId="16" fillId="3" borderId="4" xfId="77" applyNumberFormat="1" applyFont="1" applyFill="1" applyBorder="1" applyAlignment="1">
      <alignment horizontal="left" wrapText="1"/>
    </xf>
    <xf numFmtId="170" fontId="16" fillId="3" borderId="4" xfId="77" applyNumberFormat="1" applyFont="1" applyFill="1" applyBorder="1" applyAlignment="1">
      <alignment horizontal="center" wrapText="1"/>
    </xf>
    <xf numFmtId="1" fontId="16" fillId="3" borderId="0" xfId="77" applyNumberFormat="1" applyFont="1" applyFill="1" applyAlignment="1">
      <alignment horizontal="right"/>
    </xf>
    <xf numFmtId="0" fontId="7" fillId="0" borderId="0" xfId="77" applyAlignment="1">
      <alignment wrapText="1"/>
    </xf>
    <xf numFmtId="0" fontId="16" fillId="3" borderId="0" xfId="77" applyFont="1" applyFill="1"/>
    <xf numFmtId="0" fontId="62" fillId="3" borderId="0" xfId="77" applyFont="1" applyFill="1" applyAlignment="1">
      <alignment horizontal="left"/>
    </xf>
    <xf numFmtId="0" fontId="46" fillId="0" borderId="0" xfId="77" applyFont="1" applyAlignment="1">
      <alignment horizontal="left"/>
    </xf>
    <xf numFmtId="180" fontId="63" fillId="0" borderId="0" xfId="77" applyNumberFormat="1" applyFont="1" applyAlignment="1">
      <alignment horizontal="right"/>
    </xf>
    <xf numFmtId="0" fontId="16" fillId="0" borderId="0" xfId="77" applyFont="1"/>
    <xf numFmtId="167" fontId="15" fillId="18" borderId="1" xfId="1" applyNumberFormat="1" applyFont="1" applyFill="1" applyBorder="1" applyAlignment="1">
      <alignment horizontal="right"/>
    </xf>
    <xf numFmtId="0" fontId="64" fillId="3" borderId="0" xfId="77" applyFont="1" applyFill="1"/>
    <xf numFmtId="0" fontId="65" fillId="3" borderId="0" xfId="77" applyFont="1" applyFill="1" applyAlignment="1">
      <alignment horizontal="left"/>
    </xf>
    <xf numFmtId="0" fontId="66" fillId="0" borderId="0" xfId="77" applyFont="1"/>
    <xf numFmtId="49" fontId="15" fillId="0" borderId="1" xfId="77" applyNumberFormat="1" applyFont="1" applyBorder="1" applyAlignment="1">
      <alignment horizontal="left"/>
    </xf>
    <xf numFmtId="0" fontId="46" fillId="3" borderId="0" xfId="77" applyFont="1" applyFill="1" applyAlignment="1">
      <alignment horizontal="left"/>
    </xf>
    <xf numFmtId="0" fontId="47" fillId="0" borderId="0" xfId="77" applyFont="1" applyAlignment="1">
      <alignment horizontal="center"/>
    </xf>
    <xf numFmtId="0" fontId="48" fillId="0" borderId="0" xfId="77" applyFont="1" applyAlignment="1">
      <alignment horizontal="center"/>
    </xf>
    <xf numFmtId="0" fontId="67" fillId="0" borderId="0" xfId="77" applyFont="1" applyAlignment="1">
      <alignment horizontal="center"/>
    </xf>
    <xf numFmtId="0" fontId="47" fillId="0" borderId="0" xfId="0" applyFont="1" applyAlignment="1">
      <alignment horizontal="center"/>
    </xf>
    <xf numFmtId="0" fontId="48" fillId="0" borderId="0" xfId="0" applyFont="1" applyAlignment="1">
      <alignment horizontal="center"/>
    </xf>
    <xf numFmtId="0" fontId="26" fillId="7" borderId="0" xfId="0" applyFont="1" applyFill="1" applyAlignment="1">
      <alignment horizontal="center" vertical="center"/>
    </xf>
    <xf numFmtId="167" fontId="10" fillId="8" borderId="0" xfId="0" applyNumberFormat="1" applyFont="1" applyFill="1" applyAlignment="1">
      <alignment horizontal="center"/>
    </xf>
    <xf numFmtId="167" fontId="10" fillId="8" borderId="6" xfId="0" applyNumberFormat="1" applyFont="1" applyFill="1" applyBorder="1" applyAlignment="1">
      <alignment horizontal="center"/>
    </xf>
    <xf numFmtId="0" fontId="16" fillId="10" borderId="1" xfId="0" applyFont="1" applyFill="1" applyBorder="1" applyAlignment="1">
      <alignment horizontal="center" vertical="center" wrapText="1"/>
    </xf>
    <xf numFmtId="0" fontId="14" fillId="0" borderId="0" xfId="0" applyFont="1" applyAlignment="1">
      <alignment horizontal="center"/>
    </xf>
    <xf numFmtId="0" fontId="16" fillId="3" borderId="4" xfId="0" applyFont="1" applyFill="1" applyBorder="1" applyAlignment="1">
      <alignment horizontal="center" vertical="center" wrapText="1"/>
    </xf>
    <xf numFmtId="0" fontId="16" fillId="3" borderId="6" xfId="0" applyFont="1" applyFill="1" applyBorder="1" applyAlignment="1">
      <alignment horizontal="center" vertical="center" wrapText="1"/>
    </xf>
    <xf numFmtId="170" fontId="16" fillId="3" borderId="4" xfId="0" applyNumberFormat="1" applyFont="1" applyFill="1" applyBorder="1" applyAlignment="1">
      <alignment horizontal="center" vertical="center" wrapText="1"/>
    </xf>
    <xf numFmtId="170" fontId="16" fillId="3" borderId="6" xfId="0" applyNumberFormat="1" applyFont="1" applyFill="1" applyBorder="1" applyAlignment="1">
      <alignment horizontal="center" vertical="center" wrapText="1"/>
    </xf>
    <xf numFmtId="0" fontId="26" fillId="5" borderId="0" xfId="0" applyFont="1" applyFill="1" applyAlignment="1">
      <alignment horizontal="center" vertical="center"/>
    </xf>
    <xf numFmtId="167" fontId="9" fillId="8" borderId="0" xfId="0" applyNumberFormat="1" applyFont="1" applyFill="1" applyAlignment="1">
      <alignment horizontal="center"/>
    </xf>
    <xf numFmtId="0" fontId="16" fillId="3" borderId="6" xfId="0" applyFont="1" applyFill="1" applyBorder="1" applyAlignment="1">
      <alignment horizontal="center" vertical="center"/>
    </xf>
    <xf numFmtId="0" fontId="16" fillId="3" borderId="4" xfId="0" applyFont="1" applyFill="1" applyBorder="1" applyAlignment="1">
      <alignment horizontal="center"/>
    </xf>
    <xf numFmtId="0" fontId="16" fillId="3" borderId="6" xfId="0" applyFont="1" applyFill="1" applyBorder="1" applyAlignment="1">
      <alignment horizontal="center"/>
    </xf>
    <xf numFmtId="0" fontId="26" fillId="3" borderId="0" xfId="0" applyFont="1" applyFill="1" applyAlignment="1">
      <alignment horizontal="center" vertical="center"/>
    </xf>
    <xf numFmtId="0" fontId="52" fillId="8" borderId="3" xfId="0" applyFont="1" applyFill="1" applyBorder="1" applyAlignment="1">
      <alignment horizontal="left"/>
    </xf>
    <xf numFmtId="0" fontId="9" fillId="8" borderId="4" xfId="0" applyFont="1" applyFill="1" applyBorder="1" applyAlignment="1">
      <alignment horizontal="right" vertical="center"/>
    </xf>
    <xf numFmtId="0" fontId="9" fillId="8" borderId="11" xfId="0" applyFont="1" applyFill="1" applyBorder="1" applyAlignment="1">
      <alignment horizontal="right" vertical="center"/>
    </xf>
    <xf numFmtId="0" fontId="9" fillId="8" borderId="0" xfId="0" applyFont="1" applyFill="1" applyAlignment="1">
      <alignment horizontal="right" vertical="center"/>
    </xf>
    <xf numFmtId="0" fontId="9" fillId="8" borderId="13" xfId="0" applyFont="1" applyFill="1" applyBorder="1" applyAlignment="1">
      <alignment horizontal="right" vertical="center"/>
    </xf>
    <xf numFmtId="0" fontId="50" fillId="7" borderId="0" xfId="0" applyFont="1" applyFill="1" applyAlignment="1">
      <alignment horizontal="left"/>
    </xf>
    <xf numFmtId="0" fontId="0" fillId="0" borderId="8" xfId="0" applyBorder="1"/>
    <xf numFmtId="0" fontId="15" fillId="14" borderId="1" xfId="0" applyFont="1" applyFill="1" applyBorder="1"/>
    <xf numFmtId="0" fontId="11" fillId="7" borderId="0" xfId="0" applyFont="1" applyFill="1"/>
    <xf numFmtId="0" fontId="53" fillId="7" borderId="0" xfId="0" applyFont="1" applyFill="1" applyAlignment="1">
      <alignment horizontal="left"/>
    </xf>
    <xf numFmtId="0" fontId="54" fillId="0" borderId="0" xfId="0" applyFont="1" applyAlignment="1">
      <alignment horizontal="center"/>
    </xf>
    <xf numFmtId="0" fontId="55" fillId="0" borderId="0" xfId="0" applyFont="1" applyAlignment="1">
      <alignment horizontal="center"/>
    </xf>
    <xf numFmtId="0" fontId="32" fillId="16" borderId="4" xfId="0" applyFont="1" applyFill="1" applyBorder="1"/>
  </cellXfs>
  <cellStyles count="81">
    <cellStyle name="Comma 2" xfId="22" xr:uid="{AA62B120-8F6D-4009-8784-744C7957042C}"/>
    <cellStyle name="Comma 2 2" xfId="31" xr:uid="{7174DDE5-A533-4A74-A1C7-02C5C8761D87}"/>
    <cellStyle name="Comma 2 2 2" xfId="49" xr:uid="{BAAC622A-8BE8-44E7-B17E-1F3BA49CD05A}"/>
    <cellStyle name="Comma 2 2 3" xfId="67" xr:uid="{64E7B965-8B3F-4804-98EA-81FDDFA2A2DC}"/>
    <cellStyle name="Currency" xfId="1" builtinId="4"/>
    <cellStyle name="Currency 2" xfId="2" xr:uid="{00000000-0005-0000-0000-000001000000}"/>
    <cellStyle name="Currency 2 2" xfId="12" xr:uid="{6E0BF36D-13A8-4046-9338-87A0ED006D7C}"/>
    <cellStyle name="Currency 3" xfId="3" xr:uid="{00000000-0005-0000-0000-000002000000}"/>
    <cellStyle name="Currency 3 2" xfId="13" xr:uid="{C2C63098-A4CE-4D6A-B806-0CDE637AC668}"/>
    <cellStyle name="Currency 4" xfId="11" xr:uid="{98D31955-6475-44D5-A9EC-36347A8E869E}"/>
    <cellStyle name="Currency 4 2" xfId="27" xr:uid="{359247F1-2E3B-4CC7-9553-48F97A70EA65}"/>
    <cellStyle name="Currency 4 2 2" xfId="45" xr:uid="{3BED477D-5501-49B8-AE94-EB90F9D3FF2B}"/>
    <cellStyle name="Currency 4 2 3" xfId="63" xr:uid="{FE942544-1136-47B7-852B-BDD91341EEB9}"/>
    <cellStyle name="Currency 4 3" xfId="17" xr:uid="{C70291F0-FAEF-4377-AE8F-C3E549D6E8CA}"/>
    <cellStyle name="Currency 4 4" xfId="37" xr:uid="{B999848B-CE9E-4FBD-9D6A-C0722C3ABD9C}"/>
    <cellStyle name="Currency 4 5" xfId="55" xr:uid="{701D72D9-D954-494A-B808-032C2D99BF84}"/>
    <cellStyle name="Currency 5" xfId="19" xr:uid="{524E5FFD-C360-40E2-A3F2-3D1426E6579C}"/>
    <cellStyle name="Currency 5 2" xfId="30" xr:uid="{ECF2E280-06AB-460A-8FFE-D0A6FD00841B}"/>
    <cellStyle name="Currency 5 2 2" xfId="48" xr:uid="{F4B6CC97-D0AF-46F1-B5B4-5BB75DFA4885}"/>
    <cellStyle name="Currency 5 2 3" xfId="66" xr:uid="{5AAAE7CF-931C-4195-9CB2-A6DF528023FF}"/>
    <cellStyle name="Currency 5 3" xfId="40" xr:uid="{BBAE672B-973B-489B-A9D1-8B2EB016F0DA}"/>
    <cellStyle name="Currency 5 4" xfId="58" xr:uid="{15DEA7E3-16EA-4A5C-8AFF-0E977AE166A0}"/>
    <cellStyle name="Euro" xfId="4" xr:uid="{00000000-0005-0000-0000-000003000000}"/>
    <cellStyle name="Even" xfId="74" xr:uid="{150CBFE6-0578-45A8-8C72-36FE3D5CE572}"/>
    <cellStyle name="Header" xfId="76" xr:uid="{667EC74F-D388-4A12-92DF-847858BF2BF8}"/>
    <cellStyle name="Hyperlink 2" xfId="6" xr:uid="{00000000-0005-0000-0000-000004000000}"/>
    <cellStyle name="Normal" xfId="0" builtinId="0"/>
    <cellStyle name="Normal 11" xfId="72" xr:uid="{8CFD94D8-8EDA-4296-971E-D7D63D7FFA83}"/>
    <cellStyle name="Normal 12" xfId="73" xr:uid="{D7DCF7EA-DF26-4B9B-8E22-311055AE6ED0}"/>
    <cellStyle name="Normal 2" xfId="5" xr:uid="{00000000-0005-0000-0000-000006000000}"/>
    <cellStyle name="Normal 3" xfId="7" xr:uid="{00000000-0005-0000-0000-000007000000}"/>
    <cellStyle name="Normal 3 2" xfId="14" xr:uid="{BCC0419F-48A2-4531-AD65-8787B223A40A}"/>
    <cellStyle name="Normal 3 2 2" xfId="43" xr:uid="{92DCF9E5-BA33-4569-874D-4B2A7408D4C1}"/>
    <cellStyle name="Normal 3 2 3" xfId="61" xr:uid="{767F212E-0B3E-4D5E-B032-E41F411B7933}"/>
    <cellStyle name="Normal 3 3" xfId="35" xr:uid="{EAFB7A96-5176-4B75-B1D3-56FFF25D796C}"/>
    <cellStyle name="Normal 3 4" xfId="53" xr:uid="{B32A7858-3CE3-44BC-8DC7-98574EC332D8}"/>
    <cellStyle name="Normal 4" xfId="10" xr:uid="{96E7D73D-79D4-4543-A074-8C19887B1117}"/>
    <cellStyle name="Normal 4 2" xfId="21" xr:uid="{989E10F0-94F5-41EE-9E85-74AE7ECB54FC}"/>
    <cellStyle name="Normal 4 3" xfId="26" xr:uid="{5F1A1B1A-26EE-4670-8767-445C939510E8}"/>
    <cellStyle name="Normal 4 3 2" xfId="44" xr:uid="{3E8524FF-9AA6-4007-866E-F864F5DC6BCA}"/>
    <cellStyle name="Normal 4 3 3" xfId="62" xr:uid="{EC74C239-12B6-42CE-BAAF-FE4974AD79A0}"/>
    <cellStyle name="Normal 4 4" xfId="16" xr:uid="{5AFBB887-306C-4546-9FC8-C380952F4B4F}"/>
    <cellStyle name="Normal 4 5" xfId="36" xr:uid="{476AA1A1-11C2-4C56-AA0D-9AAB5ADE8674}"/>
    <cellStyle name="Normal 4 6" xfId="54" xr:uid="{63E2BDD6-CFEC-44CA-9580-A0AC787DC1B3}"/>
    <cellStyle name="Normal 5" xfId="9" xr:uid="{7DC2E81F-7863-4C78-A760-BBA20AA0EA5E}"/>
    <cellStyle name="Normal 5 2" xfId="29" xr:uid="{46FD6D27-E533-4EEC-98A7-48768E85B64F}"/>
    <cellStyle name="Normal 5 2 2" xfId="47" xr:uid="{D1FEB7A6-C36F-4F5F-A8C4-181F19FCAE3E}"/>
    <cellStyle name="Normal 5 2 3" xfId="65" xr:uid="{51D60AD0-D09F-4745-A88C-A509D0DBE3B7}"/>
    <cellStyle name="Normal 5 3" xfId="39" xr:uid="{3378CCEF-11C2-45F8-8950-855D488EC300}"/>
    <cellStyle name="Normal 5 4" xfId="57" xr:uid="{0C924EEF-B82D-4F8F-B78E-155DEBD3249B}"/>
    <cellStyle name="Normal 6" xfId="24" xr:uid="{389AD4DF-4CBE-4589-B164-1ECAF4FA5D3E}"/>
    <cellStyle name="Normal 6 2" xfId="33" xr:uid="{31BDCAFC-2F26-4BAC-9F77-1C8169951FE4}"/>
    <cellStyle name="Normal 6 2 2" xfId="51" xr:uid="{E76F6A69-B6E6-4D5B-8568-76A4F9F523DF}"/>
    <cellStyle name="Normal 6 2 3" xfId="69" xr:uid="{A28875A4-C8AA-4C1E-A5C5-300563A7ADEF}"/>
    <cellStyle name="Normal 6 3" xfId="41" xr:uid="{24F4D76C-1D0F-465D-A122-DC6FC08EC6B8}"/>
    <cellStyle name="Normal 6 4" xfId="59" xr:uid="{5F737144-692F-4E47-90A0-A8689A7E4758}"/>
    <cellStyle name="Normal 7" xfId="25" xr:uid="{A2C5C59F-0614-43B4-958F-ACCFCD2CE4D4}"/>
    <cellStyle name="Normal 7 2" xfId="42" xr:uid="{C9AFB3C6-C9D4-4412-B931-77DC88A322FC}"/>
    <cellStyle name="Normal 7 3" xfId="60" xr:uid="{6CA30D1F-3872-46D1-845F-CF6ECF7DB36A}"/>
    <cellStyle name="Normal 8" xfId="34" xr:uid="{429E89AC-7581-4CB6-86E4-E47C09EA2F7E}"/>
    <cellStyle name="Normal 8 2" xfId="52" xr:uid="{6F996C78-B871-4A6D-BD3B-63ADDB346737}"/>
    <cellStyle name="Normal 8 3" xfId="70" xr:uid="{FB9AD27E-FF38-48E9-AF71-ABD6B4ECB7FD}"/>
    <cellStyle name="Normal 9" xfId="71" xr:uid="{F2161489-5A2E-41EF-904E-98DB2011B288}"/>
    <cellStyle name="Odd" xfId="75" xr:uid="{CE830CA0-F5D7-4328-B07C-2542A4D0B843}"/>
    <cellStyle name="Percent" xfId="8" builtinId="5"/>
    <cellStyle name="Percent 2" xfId="15" xr:uid="{E2CC0EB9-5D0A-4E48-865F-C00C9C7C5B40}"/>
    <cellStyle name="Percent 2 2" xfId="28" xr:uid="{618A27C7-D8F0-4660-9093-F3B67AE9A219}"/>
    <cellStyle name="Percent 2 2 2" xfId="46" xr:uid="{B6C9A173-D3FE-4AE6-BE0E-2E4B62B2C89D}"/>
    <cellStyle name="Percent 2 2 3" xfId="64" xr:uid="{6DB3BFF9-8E09-4E74-88B4-AF7F3302F956}"/>
    <cellStyle name="Percent 2 3" xfId="18" xr:uid="{8096E555-DC3B-436E-90E6-5DD5D09F4C6A}"/>
    <cellStyle name="Percent 2 4" xfId="38" xr:uid="{A1A9512A-9AA2-4F0B-BA9C-FE1AF88589F8}"/>
    <cellStyle name="Percent 2 5" xfId="56" xr:uid="{46224D97-1B97-4499-B013-4DCD67451B17}"/>
    <cellStyle name="Percent 3" xfId="20" xr:uid="{7E10AC4B-606E-41E6-AB46-9F24CFA65313}"/>
    <cellStyle name="Percent 4" xfId="23" xr:uid="{785B9C50-0B53-422D-9D96-18544792207D}"/>
    <cellStyle name="Percent 4 2" xfId="32" xr:uid="{4614DA11-A0B7-4CE7-AD9D-EA08D9ADE642}"/>
    <cellStyle name="Percent 4 2 2" xfId="50" xr:uid="{C968872A-273F-43B6-BAB4-34D0A56B4D7A}"/>
    <cellStyle name="Percent 4 2 3" xfId="68" xr:uid="{05FE6A8F-0014-4DFC-9536-020543CE7F71}"/>
    <cellStyle name="Standard 2" xfId="77" xr:uid="{691077B1-7BDE-43BD-B787-554DC3526759}"/>
    <cellStyle name="Standard 3" xfId="78" xr:uid="{A55B3117-BB9E-435D-9F3F-40FF108E9FCD}"/>
    <cellStyle name="Standard 4" xfId="80" xr:uid="{1CC5A198-DF3B-4344-AF70-E01C52A61691}"/>
    <cellStyle name="Währung 2" xfId="79" xr:uid="{DAE1E889-06E1-4DEC-A7A9-953DBFDD9E30}"/>
  </cellStyles>
  <dxfs count="7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79998168889431442"/>
        </patternFill>
      </fill>
    </dxf>
    <dxf>
      <fill>
        <patternFill>
          <bgColor theme="5"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DE0000"/>
      <color rgb="FFFFFFCC"/>
      <color rgb="FFE60000"/>
      <color rgb="FFEE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jpe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6.jpe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editAs="oneCell">
    <xdr:from>
      <xdr:col>0</xdr:col>
      <xdr:colOff>76201</xdr:colOff>
      <xdr:row>0</xdr:row>
      <xdr:rowOff>91440</xdr:rowOff>
    </xdr:from>
    <xdr:to>
      <xdr:col>1</xdr:col>
      <xdr:colOff>1143000</xdr:colOff>
      <xdr:row>1</xdr:row>
      <xdr:rowOff>22702</xdr:rowOff>
    </xdr:to>
    <xdr:pic>
      <xdr:nvPicPr>
        <xdr:cNvPr id="2" name="Picture 1">
          <a:extLst>
            <a:ext uri="{FF2B5EF4-FFF2-40B4-BE49-F238E27FC236}">
              <a16:creationId xmlns:a16="http://schemas.microsoft.com/office/drawing/2014/main" id="{D32D7DA1-AC0C-4129-B148-E1B11D0BB1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1" y="91440"/>
          <a:ext cx="1952624" cy="7123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73742</xdr:rowOff>
    </xdr:from>
    <xdr:to>
      <xdr:col>1</xdr:col>
      <xdr:colOff>2302565</xdr:colOff>
      <xdr:row>0</xdr:row>
      <xdr:rowOff>713756</xdr:rowOff>
    </xdr:to>
    <xdr:pic>
      <xdr:nvPicPr>
        <xdr:cNvPr id="2" name="Picture 1">
          <a:extLst>
            <a:ext uri="{FF2B5EF4-FFF2-40B4-BE49-F238E27FC236}">
              <a16:creationId xmlns:a16="http://schemas.microsoft.com/office/drawing/2014/main" id="{25758EDC-1594-4070-B207-88D7AC59AAB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73742"/>
          <a:ext cx="3007415" cy="640014"/>
        </a:xfrm>
        <a:prstGeom prst="rect">
          <a:avLst/>
        </a:prstGeom>
      </xdr:spPr>
    </xdr:pic>
    <xdr:clientData/>
  </xdr:twoCellAnchor>
  <xdr:twoCellAnchor editAs="oneCell">
    <xdr:from>
      <xdr:col>2</xdr:col>
      <xdr:colOff>549166</xdr:colOff>
      <xdr:row>0</xdr:row>
      <xdr:rowOff>99849</xdr:rowOff>
    </xdr:from>
    <xdr:to>
      <xdr:col>3</xdr:col>
      <xdr:colOff>738654</xdr:colOff>
      <xdr:row>0</xdr:row>
      <xdr:rowOff>758173</xdr:rowOff>
    </xdr:to>
    <xdr:pic>
      <xdr:nvPicPr>
        <xdr:cNvPr id="3" name="Picture 2">
          <a:extLst>
            <a:ext uri="{FF2B5EF4-FFF2-40B4-BE49-F238E27FC236}">
              <a16:creationId xmlns:a16="http://schemas.microsoft.com/office/drawing/2014/main" id="{C2566C55-BA98-483D-9C32-B74CBE64D8D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901966" y="99849"/>
          <a:ext cx="1237238" cy="65832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662152</xdr:colOff>
      <xdr:row>0</xdr:row>
      <xdr:rowOff>42041</xdr:rowOff>
    </xdr:from>
    <xdr:to>
      <xdr:col>3</xdr:col>
      <xdr:colOff>646699</xdr:colOff>
      <xdr:row>0</xdr:row>
      <xdr:rowOff>723281</xdr:rowOff>
    </xdr:to>
    <xdr:pic>
      <xdr:nvPicPr>
        <xdr:cNvPr id="2" name="Picture 1">
          <a:extLst>
            <a:ext uri="{FF2B5EF4-FFF2-40B4-BE49-F238E27FC236}">
              <a16:creationId xmlns:a16="http://schemas.microsoft.com/office/drawing/2014/main" id="{590326B4-35A0-429B-B1DD-CE523A9A43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62727" y="42041"/>
          <a:ext cx="1194222" cy="6812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632411</xdr:colOff>
      <xdr:row>0</xdr:row>
      <xdr:rowOff>182026</xdr:rowOff>
    </xdr:from>
    <xdr:to>
      <xdr:col>3</xdr:col>
      <xdr:colOff>663056</xdr:colOff>
      <xdr:row>0</xdr:row>
      <xdr:rowOff>703780</xdr:rowOff>
    </xdr:to>
    <xdr:pic>
      <xdr:nvPicPr>
        <xdr:cNvPr id="2" name="Picture 1">
          <a:extLst>
            <a:ext uri="{FF2B5EF4-FFF2-40B4-BE49-F238E27FC236}">
              <a16:creationId xmlns:a16="http://schemas.microsoft.com/office/drawing/2014/main" id="{5F350C09-B813-4CAC-A749-321D5F694A18}"/>
            </a:ext>
          </a:extLst>
        </xdr:cNvPr>
        <xdr:cNvPicPr>
          <a:picLocks noChangeAspect="1"/>
        </xdr:cNvPicPr>
      </xdr:nvPicPr>
      <xdr:blipFill>
        <a:blip xmlns:r="http://schemas.openxmlformats.org/officeDocument/2006/relationships" r:embed="rId1"/>
        <a:stretch>
          <a:fillRect/>
        </a:stretch>
      </xdr:blipFill>
      <xdr:spPr>
        <a:xfrm>
          <a:off x="4571951" y="180121"/>
          <a:ext cx="1114590" cy="52746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707465</xdr:colOff>
      <xdr:row>0</xdr:row>
      <xdr:rowOff>125329</xdr:rowOff>
    </xdr:from>
    <xdr:to>
      <xdr:col>3</xdr:col>
      <xdr:colOff>728063</xdr:colOff>
      <xdr:row>0</xdr:row>
      <xdr:rowOff>650893</xdr:rowOff>
    </xdr:to>
    <xdr:pic>
      <xdr:nvPicPr>
        <xdr:cNvPr id="2" name="Picture 1">
          <a:extLst>
            <a:ext uri="{FF2B5EF4-FFF2-40B4-BE49-F238E27FC236}">
              <a16:creationId xmlns:a16="http://schemas.microsoft.com/office/drawing/2014/main" id="{18CD9595-03E6-4858-8385-52FCEB11D773}"/>
            </a:ext>
          </a:extLst>
        </xdr:cNvPr>
        <xdr:cNvPicPr>
          <a:picLocks noChangeAspect="1"/>
        </xdr:cNvPicPr>
      </xdr:nvPicPr>
      <xdr:blipFill>
        <a:blip xmlns:r="http://schemas.openxmlformats.org/officeDocument/2006/relationships" r:embed="rId1"/>
        <a:stretch>
          <a:fillRect/>
        </a:stretch>
      </xdr:blipFill>
      <xdr:spPr>
        <a:xfrm>
          <a:off x="4338561" y="125329"/>
          <a:ext cx="1094024" cy="52556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271096</xdr:colOff>
      <xdr:row>0</xdr:row>
      <xdr:rowOff>52742</xdr:rowOff>
    </xdr:from>
    <xdr:to>
      <xdr:col>3</xdr:col>
      <xdr:colOff>525208</xdr:colOff>
      <xdr:row>0</xdr:row>
      <xdr:rowOff>741255</xdr:rowOff>
    </xdr:to>
    <xdr:pic>
      <xdr:nvPicPr>
        <xdr:cNvPr id="2" name="Picture 1">
          <a:extLst>
            <a:ext uri="{FF2B5EF4-FFF2-40B4-BE49-F238E27FC236}">
              <a16:creationId xmlns:a16="http://schemas.microsoft.com/office/drawing/2014/main" id="{1A794927-A43B-444A-AC28-960CA9F6CA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843096" y="52742"/>
          <a:ext cx="1501887" cy="68851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1295400</xdr:colOff>
      <xdr:row>0</xdr:row>
      <xdr:rowOff>0</xdr:rowOff>
    </xdr:to>
    <xdr:pic>
      <xdr:nvPicPr>
        <xdr:cNvPr id="2" name="Picture 6" descr="LOGO_toys_CMYK">
          <a:extLst>
            <a:ext uri="{FF2B5EF4-FFF2-40B4-BE49-F238E27FC236}">
              <a16:creationId xmlns:a16="http://schemas.microsoft.com/office/drawing/2014/main" id="{634AE8FF-180B-4706-81AE-ED51FFC890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1986" t="12698" r="17990" b="9995"/>
        <a:stretch>
          <a:fillRect/>
        </a:stretch>
      </xdr:blipFill>
      <xdr:spPr bwMode="auto">
        <a:xfrm>
          <a:off x="0" y="0"/>
          <a:ext cx="20002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73741</xdr:rowOff>
    </xdr:from>
    <xdr:to>
      <xdr:col>4</xdr:col>
      <xdr:colOff>262189</xdr:colOff>
      <xdr:row>0</xdr:row>
      <xdr:rowOff>725959</xdr:rowOff>
    </xdr:to>
    <xdr:pic>
      <xdr:nvPicPr>
        <xdr:cNvPr id="3" name="Picture 2">
          <a:extLst>
            <a:ext uri="{FF2B5EF4-FFF2-40B4-BE49-F238E27FC236}">
              <a16:creationId xmlns:a16="http://schemas.microsoft.com/office/drawing/2014/main" id="{682DAC95-6F59-4149-A25A-94C1664347A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741"/>
          <a:ext cx="4054197" cy="65221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1295400</xdr:colOff>
      <xdr:row>0</xdr:row>
      <xdr:rowOff>0</xdr:rowOff>
    </xdr:to>
    <xdr:pic>
      <xdr:nvPicPr>
        <xdr:cNvPr id="2" name="Picture 6" descr="LOGO_toys_CMYK">
          <a:extLst>
            <a:ext uri="{FF2B5EF4-FFF2-40B4-BE49-F238E27FC236}">
              <a16:creationId xmlns:a16="http://schemas.microsoft.com/office/drawing/2014/main" id="{273C7532-4B23-42C8-BA38-1D8D3A8EC6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1986" t="12698" r="17990" b="9995"/>
        <a:stretch>
          <a:fillRect/>
        </a:stretch>
      </xdr:blipFill>
      <xdr:spPr bwMode="auto">
        <a:xfrm>
          <a:off x="0" y="0"/>
          <a:ext cx="20002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73741</xdr:rowOff>
    </xdr:from>
    <xdr:to>
      <xdr:col>4</xdr:col>
      <xdr:colOff>262189</xdr:colOff>
      <xdr:row>0</xdr:row>
      <xdr:rowOff>725959</xdr:rowOff>
    </xdr:to>
    <xdr:pic>
      <xdr:nvPicPr>
        <xdr:cNvPr id="3" name="Picture 2">
          <a:extLst>
            <a:ext uri="{FF2B5EF4-FFF2-40B4-BE49-F238E27FC236}">
              <a16:creationId xmlns:a16="http://schemas.microsoft.com/office/drawing/2014/main" id="{53AA24F8-C420-441D-B750-AC76477D62C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741"/>
          <a:ext cx="4054197" cy="652218"/>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 displayName="Table" ref="A1:AC60" totalsRowShown="0">
  <autoFilter ref="A1:AC60" xr:uid="{00000000-0009-0000-0100-000001000000}"/>
  <tableColumns count="29">
    <tableColumn id="1" xr3:uid="{00000000-0010-0000-0000-000001000000}" name="Item number"/>
    <tableColumn id="2" xr3:uid="{00000000-0010-0000-0000-000002000000}" name="Product name"/>
    <tableColumn id="3" xr3:uid="{00000000-0010-0000-0000-000003000000}" name="Vendor"/>
    <tableColumn id="4" xr3:uid="{00000000-0010-0000-0000-000004000000}" name="Freight allocation group"/>
    <tableColumn id="5" xr3:uid="{00000000-0010-0000-0000-000005000000}" name="Visible in webshop"/>
    <tableColumn id="6" xr3:uid="{00000000-0010-0000-0000-000006000000}" name="Commission item group"/>
    <tableColumn id="7" xr3:uid="{00000000-0010-0000-0000-000007000000}" name="Alternative item number"/>
    <tableColumn id="8" xr3:uid="{00000000-0010-0000-0000-000008000000}" name="When to use"/>
    <tableColumn id="9" xr3:uid="{00000000-0010-0000-0000-000009000000}" name="Kit"/>
    <tableColumn id="10" xr3:uid="{00000000-0010-0000-0000-00000A000000}" name="Item rebate group"/>
    <tableColumn id="11" xr3:uid="{00000000-0010-0000-0000-00000B000000}" name="Coverage group"/>
    <tableColumn id="12" xr3:uid="{00000000-0010-0000-0000-00000C000000}" name="Country/region"/>
    <tableColumn id="13" xr3:uid="{00000000-0010-0000-0000-00000D000000}" name="Pallet quantity"/>
    <tableColumn id="14" xr3:uid="{00000000-0010-0000-0000-00000E000000}" name="E-commerce"/>
    <tableColumn id="15" xr3:uid="{00000000-0010-0000-0000-00000F000000}" name="Volume"/>
    <tableColumn id="16" xr3:uid="{00000000-0010-0000-0000-000010000000}" name="Net weight"/>
    <tableColumn id="17" xr3:uid="{00000000-0010-0000-0000-000011000000}" name="Tare weight"/>
    <tableColumn id="18" xr3:uid="{00000000-0010-0000-0000-000012000000}" name="Gross width"/>
    <tableColumn id="19" xr3:uid="{00000000-0010-0000-0000-000013000000}" name="Gross depth"/>
    <tableColumn id="20" xr3:uid="{00000000-0010-0000-0000-000014000000}" name="Gross height"/>
    <tableColumn id="21" xr3:uid="{00000000-0010-0000-0000-000015000000}" name="Commodity"/>
    <tableColumn id="22" xr3:uid="{00000000-0010-0000-0000-000016000000}" name="Danger class"/>
    <tableColumn id="23" xr3:uid="{00000000-0010-0000-0000-000017000000}" name="Search name"/>
    <tableColumn id="24" xr3:uid="{00000000-0010-0000-0000-000018000000}" name="Total weight"/>
    <tableColumn id="25" xr3:uid="{00000000-0010-0000-0000-000019000000}" name="Extended fieldcheck RT-WMS"/>
    <tableColumn id="26" xr3:uid="{00000000-0010-0000-0000-00001A000000}" name="Product type"/>
    <tableColumn id="27" xr3:uid="{00000000-0010-0000-0000-00001B000000}" name="Product subtype"/>
    <tableColumn id="28" xr3:uid="{00000000-0010-0000-0000-00001C000000}" name="Product dimension group"/>
    <tableColumn id="29" xr3:uid="{00000000-0010-0000-0000-00001D000000}" name="Production type"/>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AF3E4-A22D-4361-AFFF-7FCBD713166E}">
  <dimension ref="A1:AA357"/>
  <sheetViews>
    <sheetView tabSelected="1" zoomScale="115" zoomScaleNormal="115" zoomScaleSheetLayoutView="85" workbookViewId="0"/>
  </sheetViews>
  <sheetFormatPr defaultColWidth="13.6640625" defaultRowHeight="13.2" outlineLevelCol="1" x14ac:dyDescent="0.25"/>
  <cols>
    <col min="1" max="1" width="13.33203125" style="192" bestFit="1" customWidth="1"/>
    <col min="2" max="2" width="39.6640625" style="192" bestFit="1" customWidth="1"/>
    <col min="3" max="3" width="15.6640625" style="222" customWidth="1"/>
    <col min="4" max="4" width="14" style="238" customWidth="1" outlineLevel="1"/>
    <col min="5" max="16384" width="13.6640625" style="192"/>
  </cols>
  <sheetData>
    <row r="1" spans="1:27" s="174" customFormat="1" ht="61.95" customHeight="1" x14ac:dyDescent="0.5">
      <c r="A1" s="171"/>
      <c r="B1" s="172"/>
      <c r="C1" s="223"/>
      <c r="D1" s="224"/>
    </row>
    <row r="2" spans="1:27" s="174" customFormat="1" ht="21" customHeight="1" x14ac:dyDescent="0.45">
      <c r="A2" s="176"/>
      <c r="B2" s="172"/>
      <c r="C2" s="217"/>
      <c r="D2" s="225"/>
    </row>
    <row r="3" spans="1:27" ht="15" customHeight="1" x14ac:dyDescent="0.25">
      <c r="A3" s="179"/>
      <c r="B3" s="180"/>
      <c r="C3" s="226"/>
      <c r="D3" s="182" t="s">
        <v>14006</v>
      </c>
      <c r="E3" s="174"/>
      <c r="F3" s="174"/>
      <c r="G3" s="174"/>
      <c r="H3" s="174"/>
      <c r="I3" s="174"/>
      <c r="J3" s="174"/>
      <c r="K3" s="174"/>
      <c r="L3" s="174"/>
      <c r="M3" s="174"/>
      <c r="N3" s="174"/>
      <c r="O3" s="174"/>
      <c r="P3" s="174"/>
      <c r="Q3" s="174"/>
      <c r="R3" s="174"/>
      <c r="S3" s="174"/>
      <c r="T3" s="174"/>
      <c r="U3" s="174"/>
      <c r="V3" s="174"/>
      <c r="W3" s="174"/>
      <c r="X3" s="174"/>
      <c r="Y3" s="174"/>
      <c r="Z3" s="174"/>
      <c r="AA3" s="174"/>
    </row>
    <row r="4" spans="1:27" ht="7.5" customHeight="1" x14ac:dyDescent="0.25">
      <c r="A4" s="184"/>
      <c r="B4" s="185"/>
      <c r="C4" s="227"/>
      <c r="D4" s="187"/>
      <c r="E4" s="174"/>
      <c r="F4" s="174"/>
      <c r="G4" s="174"/>
      <c r="H4" s="174"/>
      <c r="I4" s="174"/>
      <c r="J4" s="174"/>
      <c r="K4" s="174"/>
      <c r="L4" s="174"/>
      <c r="M4" s="174"/>
      <c r="N4" s="174"/>
      <c r="O4" s="174"/>
      <c r="P4" s="174"/>
      <c r="Q4" s="174"/>
      <c r="R4" s="174"/>
      <c r="S4" s="174"/>
      <c r="T4" s="174"/>
      <c r="U4" s="174"/>
      <c r="V4" s="174"/>
      <c r="W4" s="174"/>
      <c r="X4" s="174"/>
      <c r="Y4" s="174"/>
      <c r="Z4" s="174"/>
      <c r="AA4" s="174"/>
    </row>
    <row r="5" spans="1:27" ht="13.8" x14ac:dyDescent="0.3">
      <c r="A5" s="188"/>
      <c r="B5" s="189"/>
      <c r="C5" s="194"/>
      <c r="D5" s="228" t="s">
        <v>13991</v>
      </c>
    </row>
    <row r="6" spans="1:27" ht="13.8" x14ac:dyDescent="0.3">
      <c r="A6" s="229" t="s">
        <v>119</v>
      </c>
      <c r="B6" s="230" t="s">
        <v>262</v>
      </c>
      <c r="C6" s="197" t="s">
        <v>0</v>
      </c>
      <c r="D6" s="231" t="s">
        <v>13992</v>
      </c>
    </row>
    <row r="7" spans="1:27" s="199" customFormat="1" ht="14.4" x14ac:dyDescent="0.3">
      <c r="B7" s="200" t="s">
        <v>235</v>
      </c>
      <c r="C7" s="201"/>
      <c r="D7" s="232"/>
    </row>
    <row r="8" spans="1:27" s="199" customFormat="1" x14ac:dyDescent="0.25">
      <c r="A8" s="203" t="s">
        <v>14420</v>
      </c>
      <c r="B8" s="203" t="s">
        <v>14421</v>
      </c>
      <c r="C8" s="204" t="s">
        <v>14422</v>
      </c>
      <c r="D8" s="233">
        <v>72.666666666666671</v>
      </c>
    </row>
    <row r="9" spans="1:27" s="199" customFormat="1" x14ac:dyDescent="0.25">
      <c r="A9" s="203" t="s">
        <v>14423</v>
      </c>
      <c r="B9" s="203" t="s">
        <v>14424</v>
      </c>
      <c r="C9" s="204" t="s">
        <v>14425</v>
      </c>
      <c r="D9" s="233">
        <v>92.666666666666671</v>
      </c>
    </row>
    <row r="10" spans="1:27" s="199" customFormat="1" x14ac:dyDescent="0.25">
      <c r="A10" s="203" t="s">
        <v>460</v>
      </c>
      <c r="B10" s="203" t="s">
        <v>461</v>
      </c>
      <c r="C10" s="204" t="s">
        <v>2732</v>
      </c>
      <c r="D10" s="233">
        <v>92.666666666666671</v>
      </c>
    </row>
    <row r="11" spans="1:27" s="199" customFormat="1" x14ac:dyDescent="0.25">
      <c r="A11" s="202" t="s">
        <v>462</v>
      </c>
      <c r="B11" s="203" t="s">
        <v>463</v>
      </c>
      <c r="C11" s="204" t="s">
        <v>2737</v>
      </c>
      <c r="D11" s="233">
        <v>92.666666666666671</v>
      </c>
    </row>
    <row r="12" spans="1:27" s="199" customFormat="1" x14ac:dyDescent="0.25">
      <c r="A12" s="203" t="s">
        <v>14426</v>
      </c>
      <c r="B12" s="203" t="s">
        <v>14427</v>
      </c>
      <c r="C12" s="204" t="s">
        <v>14428</v>
      </c>
      <c r="D12" s="233">
        <v>112.66666666666667</v>
      </c>
    </row>
    <row r="13" spans="1:27" s="199" customFormat="1" x14ac:dyDescent="0.25">
      <c r="A13" s="203" t="s">
        <v>14429</v>
      </c>
      <c r="B13" s="203" t="s">
        <v>14430</v>
      </c>
      <c r="C13" s="204" t="s">
        <v>14431</v>
      </c>
      <c r="D13" s="233">
        <v>112.66666666666667</v>
      </c>
    </row>
    <row r="14" spans="1:27" s="199" customFormat="1" x14ac:dyDescent="0.25">
      <c r="A14" s="203" t="s">
        <v>14432</v>
      </c>
      <c r="B14" s="203" t="s">
        <v>14433</v>
      </c>
      <c r="C14" s="204" t="s">
        <v>14434</v>
      </c>
      <c r="D14" s="233">
        <v>112.66666666666667</v>
      </c>
    </row>
    <row r="15" spans="1:27" s="199" customFormat="1" x14ac:dyDescent="0.25">
      <c r="A15" s="218" t="s">
        <v>14435</v>
      </c>
      <c r="B15" s="203" t="s">
        <v>14436</v>
      </c>
      <c r="C15" s="204" t="s">
        <v>14437</v>
      </c>
      <c r="D15" s="233">
        <v>79.333333333333329</v>
      </c>
    </row>
    <row r="16" spans="1:27" s="199" customFormat="1" x14ac:dyDescent="0.25">
      <c r="A16" s="218" t="s">
        <v>14438</v>
      </c>
      <c r="B16" s="203" t="s">
        <v>14439</v>
      </c>
      <c r="C16" s="204" t="s">
        <v>14440</v>
      </c>
      <c r="D16" s="233">
        <v>92.666666666666671</v>
      </c>
    </row>
    <row r="17" spans="1:4" s="199" customFormat="1" x14ac:dyDescent="0.25">
      <c r="A17" s="203" t="s">
        <v>14441</v>
      </c>
      <c r="B17" s="203" t="s">
        <v>14442</v>
      </c>
      <c r="C17" s="204" t="s">
        <v>14443</v>
      </c>
      <c r="D17" s="233">
        <v>119.33333333333333</v>
      </c>
    </row>
    <row r="18" spans="1:4" s="199" customFormat="1" x14ac:dyDescent="0.25">
      <c r="A18" s="203" t="s">
        <v>464</v>
      </c>
      <c r="B18" s="203" t="s">
        <v>671</v>
      </c>
      <c r="C18" s="204" t="s">
        <v>2747</v>
      </c>
      <c r="D18" s="233">
        <v>119.33333333333333</v>
      </c>
    </row>
    <row r="19" spans="1:4" s="199" customFormat="1" ht="14.4" x14ac:dyDescent="0.3">
      <c r="A19" s="234"/>
      <c r="B19" s="200" t="s">
        <v>14444</v>
      </c>
      <c r="C19" s="201"/>
      <c r="D19" s="235"/>
    </row>
    <row r="20" spans="1:4" s="199" customFormat="1" ht="12.75" customHeight="1" x14ac:dyDescent="0.25">
      <c r="A20" s="210" t="s">
        <v>14445</v>
      </c>
      <c r="B20" s="203" t="s">
        <v>14446</v>
      </c>
      <c r="C20" s="204" t="s">
        <v>14447</v>
      </c>
      <c r="D20" s="233">
        <v>132.66666666666666</v>
      </c>
    </row>
    <row r="21" spans="1:4" s="199" customFormat="1" x14ac:dyDescent="0.25">
      <c r="A21" s="203" t="s">
        <v>14448</v>
      </c>
      <c r="B21" s="203" t="s">
        <v>14449</v>
      </c>
      <c r="C21" s="204" t="s">
        <v>14450</v>
      </c>
      <c r="D21" s="233">
        <v>139.33333333333334</v>
      </c>
    </row>
    <row r="22" spans="1:4" s="199" customFormat="1" x14ac:dyDescent="0.25">
      <c r="A22" s="203" t="s">
        <v>14451</v>
      </c>
      <c r="B22" s="203" t="s">
        <v>14452</v>
      </c>
      <c r="C22" s="204" t="s">
        <v>14453</v>
      </c>
      <c r="D22" s="233">
        <v>146</v>
      </c>
    </row>
    <row r="23" spans="1:4" s="199" customFormat="1" x14ac:dyDescent="0.25">
      <c r="A23" s="202" t="s">
        <v>14454</v>
      </c>
      <c r="B23" s="203" t="s">
        <v>14455</v>
      </c>
      <c r="C23" s="204" t="s">
        <v>14456</v>
      </c>
      <c r="D23" s="233">
        <v>172.66666666666666</v>
      </c>
    </row>
    <row r="24" spans="1:4" s="199" customFormat="1" x14ac:dyDescent="0.25">
      <c r="A24" s="203" t="s">
        <v>14457</v>
      </c>
      <c r="B24" s="203" t="s">
        <v>14458</v>
      </c>
      <c r="C24" s="204" t="s">
        <v>14459</v>
      </c>
      <c r="D24" s="233">
        <v>179.33333333333334</v>
      </c>
    </row>
    <row r="25" spans="1:4" s="199" customFormat="1" x14ac:dyDescent="0.25">
      <c r="A25" s="218" t="s">
        <v>14460</v>
      </c>
      <c r="B25" s="203" t="s">
        <v>14461</v>
      </c>
      <c r="C25" s="204" t="s">
        <v>14462</v>
      </c>
      <c r="D25" s="233">
        <v>172.66666666666666</v>
      </c>
    </row>
    <row r="26" spans="1:4" s="199" customFormat="1" ht="14.4" x14ac:dyDescent="0.3">
      <c r="B26" s="200" t="s">
        <v>239</v>
      </c>
      <c r="C26" s="201"/>
      <c r="D26" s="235"/>
    </row>
    <row r="27" spans="1:4" s="199" customFormat="1" x14ac:dyDescent="0.25">
      <c r="A27" s="203" t="s">
        <v>14463</v>
      </c>
      <c r="B27" s="203" t="s">
        <v>14464</v>
      </c>
      <c r="C27" s="204" t="s">
        <v>14465</v>
      </c>
      <c r="D27" s="233">
        <v>199.33333333333334</v>
      </c>
    </row>
    <row r="28" spans="1:4" s="199" customFormat="1" x14ac:dyDescent="0.25">
      <c r="A28" s="202" t="s">
        <v>14466</v>
      </c>
      <c r="B28" s="203" t="s">
        <v>14467</v>
      </c>
      <c r="C28" s="204" t="s">
        <v>14468</v>
      </c>
      <c r="D28" s="233">
        <v>212.66666666666666</v>
      </c>
    </row>
    <row r="29" spans="1:4" s="199" customFormat="1" x14ac:dyDescent="0.25">
      <c r="A29" s="202" t="s">
        <v>14469</v>
      </c>
      <c r="B29" s="203" t="s">
        <v>2696</v>
      </c>
      <c r="C29" s="204" t="s">
        <v>2694</v>
      </c>
      <c r="D29" s="233">
        <v>219.33333333333334</v>
      </c>
    </row>
    <row r="30" spans="1:4" s="199" customFormat="1" x14ac:dyDescent="0.25">
      <c r="A30" s="203" t="s">
        <v>14470</v>
      </c>
      <c r="B30" s="203" t="s">
        <v>14471</v>
      </c>
      <c r="C30" s="204" t="s">
        <v>14472</v>
      </c>
      <c r="D30" s="233">
        <v>212.66666666666666</v>
      </c>
    </row>
    <row r="31" spans="1:4" s="199" customFormat="1" x14ac:dyDescent="0.25">
      <c r="A31" s="218" t="s">
        <v>14473</v>
      </c>
      <c r="B31" s="203" t="s">
        <v>14474</v>
      </c>
      <c r="C31" s="204" t="s">
        <v>14475</v>
      </c>
      <c r="D31" s="233">
        <v>212.66666666666666</v>
      </c>
    </row>
    <row r="32" spans="1:4" s="199" customFormat="1" x14ac:dyDescent="0.25">
      <c r="A32" s="218" t="s">
        <v>14476</v>
      </c>
      <c r="B32" s="203" t="s">
        <v>14477</v>
      </c>
      <c r="C32" s="204" t="s">
        <v>14478</v>
      </c>
      <c r="D32" s="233">
        <v>219.33333333333334</v>
      </c>
    </row>
    <row r="33" spans="1:4" s="199" customFormat="1" x14ac:dyDescent="0.25">
      <c r="A33" s="218" t="s">
        <v>14479</v>
      </c>
      <c r="B33" s="203" t="s">
        <v>14480</v>
      </c>
      <c r="C33" s="204" t="s">
        <v>14481</v>
      </c>
      <c r="D33" s="233">
        <v>212.66666666666666</v>
      </c>
    </row>
    <row r="34" spans="1:4" s="199" customFormat="1" x14ac:dyDescent="0.25">
      <c r="A34" s="203" t="s">
        <v>14482</v>
      </c>
      <c r="B34" s="203" t="s">
        <v>244</v>
      </c>
      <c r="C34" s="204" t="s">
        <v>14483</v>
      </c>
      <c r="D34" s="233">
        <v>266</v>
      </c>
    </row>
    <row r="35" spans="1:4" s="199" customFormat="1" x14ac:dyDescent="0.25">
      <c r="A35" s="203" t="s">
        <v>14484</v>
      </c>
      <c r="B35" s="203" t="s">
        <v>14485</v>
      </c>
      <c r="C35" s="204" t="s">
        <v>14486</v>
      </c>
      <c r="D35" s="233">
        <v>266</v>
      </c>
    </row>
    <row r="36" spans="1:4" s="199" customFormat="1" x14ac:dyDescent="0.25">
      <c r="A36" s="203" t="s">
        <v>14487</v>
      </c>
      <c r="B36" s="203" t="s">
        <v>247</v>
      </c>
      <c r="C36" s="204" t="s">
        <v>14488</v>
      </c>
      <c r="D36" s="233">
        <v>266</v>
      </c>
    </row>
    <row r="37" spans="1:4" s="199" customFormat="1" x14ac:dyDescent="0.25">
      <c r="A37" s="203" t="s">
        <v>14489</v>
      </c>
      <c r="B37" s="203" t="s">
        <v>14490</v>
      </c>
      <c r="C37" s="204" t="s">
        <v>14491</v>
      </c>
      <c r="D37" s="233">
        <v>186</v>
      </c>
    </row>
    <row r="38" spans="1:4" s="199" customFormat="1" x14ac:dyDescent="0.25">
      <c r="A38" s="203" t="s">
        <v>14492</v>
      </c>
      <c r="B38" s="203" t="s">
        <v>507</v>
      </c>
      <c r="C38" s="204" t="s">
        <v>2918</v>
      </c>
      <c r="D38" s="233">
        <v>322</v>
      </c>
    </row>
    <row r="39" spans="1:4" s="199" customFormat="1" ht="14.4" x14ac:dyDescent="0.3">
      <c r="A39" s="236"/>
      <c r="B39" s="200" t="s">
        <v>250</v>
      </c>
      <c r="C39" s="201"/>
      <c r="D39" s="235"/>
    </row>
    <row r="40" spans="1:4" s="199" customFormat="1" x14ac:dyDescent="0.25">
      <c r="A40" s="203" t="s">
        <v>14493</v>
      </c>
      <c r="B40" s="203" t="s">
        <v>14494</v>
      </c>
      <c r="C40" s="204" t="s">
        <v>14495</v>
      </c>
      <c r="D40" s="233">
        <v>306</v>
      </c>
    </row>
    <row r="41" spans="1:4" s="199" customFormat="1" x14ac:dyDescent="0.25">
      <c r="A41" s="203" t="s">
        <v>14496</v>
      </c>
      <c r="B41" s="203" t="s">
        <v>14497</v>
      </c>
      <c r="C41" s="204" t="s">
        <v>14498</v>
      </c>
      <c r="D41" s="233">
        <v>352.66666666666669</v>
      </c>
    </row>
    <row r="42" spans="1:4" s="199" customFormat="1" x14ac:dyDescent="0.25">
      <c r="A42" s="203" t="s">
        <v>14499</v>
      </c>
      <c r="B42" s="203" t="s">
        <v>14500</v>
      </c>
      <c r="C42" s="204" t="s">
        <v>14501</v>
      </c>
      <c r="D42" s="233">
        <v>332.66666666666669</v>
      </c>
    </row>
    <row r="43" spans="1:4" s="199" customFormat="1" x14ac:dyDescent="0.25">
      <c r="A43" s="203" t="s">
        <v>14502</v>
      </c>
      <c r="B43" s="203" t="s">
        <v>14503</v>
      </c>
      <c r="C43" s="204" t="s">
        <v>14504</v>
      </c>
      <c r="D43" s="233">
        <v>379.33333333333331</v>
      </c>
    </row>
    <row r="44" spans="1:4" s="199" customFormat="1" x14ac:dyDescent="0.25">
      <c r="A44" s="203" t="s">
        <v>14505</v>
      </c>
      <c r="B44" s="203" t="s">
        <v>14506</v>
      </c>
      <c r="C44" s="204" t="s">
        <v>14507</v>
      </c>
      <c r="D44" s="233">
        <v>519.33333333333337</v>
      </c>
    </row>
    <row r="45" spans="1:4" s="199" customFormat="1" x14ac:dyDescent="0.25">
      <c r="A45" s="202" t="s">
        <v>14508</v>
      </c>
      <c r="B45" s="203" t="s">
        <v>14509</v>
      </c>
      <c r="C45" s="204" t="s">
        <v>14510</v>
      </c>
      <c r="D45" s="233">
        <v>506</v>
      </c>
    </row>
    <row r="46" spans="1:4" s="199" customFormat="1" x14ac:dyDescent="0.25">
      <c r="A46" s="203" t="s">
        <v>14511</v>
      </c>
      <c r="B46" s="203" t="s">
        <v>14512</v>
      </c>
      <c r="C46" s="204" t="s">
        <v>14513</v>
      </c>
      <c r="D46" s="233">
        <v>506</v>
      </c>
    </row>
    <row r="47" spans="1:4" s="199" customFormat="1" ht="14.4" x14ac:dyDescent="0.3">
      <c r="A47" s="236"/>
      <c r="B47" s="200" t="s">
        <v>2645</v>
      </c>
      <c r="C47" s="201"/>
      <c r="D47" s="235"/>
    </row>
    <row r="48" spans="1:4" s="199" customFormat="1" x14ac:dyDescent="0.25">
      <c r="A48" s="203" t="s">
        <v>14514</v>
      </c>
      <c r="B48" s="203" t="s">
        <v>14515</v>
      </c>
      <c r="C48" s="204" t="s">
        <v>14516</v>
      </c>
      <c r="D48" s="233">
        <v>256.66666666666669</v>
      </c>
    </row>
    <row r="49" spans="1:4" s="199" customFormat="1" x14ac:dyDescent="0.25">
      <c r="A49" s="203" t="s">
        <v>14517</v>
      </c>
      <c r="B49" s="203" t="s">
        <v>14518</v>
      </c>
      <c r="C49" s="204" t="s">
        <v>14519</v>
      </c>
      <c r="D49" s="233">
        <v>256.66666666666669</v>
      </c>
    </row>
    <row r="50" spans="1:4" s="199" customFormat="1" ht="14.4" x14ac:dyDescent="0.3">
      <c r="B50" s="200" t="s">
        <v>14520</v>
      </c>
    </row>
    <row r="51" spans="1:4" s="199" customFormat="1" x14ac:dyDescent="0.25">
      <c r="A51" s="203" t="s">
        <v>1397</v>
      </c>
      <c r="B51" s="203" t="s">
        <v>14521</v>
      </c>
      <c r="C51" s="204" t="s">
        <v>1396</v>
      </c>
      <c r="D51" s="233">
        <v>490</v>
      </c>
    </row>
    <row r="52" spans="1:4" s="199" customFormat="1" x14ac:dyDescent="0.25">
      <c r="A52" s="203" t="s">
        <v>466</v>
      </c>
      <c r="B52" s="203" t="s">
        <v>14522</v>
      </c>
      <c r="C52" s="204" t="s">
        <v>1391</v>
      </c>
      <c r="D52" s="233">
        <v>656.66666666666663</v>
      </c>
    </row>
    <row r="53" spans="1:4" s="199" customFormat="1" x14ac:dyDescent="0.25">
      <c r="A53" s="203" t="s">
        <v>14523</v>
      </c>
      <c r="B53" s="203" t="s">
        <v>14524</v>
      </c>
      <c r="C53" s="204" t="s">
        <v>14525</v>
      </c>
      <c r="D53" s="233">
        <v>1259.3333333333333</v>
      </c>
    </row>
    <row r="54" spans="1:4" s="199" customFormat="1" ht="12" customHeight="1" x14ac:dyDescent="0.25">
      <c r="A54" s="202" t="s">
        <v>14526</v>
      </c>
      <c r="B54" s="203" t="s">
        <v>14527</v>
      </c>
      <c r="C54" s="204" t="s">
        <v>14528</v>
      </c>
      <c r="D54" s="233">
        <v>2286</v>
      </c>
    </row>
    <row r="55" spans="1:4" s="199" customFormat="1" x14ac:dyDescent="0.25">
      <c r="A55" s="203" t="s">
        <v>14529</v>
      </c>
      <c r="B55" s="203" t="s">
        <v>14530</v>
      </c>
      <c r="C55" s="204" t="s">
        <v>14531</v>
      </c>
      <c r="D55" s="233">
        <v>2026</v>
      </c>
    </row>
    <row r="56" spans="1:4" s="199" customFormat="1" x14ac:dyDescent="0.25">
      <c r="A56" s="203" t="s">
        <v>14532</v>
      </c>
      <c r="B56" s="203" t="s">
        <v>14533</v>
      </c>
      <c r="C56" s="204" t="s">
        <v>14534</v>
      </c>
      <c r="D56" s="233">
        <v>2106</v>
      </c>
    </row>
    <row r="57" spans="1:4" s="199" customFormat="1" x14ac:dyDescent="0.25">
      <c r="A57" s="203" t="s">
        <v>222</v>
      </c>
      <c r="B57" s="203" t="s">
        <v>14535</v>
      </c>
      <c r="C57" s="204" t="s">
        <v>3093</v>
      </c>
      <c r="D57" s="233">
        <v>266</v>
      </c>
    </row>
    <row r="58" spans="1:4" s="199" customFormat="1" ht="14.4" x14ac:dyDescent="0.3">
      <c r="A58" s="236"/>
      <c r="B58" s="200" t="s">
        <v>14536</v>
      </c>
      <c r="D58" s="235"/>
    </row>
    <row r="59" spans="1:4" s="199" customFormat="1" x14ac:dyDescent="0.25">
      <c r="A59" s="203" t="s">
        <v>14537</v>
      </c>
      <c r="B59" s="203" t="s">
        <v>14538</v>
      </c>
      <c r="C59" s="204" t="s">
        <v>1333</v>
      </c>
      <c r="D59" s="233">
        <v>370</v>
      </c>
    </row>
    <row r="60" spans="1:4" s="199" customFormat="1" x14ac:dyDescent="0.25">
      <c r="A60" s="203" t="s">
        <v>14539</v>
      </c>
      <c r="B60" s="203" t="s">
        <v>14540</v>
      </c>
      <c r="C60" s="204" t="s">
        <v>1311</v>
      </c>
      <c r="D60" s="233">
        <v>399.33333333333331</v>
      </c>
    </row>
    <row r="61" spans="1:4" s="199" customFormat="1" x14ac:dyDescent="0.25">
      <c r="A61" s="203" t="s">
        <v>14541</v>
      </c>
      <c r="B61" s="203" t="s">
        <v>14542</v>
      </c>
      <c r="C61" s="204" t="s">
        <v>1316</v>
      </c>
      <c r="D61" s="233">
        <v>439.33333333333331</v>
      </c>
    </row>
    <row r="62" spans="1:4" s="199" customFormat="1" x14ac:dyDescent="0.25">
      <c r="A62" s="203" t="s">
        <v>14543</v>
      </c>
      <c r="B62" s="203" t="s">
        <v>14544</v>
      </c>
      <c r="C62" s="204" t="s">
        <v>1354</v>
      </c>
      <c r="D62" s="233">
        <v>439.33333333333331</v>
      </c>
    </row>
    <row r="63" spans="1:4" s="199" customFormat="1" x14ac:dyDescent="0.25">
      <c r="A63" s="203" t="s">
        <v>14545</v>
      </c>
      <c r="B63" s="203" t="s">
        <v>14546</v>
      </c>
      <c r="C63" s="204" t="s">
        <v>14547</v>
      </c>
      <c r="D63" s="233">
        <v>439.33333333333331</v>
      </c>
    </row>
    <row r="64" spans="1:4" s="199" customFormat="1" x14ac:dyDescent="0.25">
      <c r="A64" s="203" t="s">
        <v>136</v>
      </c>
      <c r="B64" s="203" t="s">
        <v>14548</v>
      </c>
      <c r="C64" s="204" t="s">
        <v>1329</v>
      </c>
      <c r="D64" s="233">
        <v>503.33333333333331</v>
      </c>
    </row>
    <row r="65" spans="1:4" s="199" customFormat="1" x14ac:dyDescent="0.25">
      <c r="A65" s="203" t="s">
        <v>14549</v>
      </c>
      <c r="B65" s="203" t="s">
        <v>14550</v>
      </c>
      <c r="C65" s="204" t="s">
        <v>14551</v>
      </c>
      <c r="D65" s="233">
        <v>539.33333333333337</v>
      </c>
    </row>
    <row r="66" spans="1:4" s="199" customFormat="1" x14ac:dyDescent="0.25">
      <c r="A66" s="203" t="s">
        <v>14552</v>
      </c>
      <c r="B66" s="203" t="s">
        <v>14553</v>
      </c>
      <c r="C66" s="204" t="s">
        <v>14554</v>
      </c>
      <c r="D66" s="233">
        <v>643.33333333333337</v>
      </c>
    </row>
    <row r="67" spans="1:4" s="199" customFormat="1" x14ac:dyDescent="0.25">
      <c r="A67" s="203" t="s">
        <v>14555</v>
      </c>
      <c r="B67" s="203" t="s">
        <v>14556</v>
      </c>
      <c r="C67" s="204" t="s">
        <v>14557</v>
      </c>
      <c r="D67" s="233">
        <v>470</v>
      </c>
    </row>
    <row r="68" spans="1:4" s="199" customFormat="1" x14ac:dyDescent="0.25">
      <c r="A68" s="203" t="s">
        <v>14558</v>
      </c>
      <c r="B68" s="203" t="s">
        <v>14559</v>
      </c>
      <c r="C68" s="204" t="s">
        <v>14560</v>
      </c>
      <c r="D68" s="233">
        <v>510</v>
      </c>
    </row>
    <row r="69" spans="1:4" s="199" customFormat="1" x14ac:dyDescent="0.25">
      <c r="A69" s="203" t="s">
        <v>140</v>
      </c>
      <c r="B69" s="203" t="s">
        <v>14561</v>
      </c>
      <c r="C69" s="204" t="s">
        <v>1324</v>
      </c>
      <c r="D69" s="233">
        <v>546</v>
      </c>
    </row>
    <row r="70" spans="1:4" s="199" customFormat="1" x14ac:dyDescent="0.25">
      <c r="A70" s="203" t="s">
        <v>152</v>
      </c>
      <c r="B70" s="203" t="s">
        <v>14562</v>
      </c>
      <c r="C70" s="204" t="s">
        <v>1387</v>
      </c>
      <c r="D70" s="233">
        <v>586</v>
      </c>
    </row>
    <row r="71" spans="1:4" s="199" customFormat="1" x14ac:dyDescent="0.25">
      <c r="A71" s="203" t="s">
        <v>14563</v>
      </c>
      <c r="B71" s="203" t="s">
        <v>14564</v>
      </c>
      <c r="C71" s="204" t="s">
        <v>14565</v>
      </c>
      <c r="D71" s="233">
        <v>666</v>
      </c>
    </row>
    <row r="72" spans="1:4" s="199" customFormat="1" x14ac:dyDescent="0.25">
      <c r="A72" s="203" t="s">
        <v>154</v>
      </c>
      <c r="B72" s="203" t="s">
        <v>14566</v>
      </c>
      <c r="C72" s="204" t="s">
        <v>1369</v>
      </c>
      <c r="D72" s="233">
        <v>610</v>
      </c>
    </row>
    <row r="73" spans="1:4" s="199" customFormat="1" x14ac:dyDescent="0.25">
      <c r="A73" s="203" t="s">
        <v>156</v>
      </c>
      <c r="B73" s="203" t="s">
        <v>14567</v>
      </c>
      <c r="C73" s="204" t="s">
        <v>1364</v>
      </c>
      <c r="D73" s="233">
        <v>610</v>
      </c>
    </row>
    <row r="74" spans="1:4" s="199" customFormat="1" x14ac:dyDescent="0.25">
      <c r="A74" s="203" t="s">
        <v>158</v>
      </c>
      <c r="B74" s="203" t="s">
        <v>14568</v>
      </c>
      <c r="C74" s="204" t="s">
        <v>1382</v>
      </c>
      <c r="D74" s="233">
        <v>610</v>
      </c>
    </row>
    <row r="75" spans="1:4" s="199" customFormat="1" x14ac:dyDescent="0.25">
      <c r="A75" s="203" t="s">
        <v>160</v>
      </c>
      <c r="B75" s="203" t="s">
        <v>14569</v>
      </c>
      <c r="C75" s="204" t="s">
        <v>1378</v>
      </c>
      <c r="D75" s="233">
        <v>610</v>
      </c>
    </row>
    <row r="76" spans="1:4" s="199" customFormat="1" x14ac:dyDescent="0.25">
      <c r="A76" s="203" t="s">
        <v>164</v>
      </c>
      <c r="B76" s="203" t="s">
        <v>14570</v>
      </c>
      <c r="C76" s="204" t="s">
        <v>1360</v>
      </c>
      <c r="D76" s="233">
        <v>610</v>
      </c>
    </row>
    <row r="77" spans="1:4" s="199" customFormat="1" x14ac:dyDescent="0.25">
      <c r="A77" s="203" t="s">
        <v>168</v>
      </c>
      <c r="B77" s="203" t="s">
        <v>14571</v>
      </c>
      <c r="C77" s="204" t="s">
        <v>1374</v>
      </c>
      <c r="D77" s="233">
        <v>610</v>
      </c>
    </row>
    <row r="78" spans="1:4" s="199" customFormat="1" ht="14.4" x14ac:dyDescent="0.3">
      <c r="B78" s="200" t="s">
        <v>14572</v>
      </c>
      <c r="C78" s="201"/>
      <c r="D78" s="235"/>
    </row>
    <row r="79" spans="1:4" s="199" customFormat="1" ht="12.75" customHeight="1" x14ac:dyDescent="0.25">
      <c r="A79" s="203" t="s">
        <v>14573</v>
      </c>
      <c r="B79" s="203" t="s">
        <v>14574</v>
      </c>
      <c r="C79" s="204" t="s">
        <v>1402</v>
      </c>
      <c r="D79" s="233">
        <v>579.33333333333337</v>
      </c>
    </row>
    <row r="80" spans="1:4" s="199" customFormat="1" x14ac:dyDescent="0.25">
      <c r="A80" s="203" t="s">
        <v>14575</v>
      </c>
      <c r="B80" s="203" t="s">
        <v>14576</v>
      </c>
      <c r="C80" s="204" t="s">
        <v>1420</v>
      </c>
      <c r="D80" s="233">
        <v>579.33333333333337</v>
      </c>
    </row>
    <row r="81" spans="1:4" s="199" customFormat="1" x14ac:dyDescent="0.25">
      <c r="A81" s="203" t="s">
        <v>14577</v>
      </c>
      <c r="B81" s="203" t="s">
        <v>14578</v>
      </c>
      <c r="C81" s="204" t="s">
        <v>14579</v>
      </c>
      <c r="D81" s="233">
        <v>579.33333333333337</v>
      </c>
    </row>
    <row r="82" spans="1:4" s="199" customFormat="1" x14ac:dyDescent="0.25">
      <c r="A82" s="203" t="s">
        <v>1412</v>
      </c>
      <c r="B82" s="203" t="s">
        <v>1413</v>
      </c>
      <c r="C82" s="204" t="s">
        <v>1411</v>
      </c>
      <c r="D82" s="233">
        <v>643.33333333333337</v>
      </c>
    </row>
    <row r="83" spans="1:4" s="199" customFormat="1" x14ac:dyDescent="0.25">
      <c r="A83" s="203" t="s">
        <v>14580</v>
      </c>
      <c r="B83" s="203" t="s">
        <v>14581</v>
      </c>
      <c r="C83" s="204" t="s">
        <v>14582</v>
      </c>
      <c r="D83" s="233">
        <v>679.33333333333337</v>
      </c>
    </row>
    <row r="84" spans="1:4" s="199" customFormat="1" x14ac:dyDescent="0.25">
      <c r="A84" s="203" t="s">
        <v>14583</v>
      </c>
      <c r="B84" s="203" t="s">
        <v>14584</v>
      </c>
      <c r="C84" s="204" t="s">
        <v>14585</v>
      </c>
      <c r="D84" s="233">
        <v>610</v>
      </c>
    </row>
    <row r="85" spans="1:4" s="199" customFormat="1" x14ac:dyDescent="0.25">
      <c r="A85" s="203" t="s">
        <v>14586</v>
      </c>
      <c r="B85" s="203" t="s">
        <v>1419</v>
      </c>
      <c r="C85" s="204" t="s">
        <v>14587</v>
      </c>
      <c r="D85" s="233">
        <v>650</v>
      </c>
    </row>
    <row r="86" spans="1:4" s="199" customFormat="1" x14ac:dyDescent="0.25">
      <c r="A86" s="203" t="s">
        <v>1409</v>
      </c>
      <c r="B86" s="203" t="s">
        <v>1410</v>
      </c>
      <c r="C86" s="204" t="s">
        <v>1408</v>
      </c>
      <c r="D86" s="233">
        <v>686</v>
      </c>
    </row>
    <row r="87" spans="1:4" s="199" customFormat="1" x14ac:dyDescent="0.25">
      <c r="A87" s="203" t="s">
        <v>1442</v>
      </c>
      <c r="B87" s="203" t="s">
        <v>1443</v>
      </c>
      <c r="C87" s="204" t="s">
        <v>1441</v>
      </c>
      <c r="D87" s="233">
        <v>726</v>
      </c>
    </row>
    <row r="88" spans="1:4" s="199" customFormat="1" x14ac:dyDescent="0.25">
      <c r="A88" s="203" t="s">
        <v>14588</v>
      </c>
      <c r="B88" s="203" t="s">
        <v>14589</v>
      </c>
      <c r="C88" s="204" t="s">
        <v>14590</v>
      </c>
      <c r="D88" s="233">
        <v>806</v>
      </c>
    </row>
    <row r="89" spans="1:4" s="199" customFormat="1" x14ac:dyDescent="0.25">
      <c r="A89" s="203" t="s">
        <v>1430</v>
      </c>
      <c r="B89" s="203" t="s">
        <v>1431</v>
      </c>
      <c r="C89" s="204" t="s">
        <v>1429</v>
      </c>
      <c r="D89" s="233">
        <v>750</v>
      </c>
    </row>
    <row r="90" spans="1:4" s="199" customFormat="1" x14ac:dyDescent="0.25">
      <c r="A90" s="203" t="s">
        <v>1427</v>
      </c>
      <c r="B90" s="203" t="s">
        <v>1428</v>
      </c>
      <c r="C90" s="204" t="s">
        <v>1426</v>
      </c>
      <c r="D90" s="233">
        <v>750</v>
      </c>
    </row>
    <row r="91" spans="1:4" s="199" customFormat="1" x14ac:dyDescent="0.25">
      <c r="A91" s="203" t="s">
        <v>1439</v>
      </c>
      <c r="B91" s="203" t="s">
        <v>1440</v>
      </c>
      <c r="C91" s="204" t="s">
        <v>1438</v>
      </c>
      <c r="D91" s="233">
        <v>750</v>
      </c>
    </row>
    <row r="92" spans="1:4" s="199" customFormat="1" x14ac:dyDescent="0.25">
      <c r="A92" s="203" t="s">
        <v>1436</v>
      </c>
      <c r="B92" s="203" t="s">
        <v>1437</v>
      </c>
      <c r="C92" s="204" t="s">
        <v>1435</v>
      </c>
      <c r="D92" s="233">
        <v>750</v>
      </c>
    </row>
    <row r="93" spans="1:4" s="199" customFormat="1" x14ac:dyDescent="0.25">
      <c r="A93" s="203" t="s">
        <v>1424</v>
      </c>
      <c r="B93" s="203" t="s">
        <v>1425</v>
      </c>
      <c r="C93" s="204" t="s">
        <v>1423</v>
      </c>
      <c r="D93" s="233">
        <v>750</v>
      </c>
    </row>
    <row r="94" spans="1:4" s="199" customFormat="1" x14ac:dyDescent="0.25">
      <c r="A94" s="203" t="s">
        <v>1433</v>
      </c>
      <c r="B94" s="203" t="s">
        <v>1434</v>
      </c>
      <c r="C94" s="204" t="s">
        <v>1432</v>
      </c>
      <c r="D94" s="233">
        <v>750</v>
      </c>
    </row>
    <row r="95" spans="1:4" s="199" customFormat="1" ht="14.4" x14ac:dyDescent="0.3">
      <c r="A95" s="236"/>
      <c r="B95" s="200" t="s">
        <v>14591</v>
      </c>
      <c r="C95" s="201"/>
      <c r="D95" s="235"/>
    </row>
    <row r="96" spans="1:4" s="199" customFormat="1" ht="12.75" customHeight="1" x14ac:dyDescent="0.25">
      <c r="A96" s="203" t="s">
        <v>14592</v>
      </c>
      <c r="B96" s="203" t="s">
        <v>14593</v>
      </c>
      <c r="C96" s="204" t="s">
        <v>1444</v>
      </c>
      <c r="D96" s="233">
        <v>612.66666666666663</v>
      </c>
    </row>
    <row r="97" spans="1:4" s="199" customFormat="1" x14ac:dyDescent="0.25">
      <c r="A97" s="203" t="s">
        <v>14594</v>
      </c>
      <c r="B97" s="203" t="s">
        <v>14595</v>
      </c>
      <c r="C97" s="204" t="s">
        <v>1468</v>
      </c>
      <c r="D97" s="233">
        <v>612.66666666666663</v>
      </c>
    </row>
    <row r="98" spans="1:4" s="199" customFormat="1" x14ac:dyDescent="0.25">
      <c r="A98" s="203" t="s">
        <v>14596</v>
      </c>
      <c r="B98" s="203" t="s">
        <v>14597</v>
      </c>
      <c r="C98" s="204" t="s">
        <v>14598</v>
      </c>
      <c r="D98" s="233">
        <v>612.66666666666663</v>
      </c>
    </row>
    <row r="99" spans="1:4" s="199" customFormat="1" x14ac:dyDescent="0.25">
      <c r="A99" s="203" t="s">
        <v>138</v>
      </c>
      <c r="B99" s="203" t="s">
        <v>14599</v>
      </c>
      <c r="C99" s="204" t="s">
        <v>1456</v>
      </c>
      <c r="D99" s="233">
        <v>676.66666666666663</v>
      </c>
    </row>
    <row r="100" spans="1:4" s="199" customFormat="1" x14ac:dyDescent="0.25">
      <c r="A100" s="203" t="s">
        <v>14600</v>
      </c>
      <c r="B100" s="203" t="s">
        <v>14601</v>
      </c>
      <c r="C100" s="204" t="s">
        <v>14602</v>
      </c>
      <c r="D100" s="233">
        <v>712.66666666666663</v>
      </c>
    </row>
    <row r="101" spans="1:4" s="199" customFormat="1" x14ac:dyDescent="0.25">
      <c r="A101" s="203" t="s">
        <v>14603</v>
      </c>
      <c r="B101" s="203" t="s">
        <v>14604</v>
      </c>
      <c r="C101" s="204" t="s">
        <v>14605</v>
      </c>
      <c r="D101" s="233">
        <v>816.66666666666663</v>
      </c>
    </row>
    <row r="102" spans="1:4" s="199" customFormat="1" x14ac:dyDescent="0.25">
      <c r="A102" s="203" t="s">
        <v>14606</v>
      </c>
      <c r="B102" s="203" t="s">
        <v>14607</v>
      </c>
      <c r="C102" s="204" t="s">
        <v>14608</v>
      </c>
      <c r="D102" s="233">
        <v>643.33333333333337</v>
      </c>
    </row>
    <row r="103" spans="1:4" s="199" customFormat="1" x14ac:dyDescent="0.25">
      <c r="A103" s="203" t="s">
        <v>14609</v>
      </c>
      <c r="B103" s="203" t="s">
        <v>14610</v>
      </c>
      <c r="C103" s="204" t="s">
        <v>14611</v>
      </c>
      <c r="D103" s="233">
        <v>683.33333333333337</v>
      </c>
    </row>
    <row r="104" spans="1:4" s="199" customFormat="1" x14ac:dyDescent="0.25">
      <c r="A104" s="203" t="s">
        <v>142</v>
      </c>
      <c r="B104" s="203" t="s">
        <v>14612</v>
      </c>
      <c r="C104" s="204" t="s">
        <v>1452</v>
      </c>
      <c r="D104" s="233">
        <v>719.33333333333337</v>
      </c>
    </row>
    <row r="105" spans="1:4" s="199" customFormat="1" x14ac:dyDescent="0.25">
      <c r="A105" s="203" t="s">
        <v>153</v>
      </c>
      <c r="B105" s="203" t="s">
        <v>14613</v>
      </c>
      <c r="C105" s="204" t="s">
        <v>1498</v>
      </c>
      <c r="D105" s="233">
        <v>759.33333333333337</v>
      </c>
    </row>
    <row r="106" spans="1:4" s="199" customFormat="1" x14ac:dyDescent="0.25">
      <c r="A106" s="203" t="s">
        <v>14614</v>
      </c>
      <c r="B106" s="203" t="s">
        <v>14615</v>
      </c>
      <c r="C106" s="204" t="s">
        <v>14616</v>
      </c>
      <c r="D106" s="233">
        <v>839.33333333333337</v>
      </c>
    </row>
    <row r="107" spans="1:4" s="199" customFormat="1" x14ac:dyDescent="0.25">
      <c r="A107" s="203" t="s">
        <v>155</v>
      </c>
      <c r="B107" s="203" t="s">
        <v>14617</v>
      </c>
      <c r="C107" s="204" t="s">
        <v>1480</v>
      </c>
      <c r="D107" s="233">
        <v>783.33333333333337</v>
      </c>
    </row>
    <row r="108" spans="1:4" s="199" customFormat="1" x14ac:dyDescent="0.25">
      <c r="A108" s="203" t="s">
        <v>157</v>
      </c>
      <c r="B108" s="203" t="s">
        <v>14618</v>
      </c>
      <c r="C108" s="204" t="s">
        <v>1475</v>
      </c>
      <c r="D108" s="233">
        <v>783.33333333333337</v>
      </c>
    </row>
    <row r="109" spans="1:4" s="199" customFormat="1" x14ac:dyDescent="0.25">
      <c r="A109" s="203" t="s">
        <v>159</v>
      </c>
      <c r="B109" s="203" t="s">
        <v>14619</v>
      </c>
      <c r="C109" s="204" t="s">
        <v>1493</v>
      </c>
      <c r="D109" s="233">
        <v>783.33333333333337</v>
      </c>
    </row>
    <row r="110" spans="1:4" s="199" customFormat="1" x14ac:dyDescent="0.25">
      <c r="A110" s="203" t="s">
        <v>162</v>
      </c>
      <c r="B110" s="203" t="s">
        <v>14620</v>
      </c>
      <c r="C110" s="204" t="s">
        <v>1489</v>
      </c>
      <c r="D110" s="233">
        <v>783.33333333333337</v>
      </c>
    </row>
    <row r="111" spans="1:4" s="199" customFormat="1" x14ac:dyDescent="0.25">
      <c r="A111" s="203" t="s">
        <v>166</v>
      </c>
      <c r="B111" s="203" t="s">
        <v>14621</v>
      </c>
      <c r="C111" s="204" t="s">
        <v>1471</v>
      </c>
      <c r="D111" s="233">
        <v>783.33333333333337</v>
      </c>
    </row>
    <row r="112" spans="1:4" s="199" customFormat="1" x14ac:dyDescent="0.25">
      <c r="A112" s="203" t="s">
        <v>170</v>
      </c>
      <c r="B112" s="203" t="s">
        <v>14622</v>
      </c>
      <c r="C112" s="204" t="s">
        <v>1485</v>
      </c>
      <c r="D112" s="233">
        <v>783.33333333333337</v>
      </c>
    </row>
    <row r="113" spans="1:4" s="199" customFormat="1" ht="14.4" x14ac:dyDescent="0.3">
      <c r="B113" s="200" t="s">
        <v>14623</v>
      </c>
      <c r="C113" s="201"/>
      <c r="D113" s="235"/>
    </row>
    <row r="114" spans="1:4" s="199" customFormat="1" x14ac:dyDescent="0.25">
      <c r="A114" s="202" t="s">
        <v>14624</v>
      </c>
      <c r="B114" s="203" t="s">
        <v>14625</v>
      </c>
      <c r="C114" s="204" t="s">
        <v>1506</v>
      </c>
      <c r="D114" s="233">
        <v>1466</v>
      </c>
    </row>
    <row r="115" spans="1:4" s="199" customFormat="1" x14ac:dyDescent="0.25">
      <c r="A115" s="202" t="s">
        <v>14626</v>
      </c>
      <c r="B115" s="203" t="s">
        <v>14627</v>
      </c>
      <c r="C115" s="204" t="s">
        <v>1524</v>
      </c>
      <c r="D115" s="233">
        <v>1466</v>
      </c>
    </row>
    <row r="116" spans="1:4" s="199" customFormat="1" x14ac:dyDescent="0.25">
      <c r="A116" s="202" t="s">
        <v>14628</v>
      </c>
      <c r="B116" s="203" t="s">
        <v>14629</v>
      </c>
      <c r="C116" s="204" t="s">
        <v>14630</v>
      </c>
      <c r="D116" s="233">
        <v>1466</v>
      </c>
    </row>
    <row r="117" spans="1:4" s="199" customFormat="1" x14ac:dyDescent="0.25">
      <c r="A117" s="202" t="s">
        <v>1516</v>
      </c>
      <c r="B117" s="203" t="s">
        <v>14631</v>
      </c>
      <c r="C117" s="204" t="s">
        <v>1515</v>
      </c>
      <c r="D117" s="233">
        <v>1530</v>
      </c>
    </row>
    <row r="118" spans="1:4" s="199" customFormat="1" x14ac:dyDescent="0.25">
      <c r="A118" s="202" t="s">
        <v>14632</v>
      </c>
      <c r="B118" s="203" t="s">
        <v>14633</v>
      </c>
      <c r="C118" s="204" t="s">
        <v>14634</v>
      </c>
      <c r="D118" s="233">
        <v>1566</v>
      </c>
    </row>
    <row r="119" spans="1:4" s="199" customFormat="1" x14ac:dyDescent="0.25">
      <c r="A119" s="202" t="s">
        <v>14635</v>
      </c>
      <c r="B119" s="203" t="s">
        <v>14636</v>
      </c>
      <c r="C119" s="204" t="s">
        <v>14637</v>
      </c>
      <c r="D119" s="233">
        <v>1496.6666666666667</v>
      </c>
    </row>
    <row r="120" spans="1:4" s="199" customFormat="1" x14ac:dyDescent="0.25">
      <c r="A120" s="202" t="s">
        <v>14638</v>
      </c>
      <c r="B120" s="203" t="s">
        <v>14639</v>
      </c>
      <c r="C120" s="204" t="s">
        <v>14640</v>
      </c>
      <c r="D120" s="233">
        <v>1536.6666666666667</v>
      </c>
    </row>
    <row r="121" spans="1:4" s="199" customFormat="1" x14ac:dyDescent="0.25">
      <c r="A121" s="202" t="s">
        <v>1513</v>
      </c>
      <c r="B121" s="203" t="s">
        <v>14641</v>
      </c>
      <c r="C121" s="204" t="s">
        <v>1512</v>
      </c>
      <c r="D121" s="233">
        <v>1572.6666666666667</v>
      </c>
    </row>
    <row r="122" spans="1:4" s="199" customFormat="1" x14ac:dyDescent="0.25">
      <c r="A122" s="202" t="s">
        <v>1546</v>
      </c>
      <c r="B122" s="203" t="s">
        <v>14642</v>
      </c>
      <c r="C122" s="204" t="s">
        <v>1545</v>
      </c>
      <c r="D122" s="233">
        <v>1612.6666666666667</v>
      </c>
    </row>
    <row r="123" spans="1:4" s="199" customFormat="1" x14ac:dyDescent="0.25">
      <c r="A123" s="202" t="s">
        <v>14643</v>
      </c>
      <c r="B123" s="203" t="s">
        <v>14644</v>
      </c>
      <c r="C123" s="204" t="s">
        <v>14645</v>
      </c>
      <c r="D123" s="233">
        <v>1692.6666666666667</v>
      </c>
    </row>
    <row r="124" spans="1:4" s="199" customFormat="1" x14ac:dyDescent="0.25">
      <c r="A124" s="202" t="s">
        <v>1534</v>
      </c>
      <c r="B124" s="203" t="s">
        <v>14646</v>
      </c>
      <c r="C124" s="204" t="s">
        <v>1533</v>
      </c>
      <c r="D124" s="233">
        <v>1636.6666666666667</v>
      </c>
    </row>
    <row r="125" spans="1:4" s="199" customFormat="1" x14ac:dyDescent="0.25">
      <c r="A125" s="202" t="s">
        <v>1531</v>
      </c>
      <c r="B125" s="203" t="s">
        <v>14647</v>
      </c>
      <c r="C125" s="204" t="s">
        <v>1530</v>
      </c>
      <c r="D125" s="233">
        <v>1636.6666666666667</v>
      </c>
    </row>
    <row r="126" spans="1:4" s="199" customFormat="1" x14ac:dyDescent="0.25">
      <c r="A126" s="202" t="s">
        <v>1543</v>
      </c>
      <c r="B126" s="203" t="s">
        <v>14648</v>
      </c>
      <c r="C126" s="204" t="s">
        <v>1542</v>
      </c>
      <c r="D126" s="233">
        <v>1636.6666666666667</v>
      </c>
    </row>
    <row r="127" spans="1:4" s="199" customFormat="1" x14ac:dyDescent="0.25">
      <c r="A127" s="202" t="s">
        <v>1540</v>
      </c>
      <c r="B127" s="203" t="s">
        <v>14649</v>
      </c>
      <c r="C127" s="204" t="s">
        <v>1539</v>
      </c>
      <c r="D127" s="233">
        <v>1636.6666666666667</v>
      </c>
    </row>
    <row r="128" spans="1:4" s="199" customFormat="1" x14ac:dyDescent="0.25">
      <c r="A128" s="202" t="s">
        <v>1528</v>
      </c>
      <c r="B128" s="203" t="s">
        <v>14650</v>
      </c>
      <c r="C128" s="204" t="s">
        <v>1527</v>
      </c>
      <c r="D128" s="233">
        <v>1636.6666666666667</v>
      </c>
    </row>
    <row r="129" spans="1:4" s="199" customFormat="1" x14ac:dyDescent="0.25">
      <c r="A129" s="202" t="s">
        <v>1537</v>
      </c>
      <c r="B129" s="203" t="s">
        <v>14651</v>
      </c>
      <c r="C129" s="204" t="s">
        <v>1536</v>
      </c>
      <c r="D129" s="233">
        <v>1636.6666666666667</v>
      </c>
    </row>
    <row r="130" spans="1:4" s="199" customFormat="1" ht="14.4" x14ac:dyDescent="0.3">
      <c r="B130" s="200" t="s">
        <v>14652</v>
      </c>
      <c r="C130" s="201"/>
      <c r="D130" s="235"/>
    </row>
    <row r="131" spans="1:4" s="199" customFormat="1" x14ac:dyDescent="0.25">
      <c r="A131" s="203" t="s">
        <v>204</v>
      </c>
      <c r="B131" s="203" t="s">
        <v>14653</v>
      </c>
      <c r="C131" s="204" t="s">
        <v>2280</v>
      </c>
      <c r="D131" s="233">
        <v>70</v>
      </c>
    </row>
    <row r="132" spans="1:4" s="199" customFormat="1" x14ac:dyDescent="0.25">
      <c r="A132" s="203" t="s">
        <v>205</v>
      </c>
      <c r="B132" s="203" t="s">
        <v>14654</v>
      </c>
      <c r="C132" s="204" t="s">
        <v>2282</v>
      </c>
      <c r="D132" s="233">
        <v>70</v>
      </c>
    </row>
    <row r="133" spans="1:4" s="199" customFormat="1" x14ac:dyDescent="0.25">
      <c r="A133" s="203" t="s">
        <v>206</v>
      </c>
      <c r="B133" s="203" t="s">
        <v>14655</v>
      </c>
      <c r="C133" s="204" t="s">
        <v>2284</v>
      </c>
      <c r="D133" s="233">
        <v>70</v>
      </c>
    </row>
    <row r="134" spans="1:4" s="199" customFormat="1" x14ac:dyDescent="0.25">
      <c r="A134" s="203" t="s">
        <v>207</v>
      </c>
      <c r="B134" s="203" t="s">
        <v>14656</v>
      </c>
      <c r="C134" s="204" t="s">
        <v>2286</v>
      </c>
      <c r="D134" s="233">
        <v>70</v>
      </c>
    </row>
    <row r="135" spans="1:4" s="199" customFormat="1" x14ac:dyDescent="0.25">
      <c r="A135" s="203" t="s">
        <v>208</v>
      </c>
      <c r="B135" s="203" t="s">
        <v>14657</v>
      </c>
      <c r="C135" s="204" t="s">
        <v>2288</v>
      </c>
      <c r="D135" s="233">
        <v>70</v>
      </c>
    </row>
    <row r="136" spans="1:4" s="199" customFormat="1" x14ac:dyDescent="0.25">
      <c r="A136" s="203" t="s">
        <v>209</v>
      </c>
      <c r="B136" s="203" t="s">
        <v>14658</v>
      </c>
      <c r="C136" s="204" t="s">
        <v>2290</v>
      </c>
      <c r="D136" s="233">
        <v>70</v>
      </c>
    </row>
    <row r="137" spans="1:4" s="199" customFormat="1" x14ac:dyDescent="0.25">
      <c r="A137" s="203" t="s">
        <v>210</v>
      </c>
      <c r="B137" s="203" t="s">
        <v>14659</v>
      </c>
      <c r="C137" s="204" t="s">
        <v>2292</v>
      </c>
      <c r="D137" s="233">
        <v>70</v>
      </c>
    </row>
    <row r="138" spans="1:4" s="199" customFormat="1" x14ac:dyDescent="0.25">
      <c r="A138" s="203" t="s">
        <v>211</v>
      </c>
      <c r="B138" s="203" t="s">
        <v>14660</v>
      </c>
      <c r="C138" s="204" t="s">
        <v>2294</v>
      </c>
      <c r="D138" s="233">
        <v>70</v>
      </c>
    </row>
    <row r="139" spans="1:4" s="199" customFormat="1" x14ac:dyDescent="0.25">
      <c r="A139" s="203" t="s">
        <v>212</v>
      </c>
      <c r="B139" s="203" t="s">
        <v>14661</v>
      </c>
      <c r="C139" s="204" t="s">
        <v>2296</v>
      </c>
      <c r="D139" s="233">
        <v>70</v>
      </c>
    </row>
    <row r="140" spans="1:4" s="199" customFormat="1" x14ac:dyDescent="0.25">
      <c r="A140" s="203" t="s">
        <v>214</v>
      </c>
      <c r="B140" s="203" t="s">
        <v>14662</v>
      </c>
      <c r="C140" s="204" t="s">
        <v>2300</v>
      </c>
      <c r="D140" s="233">
        <v>70</v>
      </c>
    </row>
    <row r="141" spans="1:4" s="199" customFormat="1" x14ac:dyDescent="0.25">
      <c r="A141" s="203" t="s">
        <v>215</v>
      </c>
      <c r="B141" s="203" t="s">
        <v>14663</v>
      </c>
      <c r="C141" s="204" t="s">
        <v>2302</v>
      </c>
      <c r="D141" s="233">
        <v>70</v>
      </c>
    </row>
    <row r="142" spans="1:4" s="199" customFormat="1" x14ac:dyDescent="0.25">
      <c r="A142" s="203" t="s">
        <v>2309</v>
      </c>
      <c r="B142" s="203" t="s">
        <v>14664</v>
      </c>
      <c r="C142" s="204" t="s">
        <v>2308</v>
      </c>
      <c r="D142" s="233">
        <v>70</v>
      </c>
    </row>
    <row r="143" spans="1:4" s="199" customFormat="1" x14ac:dyDescent="0.25">
      <c r="A143" s="203" t="s">
        <v>14665</v>
      </c>
      <c r="B143" s="203" t="s">
        <v>14666</v>
      </c>
      <c r="C143" s="204" t="s">
        <v>14667</v>
      </c>
      <c r="D143" s="233">
        <v>70</v>
      </c>
    </row>
    <row r="144" spans="1:4" s="199" customFormat="1" x14ac:dyDescent="0.25">
      <c r="A144" s="203" t="s">
        <v>14668</v>
      </c>
      <c r="B144" s="203" t="s">
        <v>14669</v>
      </c>
      <c r="C144" s="204" t="s">
        <v>14670</v>
      </c>
      <c r="D144" s="233">
        <v>70</v>
      </c>
    </row>
    <row r="145" spans="1:4" s="199" customFormat="1" x14ac:dyDescent="0.25">
      <c r="A145" s="203" t="s">
        <v>14671</v>
      </c>
      <c r="B145" s="203" t="s">
        <v>14672</v>
      </c>
      <c r="C145" s="204" t="s">
        <v>14673</v>
      </c>
      <c r="D145" s="233">
        <v>70</v>
      </c>
    </row>
    <row r="146" spans="1:4" s="199" customFormat="1" ht="14.4" x14ac:dyDescent="0.3">
      <c r="B146" s="200" t="s">
        <v>14674</v>
      </c>
      <c r="C146" s="201"/>
      <c r="D146" s="235"/>
    </row>
    <row r="147" spans="1:4" s="199" customFormat="1" x14ac:dyDescent="0.25">
      <c r="A147" s="203" t="s">
        <v>202</v>
      </c>
      <c r="B147" s="203" t="s">
        <v>14675</v>
      </c>
      <c r="C147" s="204" t="s">
        <v>2399</v>
      </c>
      <c r="D147" s="233">
        <v>83.333333333333329</v>
      </c>
    </row>
    <row r="148" spans="1:4" s="199" customFormat="1" x14ac:dyDescent="0.25">
      <c r="A148" s="203" t="s">
        <v>203</v>
      </c>
      <c r="B148" s="203" t="s">
        <v>14676</v>
      </c>
      <c r="C148" s="204" t="s">
        <v>2401</v>
      </c>
      <c r="D148" s="233">
        <v>83.333333333333329</v>
      </c>
    </row>
    <row r="149" spans="1:4" s="199" customFormat="1" ht="14.4" x14ac:dyDescent="0.3">
      <c r="B149" s="200" t="s">
        <v>14677</v>
      </c>
      <c r="C149" s="201"/>
      <c r="D149" s="235"/>
    </row>
    <row r="150" spans="1:4" s="199" customFormat="1" x14ac:dyDescent="0.25">
      <c r="A150" s="203" t="s">
        <v>2511</v>
      </c>
      <c r="B150" s="203" t="s">
        <v>14678</v>
      </c>
      <c r="C150" s="204" t="s">
        <v>2510</v>
      </c>
      <c r="D150" s="233">
        <v>59.333333333333336</v>
      </c>
    </row>
    <row r="151" spans="1:4" s="199" customFormat="1" x14ac:dyDescent="0.25">
      <c r="A151" s="203" t="s">
        <v>14679</v>
      </c>
      <c r="B151" s="203" t="s">
        <v>14680</v>
      </c>
      <c r="C151" s="204" t="s">
        <v>14681</v>
      </c>
      <c r="D151" s="233">
        <v>66</v>
      </c>
    </row>
    <row r="152" spans="1:4" s="199" customFormat="1" x14ac:dyDescent="0.25">
      <c r="A152" s="203" t="s">
        <v>255</v>
      </c>
      <c r="B152" s="203" t="s">
        <v>14682</v>
      </c>
      <c r="C152" s="204" t="s">
        <v>2651</v>
      </c>
      <c r="D152" s="233">
        <v>79.333333333333329</v>
      </c>
    </row>
    <row r="153" spans="1:4" s="199" customFormat="1" x14ac:dyDescent="0.25">
      <c r="A153" s="203" t="s">
        <v>2499</v>
      </c>
      <c r="B153" s="203" t="s">
        <v>14683</v>
      </c>
      <c r="C153" s="204" t="s">
        <v>2498</v>
      </c>
      <c r="D153" s="233">
        <v>139.33333333333334</v>
      </c>
    </row>
    <row r="154" spans="1:4" s="199" customFormat="1" x14ac:dyDescent="0.25">
      <c r="A154" s="203" t="s">
        <v>174</v>
      </c>
      <c r="B154" s="203" t="s">
        <v>14684</v>
      </c>
      <c r="C154" s="204" t="s">
        <v>2490</v>
      </c>
      <c r="D154" s="233">
        <v>152.66666666666666</v>
      </c>
    </row>
    <row r="155" spans="1:4" s="199" customFormat="1" x14ac:dyDescent="0.25">
      <c r="A155" s="203" t="s">
        <v>2496</v>
      </c>
      <c r="B155" s="203" t="s">
        <v>14685</v>
      </c>
      <c r="C155" s="204" t="s">
        <v>2495</v>
      </c>
      <c r="D155" s="233">
        <v>166</v>
      </c>
    </row>
    <row r="156" spans="1:4" s="199" customFormat="1" x14ac:dyDescent="0.25">
      <c r="A156" s="203" t="s">
        <v>14686</v>
      </c>
      <c r="B156" s="203" t="s">
        <v>14687</v>
      </c>
      <c r="C156" s="204" t="s">
        <v>14688</v>
      </c>
      <c r="D156" s="233">
        <v>203.33333333333334</v>
      </c>
    </row>
    <row r="157" spans="1:4" s="199" customFormat="1" x14ac:dyDescent="0.25">
      <c r="A157" s="218" t="s">
        <v>14689</v>
      </c>
      <c r="B157" s="203" t="s">
        <v>14690</v>
      </c>
      <c r="C157" s="204" t="s">
        <v>14691</v>
      </c>
      <c r="D157" s="233">
        <v>106</v>
      </c>
    </row>
    <row r="158" spans="1:4" s="199" customFormat="1" ht="14.4" x14ac:dyDescent="0.3">
      <c r="B158" s="200" t="s">
        <v>13903</v>
      </c>
      <c r="C158" s="201"/>
      <c r="D158" s="235"/>
    </row>
    <row r="159" spans="1:4" s="199" customFormat="1" x14ac:dyDescent="0.25">
      <c r="A159" s="203" t="s">
        <v>2213</v>
      </c>
      <c r="B159" s="203" t="s">
        <v>14692</v>
      </c>
      <c r="C159" s="204" t="s">
        <v>2212</v>
      </c>
      <c r="D159" s="233">
        <v>146</v>
      </c>
    </row>
    <row r="160" spans="1:4" s="199" customFormat="1" x14ac:dyDescent="0.25">
      <c r="A160" s="203" t="s">
        <v>175</v>
      </c>
      <c r="B160" s="203" t="s">
        <v>14693</v>
      </c>
      <c r="C160" s="204" t="s">
        <v>1985</v>
      </c>
      <c r="D160" s="233">
        <v>26</v>
      </c>
    </row>
    <row r="161" spans="1:4" s="199" customFormat="1" x14ac:dyDescent="0.25">
      <c r="A161" s="203" t="s">
        <v>14694</v>
      </c>
      <c r="B161" s="203" t="s">
        <v>14695</v>
      </c>
      <c r="C161" s="204" t="s">
        <v>14696</v>
      </c>
      <c r="D161" s="233">
        <v>26</v>
      </c>
    </row>
    <row r="162" spans="1:4" s="199" customFormat="1" x14ac:dyDescent="0.25">
      <c r="A162" s="203" t="s">
        <v>176</v>
      </c>
      <c r="B162" s="203" t="s">
        <v>14697</v>
      </c>
      <c r="C162" s="204" t="s">
        <v>2162</v>
      </c>
      <c r="D162" s="233">
        <v>39.333333333333336</v>
      </c>
    </row>
    <row r="163" spans="1:4" s="199" customFormat="1" x14ac:dyDescent="0.25">
      <c r="A163" s="203" t="s">
        <v>177</v>
      </c>
      <c r="B163" s="203" t="s">
        <v>14698</v>
      </c>
      <c r="C163" s="204" t="s">
        <v>2178</v>
      </c>
      <c r="D163" s="233">
        <v>19.333333333333332</v>
      </c>
    </row>
    <row r="164" spans="1:4" s="199" customFormat="1" x14ac:dyDescent="0.25">
      <c r="A164" s="202" t="s">
        <v>181</v>
      </c>
      <c r="B164" s="203" t="s">
        <v>14699</v>
      </c>
      <c r="C164" s="204" t="s">
        <v>2201</v>
      </c>
      <c r="D164" s="233">
        <v>19.333333333333332</v>
      </c>
    </row>
    <row r="165" spans="1:4" s="199" customFormat="1" x14ac:dyDescent="0.25">
      <c r="A165" s="202" t="s">
        <v>182</v>
      </c>
      <c r="B165" s="203" t="s">
        <v>14700</v>
      </c>
      <c r="C165" s="204" t="s">
        <v>2218</v>
      </c>
      <c r="D165" s="233">
        <v>19.333333333333332</v>
      </c>
    </row>
    <row r="166" spans="1:4" s="199" customFormat="1" x14ac:dyDescent="0.25">
      <c r="A166" s="203" t="s">
        <v>268</v>
      </c>
      <c r="B166" s="203" t="s">
        <v>14701</v>
      </c>
      <c r="C166" s="204" t="s">
        <v>301</v>
      </c>
      <c r="D166" s="233">
        <v>26</v>
      </c>
    </row>
    <row r="167" spans="1:4" s="199" customFormat="1" x14ac:dyDescent="0.25">
      <c r="A167" s="203" t="s">
        <v>183</v>
      </c>
      <c r="B167" s="203" t="s">
        <v>14702</v>
      </c>
      <c r="C167" s="204" t="s">
        <v>2232</v>
      </c>
      <c r="D167" s="233">
        <v>12.666666666666666</v>
      </c>
    </row>
    <row r="168" spans="1:4" s="199" customFormat="1" x14ac:dyDescent="0.25">
      <c r="A168" s="203" t="s">
        <v>185</v>
      </c>
      <c r="B168" s="203" t="s">
        <v>14703</v>
      </c>
      <c r="C168" s="204" t="s">
        <v>2241</v>
      </c>
      <c r="D168" s="233">
        <v>39.333333333333336</v>
      </c>
    </row>
    <row r="169" spans="1:4" s="199" customFormat="1" x14ac:dyDescent="0.25">
      <c r="A169" s="203" t="s">
        <v>270</v>
      </c>
      <c r="B169" s="203" t="s">
        <v>14704</v>
      </c>
      <c r="C169" s="204" t="s">
        <v>302</v>
      </c>
      <c r="D169" s="233">
        <v>19.333333333333332</v>
      </c>
    </row>
    <row r="170" spans="1:4" s="199" customFormat="1" x14ac:dyDescent="0.25">
      <c r="A170" s="203" t="s">
        <v>186</v>
      </c>
      <c r="B170" s="203" t="s">
        <v>14705</v>
      </c>
      <c r="C170" s="204" t="s">
        <v>2418</v>
      </c>
      <c r="D170" s="233">
        <v>10</v>
      </c>
    </row>
    <row r="171" spans="1:4" s="199" customFormat="1" x14ac:dyDescent="0.25">
      <c r="A171" s="203" t="s">
        <v>298</v>
      </c>
      <c r="B171" s="203" t="s">
        <v>14706</v>
      </c>
      <c r="C171" s="204" t="s">
        <v>303</v>
      </c>
      <c r="D171" s="233">
        <v>72.666666666666671</v>
      </c>
    </row>
    <row r="172" spans="1:4" s="199" customFormat="1" x14ac:dyDescent="0.25">
      <c r="A172" s="203" t="s">
        <v>187</v>
      </c>
      <c r="B172" s="203" t="s">
        <v>14707</v>
      </c>
      <c r="C172" s="204" t="s">
        <v>2343</v>
      </c>
      <c r="D172" s="233">
        <v>72.666666666666671</v>
      </c>
    </row>
    <row r="173" spans="1:4" s="199" customFormat="1" x14ac:dyDescent="0.25">
      <c r="A173" s="203" t="s">
        <v>188</v>
      </c>
      <c r="B173" s="203" t="s">
        <v>14708</v>
      </c>
      <c r="C173" s="204" t="s">
        <v>2348</v>
      </c>
      <c r="D173" s="233">
        <v>79.333333333333329</v>
      </c>
    </row>
    <row r="174" spans="1:4" s="199" customFormat="1" x14ac:dyDescent="0.25">
      <c r="A174" s="203" t="s">
        <v>189</v>
      </c>
      <c r="B174" s="203" t="s">
        <v>14709</v>
      </c>
      <c r="C174" s="204" t="s">
        <v>2355</v>
      </c>
      <c r="D174" s="233">
        <v>79.333333333333329</v>
      </c>
    </row>
    <row r="175" spans="1:4" s="199" customFormat="1" x14ac:dyDescent="0.25">
      <c r="A175" s="203" t="s">
        <v>190</v>
      </c>
      <c r="B175" s="203" t="s">
        <v>14710</v>
      </c>
      <c r="C175" s="204" t="s">
        <v>2359</v>
      </c>
      <c r="D175" s="233">
        <v>79.333333333333329</v>
      </c>
    </row>
    <row r="176" spans="1:4" s="199" customFormat="1" x14ac:dyDescent="0.25">
      <c r="A176" s="203" t="s">
        <v>14711</v>
      </c>
      <c r="B176" s="203" t="s">
        <v>14712</v>
      </c>
      <c r="C176" s="204" t="s">
        <v>14713</v>
      </c>
      <c r="D176" s="233">
        <v>66</v>
      </c>
    </row>
    <row r="177" spans="1:4" s="199" customFormat="1" x14ac:dyDescent="0.25">
      <c r="A177" s="203" t="s">
        <v>192</v>
      </c>
      <c r="B177" s="203" t="s">
        <v>14714</v>
      </c>
      <c r="C177" s="204" t="s">
        <v>2389</v>
      </c>
      <c r="D177" s="233">
        <v>66</v>
      </c>
    </row>
    <row r="178" spans="1:4" s="199" customFormat="1" x14ac:dyDescent="0.25">
      <c r="A178" s="203" t="s">
        <v>193</v>
      </c>
      <c r="B178" s="203" t="s">
        <v>14715</v>
      </c>
      <c r="C178" s="204" t="s">
        <v>2407</v>
      </c>
      <c r="D178" s="233">
        <v>26</v>
      </c>
    </row>
    <row r="179" spans="1:4" s="199" customFormat="1" x14ac:dyDescent="0.25">
      <c r="A179" s="203" t="s">
        <v>194</v>
      </c>
      <c r="B179" s="203" t="s">
        <v>14716</v>
      </c>
      <c r="C179" s="204" t="s">
        <v>2409</v>
      </c>
      <c r="D179" s="233">
        <v>12.666666666666666</v>
      </c>
    </row>
    <row r="180" spans="1:4" s="199" customFormat="1" x14ac:dyDescent="0.25">
      <c r="A180" s="203" t="s">
        <v>195</v>
      </c>
      <c r="B180" s="203" t="s">
        <v>14717</v>
      </c>
      <c r="C180" s="204" t="s">
        <v>2411</v>
      </c>
      <c r="D180" s="233">
        <v>12.666666666666666</v>
      </c>
    </row>
    <row r="181" spans="1:4" s="199" customFormat="1" x14ac:dyDescent="0.25">
      <c r="A181" s="203" t="s">
        <v>196</v>
      </c>
      <c r="B181" s="203" t="s">
        <v>14718</v>
      </c>
      <c r="C181" s="204" t="s">
        <v>2414</v>
      </c>
      <c r="D181" s="233">
        <v>66</v>
      </c>
    </row>
    <row r="182" spans="1:4" s="199" customFormat="1" x14ac:dyDescent="0.25">
      <c r="A182" s="203" t="s">
        <v>14719</v>
      </c>
      <c r="B182" s="203" t="s">
        <v>14720</v>
      </c>
      <c r="C182" s="204" t="s">
        <v>14721</v>
      </c>
      <c r="D182" s="233">
        <v>106</v>
      </c>
    </row>
    <row r="183" spans="1:4" s="199" customFormat="1" x14ac:dyDescent="0.25">
      <c r="A183" s="203" t="s">
        <v>14722</v>
      </c>
      <c r="B183" s="203" t="s">
        <v>14723</v>
      </c>
      <c r="C183" s="204" t="s">
        <v>14724</v>
      </c>
      <c r="D183" s="233">
        <v>12.666666666666666</v>
      </c>
    </row>
    <row r="184" spans="1:4" s="199" customFormat="1" x14ac:dyDescent="0.25">
      <c r="A184" s="203" t="s">
        <v>14725</v>
      </c>
      <c r="B184" s="203" t="s">
        <v>14726</v>
      </c>
      <c r="C184" s="204" t="s">
        <v>14727</v>
      </c>
      <c r="D184" s="233">
        <v>12.666666666666666</v>
      </c>
    </row>
    <row r="185" spans="1:4" s="199" customFormat="1" x14ac:dyDescent="0.25">
      <c r="A185" s="203" t="s">
        <v>256</v>
      </c>
      <c r="B185" s="203" t="s">
        <v>14728</v>
      </c>
      <c r="C185" s="204" t="s">
        <v>2420</v>
      </c>
      <c r="D185" s="233">
        <v>9.3333333333333339</v>
      </c>
    </row>
    <row r="186" spans="1:4" s="199" customFormat="1" x14ac:dyDescent="0.25">
      <c r="A186" s="203" t="s">
        <v>14729</v>
      </c>
      <c r="B186" s="203" t="s">
        <v>14730</v>
      </c>
      <c r="C186" s="204" t="s">
        <v>14731</v>
      </c>
      <c r="D186" s="233">
        <v>12.666666666666666</v>
      </c>
    </row>
    <row r="187" spans="1:4" s="199" customFormat="1" x14ac:dyDescent="0.25">
      <c r="A187" s="218" t="s">
        <v>14732</v>
      </c>
      <c r="B187" s="203" t="s">
        <v>14733</v>
      </c>
      <c r="C187" s="204">
        <v>8715839104752</v>
      </c>
      <c r="D187" s="233">
        <v>12.666666666666666</v>
      </c>
    </row>
    <row r="188" spans="1:4" s="199" customFormat="1" x14ac:dyDescent="0.25">
      <c r="A188" s="218" t="s">
        <v>14734</v>
      </c>
      <c r="B188" s="203" t="s">
        <v>14735</v>
      </c>
      <c r="C188" s="204">
        <v>8715839104769</v>
      </c>
      <c r="D188" s="233">
        <v>12.666666666666666</v>
      </c>
    </row>
    <row r="189" spans="1:4" s="199" customFormat="1" x14ac:dyDescent="0.25">
      <c r="A189" s="218" t="s">
        <v>14736</v>
      </c>
      <c r="B189" s="203" t="s">
        <v>14737</v>
      </c>
      <c r="C189" s="204">
        <v>8715839104738</v>
      </c>
      <c r="D189" s="233">
        <v>12.666666666666666</v>
      </c>
    </row>
    <row r="190" spans="1:4" s="199" customFormat="1" x14ac:dyDescent="0.25">
      <c r="A190" s="203" t="s">
        <v>14738</v>
      </c>
      <c r="B190" s="203" t="s">
        <v>14739</v>
      </c>
      <c r="C190" s="204" t="s">
        <v>14740</v>
      </c>
      <c r="D190" s="233">
        <v>12.666666666666666</v>
      </c>
    </row>
    <row r="191" spans="1:4" s="199" customFormat="1" x14ac:dyDescent="0.25">
      <c r="A191" s="218" t="s">
        <v>14741</v>
      </c>
      <c r="B191" s="203" t="s">
        <v>14742</v>
      </c>
      <c r="C191" s="204" t="s">
        <v>14743</v>
      </c>
      <c r="D191" s="233">
        <v>39.333333333333336</v>
      </c>
    </row>
    <row r="192" spans="1:4" s="199" customFormat="1" x14ac:dyDescent="0.25">
      <c r="A192" s="218" t="s">
        <v>14744</v>
      </c>
      <c r="B192" s="203" t="s">
        <v>14745</v>
      </c>
      <c r="C192" s="204" t="s">
        <v>14746</v>
      </c>
      <c r="D192" s="233">
        <v>10</v>
      </c>
    </row>
    <row r="193" spans="1:4" s="199" customFormat="1" x14ac:dyDescent="0.25">
      <c r="A193" s="218" t="s">
        <v>14747</v>
      </c>
      <c r="B193" s="203" t="s">
        <v>14748</v>
      </c>
      <c r="C193" s="204" t="s">
        <v>14749</v>
      </c>
      <c r="D193" s="233">
        <v>26</v>
      </c>
    </row>
    <row r="194" spans="1:4" s="199" customFormat="1" x14ac:dyDescent="0.25">
      <c r="A194" s="218" t="s">
        <v>14750</v>
      </c>
      <c r="B194" s="203" t="s">
        <v>14751</v>
      </c>
      <c r="C194" s="204" t="s">
        <v>14752</v>
      </c>
      <c r="D194" s="233">
        <v>32.666666666666664</v>
      </c>
    </row>
    <row r="195" spans="1:4" s="199" customFormat="1" x14ac:dyDescent="0.25">
      <c r="C195" s="201"/>
      <c r="D195" s="232"/>
    </row>
    <row r="196" spans="1:4" s="199" customFormat="1" x14ac:dyDescent="0.25">
      <c r="A196" s="210"/>
      <c r="B196" s="199" t="s">
        <v>14419</v>
      </c>
      <c r="C196" s="201"/>
      <c r="D196" s="232"/>
    </row>
    <row r="197" spans="1:4" s="199" customFormat="1" x14ac:dyDescent="0.25">
      <c r="A197" s="202"/>
      <c r="B197" s="199" t="s">
        <v>14247</v>
      </c>
      <c r="C197" s="201"/>
      <c r="D197" s="232"/>
    </row>
    <row r="198" spans="1:4" s="199" customFormat="1" x14ac:dyDescent="0.25">
      <c r="A198" s="218"/>
      <c r="B198" s="199" t="s">
        <v>13958</v>
      </c>
      <c r="C198" s="201"/>
      <c r="D198" s="232"/>
    </row>
    <row r="199" spans="1:4" s="199" customFormat="1" x14ac:dyDescent="0.25">
      <c r="C199" s="201"/>
      <c r="D199" s="232"/>
    </row>
    <row r="200" spans="1:4" s="199" customFormat="1" x14ac:dyDescent="0.25">
      <c r="C200" s="201"/>
      <c r="D200" s="232"/>
    </row>
    <row r="201" spans="1:4" s="199" customFormat="1" x14ac:dyDescent="0.25">
      <c r="C201" s="201"/>
      <c r="D201" s="232"/>
    </row>
    <row r="202" spans="1:4" x14ac:dyDescent="0.25">
      <c r="A202" s="272" t="s">
        <v>14003</v>
      </c>
      <c r="B202" s="272"/>
      <c r="C202" s="272"/>
      <c r="D202" s="272"/>
    </row>
    <row r="203" spans="1:4" x14ac:dyDescent="0.25">
      <c r="A203" s="272" t="s">
        <v>14004</v>
      </c>
      <c r="B203" s="272"/>
      <c r="C203" s="272"/>
      <c r="D203" s="272"/>
    </row>
    <row r="204" spans="1:4" ht="13.8" x14ac:dyDescent="0.3">
      <c r="A204" s="273" t="s">
        <v>14005</v>
      </c>
      <c r="B204" s="273"/>
      <c r="C204" s="273"/>
      <c r="D204" s="273"/>
    </row>
    <row r="205" spans="1:4" x14ac:dyDescent="0.25">
      <c r="A205" s="174"/>
      <c r="B205" s="174"/>
      <c r="C205" s="213"/>
      <c r="D205" s="192"/>
    </row>
    <row r="206" spans="1:4" x14ac:dyDescent="0.25">
      <c r="A206" s="180"/>
      <c r="B206" s="180"/>
      <c r="C206" s="180"/>
      <c r="D206" s="180"/>
    </row>
    <row r="207" spans="1:4" s="199" customFormat="1" x14ac:dyDescent="0.25">
      <c r="C207" s="201"/>
      <c r="D207" s="232"/>
    </row>
    <row r="208" spans="1:4" s="199" customFormat="1" x14ac:dyDescent="0.25">
      <c r="C208" s="201"/>
      <c r="D208" s="232"/>
    </row>
    <row r="209" spans="3:4" s="199" customFormat="1" x14ac:dyDescent="0.25">
      <c r="C209" s="201"/>
      <c r="D209" s="237"/>
    </row>
    <row r="210" spans="3:4" s="199" customFormat="1" x14ac:dyDescent="0.25">
      <c r="C210" s="201"/>
      <c r="D210" s="237"/>
    </row>
    <row r="211" spans="3:4" s="199" customFormat="1" x14ac:dyDescent="0.25">
      <c r="C211" s="201"/>
      <c r="D211" s="237"/>
    </row>
    <row r="212" spans="3:4" s="199" customFormat="1" x14ac:dyDescent="0.25">
      <c r="C212" s="201"/>
      <c r="D212" s="237"/>
    </row>
    <row r="213" spans="3:4" s="199" customFormat="1" x14ac:dyDescent="0.25">
      <c r="C213" s="201"/>
      <c r="D213" s="237"/>
    </row>
    <row r="214" spans="3:4" s="199" customFormat="1" x14ac:dyDescent="0.25">
      <c r="C214" s="201"/>
      <c r="D214" s="237"/>
    </row>
    <row r="215" spans="3:4" s="199" customFormat="1" x14ac:dyDescent="0.25">
      <c r="C215" s="201"/>
      <c r="D215" s="237"/>
    </row>
    <row r="216" spans="3:4" s="199" customFormat="1" x14ac:dyDescent="0.25">
      <c r="C216" s="201"/>
      <c r="D216" s="237"/>
    </row>
    <row r="217" spans="3:4" s="199" customFormat="1" x14ac:dyDescent="0.25">
      <c r="C217" s="201"/>
      <c r="D217" s="237"/>
    </row>
    <row r="218" spans="3:4" s="199" customFormat="1" x14ac:dyDescent="0.25">
      <c r="C218" s="201"/>
      <c r="D218" s="237"/>
    </row>
    <row r="219" spans="3:4" s="199" customFormat="1" x14ac:dyDescent="0.25">
      <c r="C219" s="201"/>
      <c r="D219" s="237"/>
    </row>
    <row r="220" spans="3:4" s="199" customFormat="1" x14ac:dyDescent="0.25">
      <c r="C220" s="201"/>
      <c r="D220" s="237"/>
    </row>
    <row r="221" spans="3:4" s="199" customFormat="1" x14ac:dyDescent="0.25">
      <c r="C221" s="201"/>
      <c r="D221" s="237"/>
    </row>
    <row r="222" spans="3:4" s="199" customFormat="1" x14ac:dyDescent="0.25">
      <c r="C222" s="201"/>
      <c r="D222" s="237"/>
    </row>
    <row r="223" spans="3:4" s="199" customFormat="1" x14ac:dyDescent="0.25">
      <c r="C223" s="201"/>
      <c r="D223" s="237"/>
    </row>
    <row r="224" spans="3:4" s="199" customFormat="1" x14ac:dyDescent="0.25">
      <c r="C224" s="201"/>
      <c r="D224" s="237"/>
    </row>
    <row r="225" spans="3:4" s="199" customFormat="1" x14ac:dyDescent="0.25">
      <c r="C225" s="201"/>
      <c r="D225" s="237"/>
    </row>
    <row r="226" spans="3:4" s="199" customFormat="1" x14ac:dyDescent="0.25">
      <c r="C226" s="201"/>
      <c r="D226" s="237"/>
    </row>
    <row r="227" spans="3:4" s="199" customFormat="1" x14ac:dyDescent="0.25">
      <c r="C227" s="201"/>
      <c r="D227" s="237"/>
    </row>
    <row r="228" spans="3:4" s="199" customFormat="1" x14ac:dyDescent="0.25">
      <c r="C228" s="201"/>
      <c r="D228" s="237"/>
    </row>
    <row r="229" spans="3:4" s="199" customFormat="1" x14ac:dyDescent="0.25">
      <c r="C229" s="201"/>
      <c r="D229" s="237"/>
    </row>
    <row r="230" spans="3:4" s="199" customFormat="1" x14ac:dyDescent="0.25">
      <c r="C230" s="201"/>
      <c r="D230" s="237"/>
    </row>
    <row r="231" spans="3:4" s="199" customFormat="1" x14ac:dyDescent="0.25">
      <c r="C231" s="201"/>
      <c r="D231" s="237"/>
    </row>
    <row r="232" spans="3:4" s="199" customFormat="1" x14ac:dyDescent="0.25">
      <c r="C232" s="201"/>
      <c r="D232" s="237"/>
    </row>
    <row r="233" spans="3:4" s="199" customFormat="1" x14ac:dyDescent="0.25">
      <c r="C233" s="201"/>
      <c r="D233" s="237"/>
    </row>
    <row r="234" spans="3:4" s="199" customFormat="1" x14ac:dyDescent="0.25">
      <c r="C234" s="201"/>
      <c r="D234" s="237"/>
    </row>
    <row r="235" spans="3:4" s="199" customFormat="1" x14ac:dyDescent="0.25">
      <c r="C235" s="201"/>
      <c r="D235" s="237"/>
    </row>
    <row r="236" spans="3:4" s="199" customFormat="1" x14ac:dyDescent="0.25">
      <c r="C236" s="201"/>
      <c r="D236" s="237"/>
    </row>
    <row r="237" spans="3:4" s="199" customFormat="1" x14ac:dyDescent="0.25">
      <c r="C237" s="201"/>
      <c r="D237" s="237"/>
    </row>
    <row r="238" spans="3:4" s="199" customFormat="1" x14ac:dyDescent="0.25">
      <c r="C238" s="201"/>
      <c r="D238" s="237"/>
    </row>
    <row r="239" spans="3:4" s="199" customFormat="1" x14ac:dyDescent="0.25">
      <c r="C239" s="201"/>
      <c r="D239" s="237"/>
    </row>
    <row r="240" spans="3:4" s="199" customFormat="1" x14ac:dyDescent="0.25">
      <c r="C240" s="201"/>
      <c r="D240" s="237"/>
    </row>
    <row r="241" spans="3:4" s="199" customFormat="1" x14ac:dyDescent="0.25">
      <c r="C241" s="201"/>
      <c r="D241" s="237"/>
    </row>
    <row r="242" spans="3:4" s="199" customFormat="1" x14ac:dyDescent="0.25">
      <c r="C242" s="201"/>
      <c r="D242" s="237"/>
    </row>
    <row r="243" spans="3:4" s="199" customFormat="1" x14ac:dyDescent="0.25">
      <c r="C243" s="201"/>
      <c r="D243" s="237"/>
    </row>
    <row r="244" spans="3:4" s="199" customFormat="1" x14ac:dyDescent="0.25">
      <c r="C244" s="201"/>
      <c r="D244" s="237"/>
    </row>
    <row r="245" spans="3:4" s="199" customFormat="1" x14ac:dyDescent="0.25">
      <c r="C245" s="201"/>
      <c r="D245" s="237"/>
    </row>
    <row r="246" spans="3:4" s="199" customFormat="1" x14ac:dyDescent="0.25">
      <c r="C246" s="201"/>
      <c r="D246" s="237"/>
    </row>
    <row r="247" spans="3:4" s="199" customFormat="1" x14ac:dyDescent="0.25">
      <c r="C247" s="201"/>
      <c r="D247" s="237"/>
    </row>
    <row r="248" spans="3:4" s="199" customFormat="1" x14ac:dyDescent="0.25">
      <c r="C248" s="201"/>
      <c r="D248" s="237"/>
    </row>
    <row r="249" spans="3:4" s="199" customFormat="1" x14ac:dyDescent="0.25">
      <c r="C249" s="201"/>
      <c r="D249" s="237"/>
    </row>
    <row r="250" spans="3:4" s="199" customFormat="1" x14ac:dyDescent="0.25">
      <c r="C250" s="201"/>
      <c r="D250" s="237"/>
    </row>
    <row r="251" spans="3:4" s="199" customFormat="1" x14ac:dyDescent="0.25">
      <c r="C251" s="201"/>
      <c r="D251" s="237"/>
    </row>
    <row r="252" spans="3:4" s="199" customFormat="1" x14ac:dyDescent="0.25">
      <c r="C252" s="201"/>
      <c r="D252" s="237"/>
    </row>
    <row r="253" spans="3:4" s="199" customFormat="1" x14ac:dyDescent="0.25">
      <c r="C253" s="201"/>
      <c r="D253" s="237"/>
    </row>
    <row r="254" spans="3:4" s="199" customFormat="1" x14ac:dyDescent="0.25">
      <c r="C254" s="201"/>
      <c r="D254" s="237"/>
    </row>
    <row r="255" spans="3:4" s="199" customFormat="1" x14ac:dyDescent="0.25">
      <c r="C255" s="201"/>
      <c r="D255" s="237"/>
    </row>
    <row r="256" spans="3:4" s="199" customFormat="1" x14ac:dyDescent="0.25">
      <c r="C256" s="201"/>
      <c r="D256" s="237"/>
    </row>
    <row r="257" spans="3:4" s="199" customFormat="1" x14ac:dyDescent="0.25">
      <c r="C257" s="201"/>
      <c r="D257" s="237"/>
    </row>
    <row r="258" spans="3:4" s="199" customFormat="1" x14ac:dyDescent="0.25">
      <c r="C258" s="201"/>
      <c r="D258" s="237"/>
    </row>
    <row r="259" spans="3:4" s="199" customFormat="1" x14ac:dyDescent="0.25">
      <c r="C259" s="201"/>
      <c r="D259" s="237"/>
    </row>
    <row r="260" spans="3:4" s="199" customFormat="1" x14ac:dyDescent="0.25">
      <c r="C260" s="201"/>
      <c r="D260" s="237"/>
    </row>
    <row r="261" spans="3:4" s="199" customFormat="1" x14ac:dyDescent="0.25">
      <c r="C261" s="201"/>
      <c r="D261" s="237"/>
    </row>
    <row r="262" spans="3:4" s="199" customFormat="1" x14ac:dyDescent="0.25">
      <c r="C262" s="201"/>
      <c r="D262" s="237"/>
    </row>
    <row r="263" spans="3:4" s="199" customFormat="1" x14ac:dyDescent="0.25">
      <c r="C263" s="201"/>
      <c r="D263" s="237"/>
    </row>
    <row r="264" spans="3:4" s="199" customFormat="1" x14ac:dyDescent="0.25">
      <c r="C264" s="201"/>
      <c r="D264" s="237"/>
    </row>
    <row r="265" spans="3:4" s="199" customFormat="1" x14ac:dyDescent="0.25">
      <c r="C265" s="201"/>
      <c r="D265" s="237"/>
    </row>
    <row r="266" spans="3:4" s="199" customFormat="1" x14ac:dyDescent="0.25">
      <c r="C266" s="201"/>
      <c r="D266" s="237"/>
    </row>
    <row r="267" spans="3:4" s="199" customFormat="1" x14ac:dyDescent="0.25">
      <c r="C267" s="201"/>
      <c r="D267" s="237"/>
    </row>
    <row r="268" spans="3:4" s="199" customFormat="1" x14ac:dyDescent="0.25">
      <c r="C268" s="201"/>
      <c r="D268" s="237"/>
    </row>
    <row r="269" spans="3:4" s="199" customFormat="1" x14ac:dyDescent="0.25">
      <c r="C269" s="201"/>
      <c r="D269" s="237"/>
    </row>
    <row r="270" spans="3:4" s="199" customFormat="1" x14ac:dyDescent="0.25">
      <c r="C270" s="201"/>
      <c r="D270" s="237"/>
    </row>
    <row r="271" spans="3:4" s="199" customFormat="1" x14ac:dyDescent="0.25">
      <c r="C271" s="201"/>
      <c r="D271" s="237"/>
    </row>
    <row r="272" spans="3:4" s="199" customFormat="1" x14ac:dyDescent="0.25">
      <c r="C272" s="201"/>
      <c r="D272" s="237"/>
    </row>
    <row r="273" spans="3:4" s="199" customFormat="1" x14ac:dyDescent="0.25">
      <c r="C273" s="201"/>
      <c r="D273" s="237"/>
    </row>
    <row r="274" spans="3:4" s="199" customFormat="1" x14ac:dyDescent="0.25">
      <c r="C274" s="201"/>
      <c r="D274" s="237"/>
    </row>
    <row r="275" spans="3:4" s="199" customFormat="1" x14ac:dyDescent="0.25">
      <c r="C275" s="201"/>
      <c r="D275" s="237"/>
    </row>
    <row r="276" spans="3:4" s="199" customFormat="1" x14ac:dyDescent="0.25">
      <c r="C276" s="201"/>
      <c r="D276" s="237"/>
    </row>
    <row r="277" spans="3:4" s="199" customFormat="1" x14ac:dyDescent="0.25">
      <c r="C277" s="201"/>
      <c r="D277" s="237"/>
    </row>
    <row r="278" spans="3:4" s="199" customFormat="1" x14ac:dyDescent="0.25">
      <c r="C278" s="201"/>
      <c r="D278" s="237"/>
    </row>
    <row r="279" spans="3:4" s="199" customFormat="1" x14ac:dyDescent="0.25">
      <c r="C279" s="201"/>
      <c r="D279" s="237"/>
    </row>
    <row r="280" spans="3:4" s="199" customFormat="1" x14ac:dyDescent="0.25">
      <c r="C280" s="201"/>
      <c r="D280" s="237"/>
    </row>
    <row r="281" spans="3:4" s="199" customFormat="1" x14ac:dyDescent="0.25">
      <c r="C281" s="201"/>
      <c r="D281" s="237"/>
    </row>
    <row r="282" spans="3:4" s="199" customFormat="1" x14ac:dyDescent="0.25">
      <c r="C282" s="201"/>
      <c r="D282" s="237"/>
    </row>
    <row r="283" spans="3:4" s="199" customFormat="1" x14ac:dyDescent="0.25">
      <c r="C283" s="201"/>
      <c r="D283" s="237"/>
    </row>
    <row r="284" spans="3:4" s="199" customFormat="1" x14ac:dyDescent="0.25">
      <c r="C284" s="201"/>
      <c r="D284" s="237"/>
    </row>
    <row r="285" spans="3:4" s="199" customFormat="1" x14ac:dyDescent="0.25">
      <c r="C285" s="201"/>
      <c r="D285" s="237"/>
    </row>
    <row r="286" spans="3:4" s="199" customFormat="1" x14ac:dyDescent="0.25">
      <c r="C286" s="201"/>
      <c r="D286" s="237"/>
    </row>
    <row r="287" spans="3:4" s="199" customFormat="1" x14ac:dyDescent="0.25">
      <c r="C287" s="201"/>
      <c r="D287" s="237"/>
    </row>
    <row r="288" spans="3:4" s="199" customFormat="1" x14ac:dyDescent="0.25">
      <c r="C288" s="201"/>
      <c r="D288" s="237"/>
    </row>
    <row r="289" spans="3:4" s="199" customFormat="1" x14ac:dyDescent="0.25">
      <c r="C289" s="201"/>
      <c r="D289" s="237"/>
    </row>
    <row r="290" spans="3:4" s="199" customFormat="1" x14ac:dyDescent="0.25">
      <c r="C290" s="201"/>
      <c r="D290" s="237"/>
    </row>
    <row r="291" spans="3:4" s="199" customFormat="1" x14ac:dyDescent="0.25">
      <c r="C291" s="201"/>
      <c r="D291" s="237"/>
    </row>
    <row r="292" spans="3:4" s="199" customFormat="1" x14ac:dyDescent="0.25">
      <c r="C292" s="201"/>
      <c r="D292" s="237"/>
    </row>
    <row r="293" spans="3:4" s="199" customFormat="1" x14ac:dyDescent="0.25">
      <c r="C293" s="201"/>
      <c r="D293" s="237"/>
    </row>
    <row r="294" spans="3:4" s="199" customFormat="1" x14ac:dyDescent="0.25">
      <c r="C294" s="201"/>
      <c r="D294" s="237"/>
    </row>
    <row r="295" spans="3:4" s="199" customFormat="1" x14ac:dyDescent="0.25">
      <c r="C295" s="201"/>
      <c r="D295" s="237"/>
    </row>
    <row r="296" spans="3:4" s="199" customFormat="1" x14ac:dyDescent="0.25">
      <c r="C296" s="201"/>
      <c r="D296" s="237"/>
    </row>
    <row r="297" spans="3:4" s="199" customFormat="1" x14ac:dyDescent="0.25">
      <c r="C297" s="201"/>
      <c r="D297" s="237"/>
    </row>
    <row r="298" spans="3:4" s="199" customFormat="1" x14ac:dyDescent="0.25">
      <c r="C298" s="201"/>
      <c r="D298" s="237"/>
    </row>
    <row r="299" spans="3:4" s="199" customFormat="1" x14ac:dyDescent="0.25">
      <c r="C299" s="201"/>
      <c r="D299" s="237"/>
    </row>
    <row r="300" spans="3:4" s="199" customFormat="1" x14ac:dyDescent="0.25">
      <c r="C300" s="201"/>
      <c r="D300" s="237"/>
    </row>
    <row r="301" spans="3:4" s="199" customFormat="1" x14ac:dyDescent="0.25">
      <c r="C301" s="201"/>
      <c r="D301" s="237"/>
    </row>
    <row r="302" spans="3:4" s="199" customFormat="1" x14ac:dyDescent="0.25">
      <c r="C302" s="201"/>
      <c r="D302" s="237"/>
    </row>
    <row r="303" spans="3:4" s="199" customFormat="1" x14ac:dyDescent="0.25">
      <c r="C303" s="201"/>
      <c r="D303" s="237"/>
    </row>
    <row r="304" spans="3:4" s="199" customFormat="1" x14ac:dyDescent="0.25">
      <c r="C304" s="201"/>
      <c r="D304" s="237"/>
    </row>
    <row r="305" spans="1:3" x14ac:dyDescent="0.25">
      <c r="A305" s="174"/>
      <c r="B305" s="174"/>
      <c r="C305" s="213"/>
    </row>
    <row r="306" spans="1:3" x14ac:dyDescent="0.25">
      <c r="A306" s="174"/>
      <c r="B306" s="174"/>
      <c r="C306" s="213"/>
    </row>
    <row r="307" spans="1:3" x14ac:dyDescent="0.25">
      <c r="A307" s="174"/>
      <c r="B307" s="174"/>
      <c r="C307" s="213"/>
    </row>
    <row r="308" spans="1:3" x14ac:dyDescent="0.25">
      <c r="A308" s="174"/>
      <c r="B308" s="174"/>
      <c r="C308" s="213"/>
    </row>
    <row r="309" spans="1:3" x14ac:dyDescent="0.25">
      <c r="A309" s="174"/>
      <c r="B309" s="174"/>
      <c r="C309" s="213"/>
    </row>
    <row r="310" spans="1:3" x14ac:dyDescent="0.25">
      <c r="A310" s="174"/>
      <c r="B310" s="174"/>
      <c r="C310" s="213"/>
    </row>
    <row r="311" spans="1:3" x14ac:dyDescent="0.25">
      <c r="A311" s="174"/>
      <c r="B311" s="174"/>
      <c r="C311" s="213"/>
    </row>
    <row r="312" spans="1:3" x14ac:dyDescent="0.25">
      <c r="A312" s="174"/>
      <c r="B312" s="174"/>
      <c r="C312" s="213"/>
    </row>
    <row r="313" spans="1:3" x14ac:dyDescent="0.25">
      <c r="A313" s="174"/>
      <c r="B313" s="174"/>
      <c r="C313" s="213"/>
    </row>
    <row r="314" spans="1:3" x14ac:dyDescent="0.25">
      <c r="A314" s="174"/>
      <c r="B314" s="174"/>
      <c r="C314" s="213"/>
    </row>
    <row r="315" spans="1:3" x14ac:dyDescent="0.25">
      <c r="A315" s="174"/>
      <c r="B315" s="174"/>
      <c r="C315" s="213"/>
    </row>
    <row r="316" spans="1:3" x14ac:dyDescent="0.25">
      <c r="A316" s="174"/>
      <c r="B316" s="174"/>
      <c r="C316" s="213"/>
    </row>
    <row r="317" spans="1:3" x14ac:dyDescent="0.25">
      <c r="A317" s="174"/>
      <c r="B317" s="174"/>
      <c r="C317" s="213"/>
    </row>
    <row r="318" spans="1:3" x14ac:dyDescent="0.25">
      <c r="A318" s="174"/>
      <c r="B318" s="174"/>
      <c r="C318" s="213"/>
    </row>
    <row r="319" spans="1:3" x14ac:dyDescent="0.25">
      <c r="A319" s="174"/>
      <c r="B319" s="174"/>
      <c r="C319" s="213"/>
    </row>
    <row r="320" spans="1:3" x14ac:dyDescent="0.25">
      <c r="A320" s="174"/>
      <c r="B320" s="174"/>
      <c r="C320" s="213"/>
    </row>
    <row r="321" spans="1:3" x14ac:dyDescent="0.25">
      <c r="A321" s="174"/>
      <c r="B321" s="174"/>
      <c r="C321" s="213"/>
    </row>
    <row r="322" spans="1:3" x14ac:dyDescent="0.25">
      <c r="A322" s="174"/>
      <c r="B322" s="174"/>
      <c r="C322" s="213"/>
    </row>
    <row r="323" spans="1:3" x14ac:dyDescent="0.25">
      <c r="A323" s="174"/>
      <c r="B323" s="174"/>
      <c r="C323" s="213"/>
    </row>
    <row r="324" spans="1:3" x14ac:dyDescent="0.25">
      <c r="A324" s="174"/>
      <c r="B324" s="174"/>
      <c r="C324" s="213"/>
    </row>
    <row r="325" spans="1:3" x14ac:dyDescent="0.25">
      <c r="A325" s="174"/>
      <c r="B325" s="174"/>
      <c r="C325" s="213"/>
    </row>
    <row r="326" spans="1:3" x14ac:dyDescent="0.25">
      <c r="A326" s="174"/>
      <c r="B326" s="174"/>
      <c r="C326" s="213"/>
    </row>
    <row r="327" spans="1:3" x14ac:dyDescent="0.25">
      <c r="A327" s="174"/>
      <c r="B327" s="174"/>
      <c r="C327" s="213"/>
    </row>
    <row r="328" spans="1:3" x14ac:dyDescent="0.25">
      <c r="A328" s="174"/>
      <c r="B328" s="174"/>
      <c r="C328" s="213"/>
    </row>
    <row r="329" spans="1:3" x14ac:dyDescent="0.25">
      <c r="A329" s="174"/>
      <c r="B329" s="174"/>
      <c r="C329" s="213"/>
    </row>
    <row r="330" spans="1:3" x14ac:dyDescent="0.25">
      <c r="A330" s="174"/>
      <c r="B330" s="174"/>
      <c r="C330" s="213"/>
    </row>
    <row r="331" spans="1:3" x14ac:dyDescent="0.25">
      <c r="A331" s="174"/>
      <c r="B331" s="174"/>
      <c r="C331" s="213"/>
    </row>
    <row r="332" spans="1:3" x14ac:dyDescent="0.25">
      <c r="A332" s="174"/>
      <c r="B332" s="174"/>
      <c r="C332" s="213"/>
    </row>
    <row r="333" spans="1:3" x14ac:dyDescent="0.25">
      <c r="A333" s="174"/>
      <c r="B333" s="174"/>
      <c r="C333" s="213"/>
    </row>
    <row r="334" spans="1:3" x14ac:dyDescent="0.25">
      <c r="A334" s="174"/>
      <c r="B334" s="174"/>
      <c r="C334" s="213"/>
    </row>
    <row r="335" spans="1:3" x14ac:dyDescent="0.25">
      <c r="A335" s="174"/>
      <c r="B335" s="174"/>
      <c r="C335" s="213"/>
    </row>
    <row r="336" spans="1:3" x14ac:dyDescent="0.25">
      <c r="A336" s="174"/>
      <c r="B336" s="174"/>
      <c r="C336" s="213"/>
    </row>
    <row r="337" spans="1:3" x14ac:dyDescent="0.25">
      <c r="A337" s="174"/>
      <c r="B337" s="174"/>
      <c r="C337" s="213"/>
    </row>
    <row r="338" spans="1:3" x14ac:dyDescent="0.25">
      <c r="A338" s="174"/>
      <c r="B338" s="174"/>
      <c r="C338" s="213"/>
    </row>
    <row r="339" spans="1:3" x14ac:dyDescent="0.25">
      <c r="A339" s="174"/>
      <c r="B339" s="174"/>
      <c r="C339" s="213"/>
    </row>
    <row r="340" spans="1:3" x14ac:dyDescent="0.25">
      <c r="A340" s="174"/>
      <c r="B340" s="174"/>
      <c r="C340" s="213"/>
    </row>
    <row r="341" spans="1:3" x14ac:dyDescent="0.25">
      <c r="A341" s="174"/>
      <c r="B341" s="174"/>
      <c r="C341" s="213"/>
    </row>
    <row r="342" spans="1:3" x14ac:dyDescent="0.25">
      <c r="A342" s="174"/>
      <c r="B342" s="174"/>
      <c r="C342" s="213"/>
    </row>
    <row r="343" spans="1:3" x14ac:dyDescent="0.25">
      <c r="A343" s="174"/>
      <c r="B343" s="174"/>
      <c r="C343" s="213"/>
    </row>
    <row r="344" spans="1:3" x14ac:dyDescent="0.25">
      <c r="A344" s="174"/>
      <c r="B344" s="174"/>
      <c r="C344" s="213"/>
    </row>
    <row r="345" spans="1:3" x14ac:dyDescent="0.25">
      <c r="A345" s="174"/>
      <c r="B345" s="174"/>
      <c r="C345" s="213"/>
    </row>
    <row r="346" spans="1:3" x14ac:dyDescent="0.25">
      <c r="A346" s="174"/>
      <c r="B346" s="174"/>
      <c r="C346" s="213"/>
    </row>
    <row r="347" spans="1:3" x14ac:dyDescent="0.25">
      <c r="A347" s="174"/>
      <c r="B347" s="174"/>
      <c r="C347" s="213"/>
    </row>
    <row r="348" spans="1:3" x14ac:dyDescent="0.25">
      <c r="A348" s="174"/>
      <c r="B348" s="174"/>
      <c r="C348" s="220"/>
    </row>
    <row r="357" spans="1:1" x14ac:dyDescent="0.25">
      <c r="A357" s="221" t="s">
        <v>1</v>
      </c>
    </row>
  </sheetData>
  <mergeCells count="3">
    <mergeCell ref="A202:D202"/>
    <mergeCell ref="A203:D203"/>
    <mergeCell ref="A204:D204"/>
  </mergeCells>
  <conditionalFormatting sqref="A15:A16">
    <cfRule type="duplicateValues" dxfId="75" priority="1"/>
    <cfRule type="duplicateValues" dxfId="74" priority="2"/>
  </conditionalFormatting>
  <conditionalFormatting sqref="A17:A18 A10:A14 A7:A8">
    <cfRule type="duplicateValues" dxfId="73" priority="7"/>
  </conditionalFormatting>
  <conditionalFormatting sqref="A38:A49 A51:A149 A152:A169 A171:A183">
    <cfRule type="duplicateValues" dxfId="72" priority="9"/>
  </conditionalFormatting>
  <conditionalFormatting sqref="A190 A7:A14 A17:A49 A51:A186">
    <cfRule type="duplicateValues" dxfId="71" priority="11"/>
  </conditionalFormatting>
  <conditionalFormatting sqref="A190 A9 A19:A49 A51:A186">
    <cfRule type="duplicateValues" dxfId="70" priority="12"/>
  </conditionalFormatting>
  <conditionalFormatting sqref="C7">
    <cfRule type="duplicateValues" dxfId="69" priority="4"/>
  </conditionalFormatting>
  <conditionalFormatting sqref="C15:C16">
    <cfRule type="duplicateValues" dxfId="68" priority="3"/>
  </conditionalFormatting>
  <conditionalFormatting sqref="C17:C18 C8:C14">
    <cfRule type="duplicateValues" dxfId="67" priority="8"/>
  </conditionalFormatting>
  <conditionalFormatting sqref="C19">
    <cfRule type="duplicateValues" dxfId="66" priority="5"/>
  </conditionalFormatting>
  <conditionalFormatting sqref="C26">
    <cfRule type="duplicateValues" dxfId="65" priority="6"/>
  </conditionalFormatting>
  <conditionalFormatting sqref="C147:C148 C131:C145 C114:C129 C96:C112 C79:C94 C48:C49 C40:C46 C20:C25 C27:C38 C150:C157 C59:C77 C159:C194 C51:C57">
    <cfRule type="duplicateValues" dxfId="64" priority="10"/>
  </conditionalFormatting>
  <pageMargins left="0.7" right="0.7" top="0.75" bottom="0.75" header="0.3" footer="0.3"/>
  <pageSetup paperSize="9" scale="88" orientation="portrait" r:id="rId1"/>
  <rowBreaks count="3" manualBreakCount="3">
    <brk id="57" max="16383" man="1"/>
    <brk id="112" max="4" man="1"/>
    <brk id="157" max="4"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D53D4-A6FD-46C5-A199-5049481132B0}">
  <dimension ref="A1:AU118"/>
  <sheetViews>
    <sheetView zoomScale="145" zoomScaleNormal="145" zoomScaleSheetLayoutView="115" workbookViewId="0"/>
  </sheetViews>
  <sheetFormatPr defaultColWidth="13.6640625" defaultRowHeight="13.2" x14ac:dyDescent="0.25"/>
  <cols>
    <col min="1" max="1" width="10.5546875" style="192" bestFit="1" customWidth="1"/>
    <col min="2" max="2" width="39.6640625" style="192" bestFit="1" customWidth="1"/>
    <col min="3" max="3" width="15.6640625" style="216" customWidth="1"/>
    <col min="4" max="4" width="11.44140625" style="192" bestFit="1" customWidth="1"/>
    <col min="5" max="16384" width="13.6640625" style="192"/>
  </cols>
  <sheetData>
    <row r="1" spans="1:47" s="175" customFormat="1" ht="61.95" customHeight="1" x14ac:dyDescent="0.5">
      <c r="A1" s="171"/>
      <c r="B1" s="172"/>
      <c r="C1" s="173"/>
      <c r="D1" s="174"/>
      <c r="E1" s="174"/>
      <c r="F1" s="174"/>
      <c r="G1" s="174"/>
      <c r="H1" s="174"/>
      <c r="I1" s="174"/>
      <c r="J1" s="174"/>
      <c r="K1" s="174"/>
      <c r="L1" s="174"/>
      <c r="M1" s="174"/>
      <c r="N1" s="174"/>
      <c r="O1" s="174"/>
      <c r="P1" s="174"/>
      <c r="Q1" s="174"/>
      <c r="R1" s="174"/>
      <c r="S1" s="174"/>
      <c r="T1" s="174"/>
      <c r="U1" s="174"/>
      <c r="V1" s="174"/>
      <c r="W1" s="174"/>
      <c r="X1" s="174"/>
      <c r="Y1" s="174"/>
      <c r="Z1" s="174"/>
      <c r="AA1" s="174"/>
      <c r="AB1" s="174"/>
      <c r="AC1" s="174"/>
      <c r="AD1" s="174"/>
      <c r="AE1" s="174"/>
      <c r="AF1" s="174"/>
      <c r="AG1" s="174"/>
      <c r="AH1" s="174"/>
      <c r="AI1" s="174"/>
      <c r="AJ1" s="174"/>
      <c r="AK1" s="174"/>
      <c r="AL1" s="174"/>
      <c r="AM1" s="174"/>
      <c r="AN1" s="174"/>
      <c r="AO1" s="174"/>
      <c r="AP1" s="174"/>
      <c r="AQ1" s="174"/>
      <c r="AR1" s="174"/>
      <c r="AS1" s="174"/>
      <c r="AT1" s="174"/>
      <c r="AU1" s="174"/>
    </row>
    <row r="2" spans="1:47" s="175" customFormat="1" ht="12" customHeight="1" x14ac:dyDescent="0.45">
      <c r="A2" s="176"/>
      <c r="B2" s="172"/>
      <c r="C2" s="177"/>
      <c r="D2" s="178"/>
      <c r="E2" s="174"/>
      <c r="F2" s="174"/>
      <c r="G2" s="174"/>
      <c r="H2" s="174"/>
      <c r="I2" s="174"/>
      <c r="J2" s="174"/>
      <c r="K2" s="174"/>
      <c r="L2" s="174"/>
      <c r="M2" s="174"/>
      <c r="N2" s="174"/>
      <c r="O2" s="174"/>
      <c r="P2" s="174"/>
      <c r="Q2" s="174"/>
      <c r="R2" s="174"/>
      <c r="S2" s="174"/>
      <c r="T2" s="174"/>
      <c r="U2" s="174"/>
      <c r="V2" s="174"/>
      <c r="W2" s="174"/>
      <c r="X2" s="174"/>
      <c r="Y2" s="174"/>
      <c r="Z2" s="174"/>
      <c r="AA2" s="174"/>
      <c r="AB2" s="174"/>
      <c r="AC2" s="174"/>
      <c r="AD2" s="174"/>
      <c r="AE2" s="174"/>
      <c r="AF2" s="174"/>
      <c r="AG2" s="174"/>
      <c r="AH2" s="174"/>
      <c r="AI2" s="174"/>
      <c r="AJ2" s="174"/>
      <c r="AK2" s="174"/>
      <c r="AL2" s="174"/>
      <c r="AM2" s="174"/>
      <c r="AN2" s="174"/>
      <c r="AO2" s="174"/>
      <c r="AP2" s="174"/>
      <c r="AQ2" s="174"/>
      <c r="AR2" s="174"/>
      <c r="AS2" s="174"/>
      <c r="AT2" s="174"/>
      <c r="AU2" s="174"/>
    </row>
    <row r="3" spans="1:47" s="183" customFormat="1" ht="15" customHeight="1" x14ac:dyDescent="0.25">
      <c r="A3" s="179"/>
      <c r="B3" s="180"/>
      <c r="C3" s="181"/>
      <c r="D3" s="182" t="s">
        <v>14006</v>
      </c>
      <c r="E3" s="174"/>
      <c r="F3" s="174"/>
      <c r="G3" s="174"/>
      <c r="H3" s="174"/>
      <c r="I3" s="174"/>
      <c r="J3" s="174"/>
      <c r="K3" s="174"/>
      <c r="L3" s="174"/>
      <c r="M3" s="174"/>
      <c r="N3" s="174"/>
      <c r="O3" s="174"/>
      <c r="P3" s="174"/>
      <c r="Q3" s="174"/>
      <c r="R3" s="174"/>
      <c r="S3" s="174"/>
      <c r="T3" s="174"/>
      <c r="U3" s="174"/>
      <c r="V3" s="174"/>
      <c r="W3" s="174"/>
      <c r="X3" s="174"/>
      <c r="Y3" s="174"/>
      <c r="Z3" s="174"/>
      <c r="AA3" s="174"/>
      <c r="AB3" s="174"/>
      <c r="AC3" s="174"/>
      <c r="AD3" s="174"/>
      <c r="AE3" s="174"/>
      <c r="AF3" s="174"/>
      <c r="AG3" s="174"/>
      <c r="AH3" s="174"/>
      <c r="AI3" s="174"/>
      <c r="AJ3" s="174"/>
      <c r="AK3" s="174"/>
      <c r="AL3" s="174"/>
      <c r="AM3" s="174"/>
      <c r="AN3" s="174"/>
      <c r="AO3" s="174"/>
      <c r="AP3" s="174"/>
      <c r="AQ3" s="174"/>
      <c r="AR3" s="174"/>
      <c r="AS3" s="174"/>
      <c r="AT3" s="174"/>
      <c r="AU3" s="174"/>
    </row>
    <row r="4" spans="1:47" s="183" customFormat="1" ht="7.5" customHeight="1" x14ac:dyDescent="0.25">
      <c r="A4" s="184"/>
      <c r="B4" s="185"/>
      <c r="C4" s="186"/>
      <c r="D4" s="187"/>
      <c r="E4" s="174"/>
      <c r="F4" s="174"/>
      <c r="G4" s="174"/>
      <c r="H4" s="174"/>
      <c r="I4" s="174"/>
      <c r="J4" s="174"/>
      <c r="K4" s="174"/>
      <c r="L4" s="174"/>
      <c r="M4" s="174"/>
      <c r="N4" s="174"/>
      <c r="O4" s="174"/>
      <c r="P4" s="174"/>
      <c r="Q4" s="174"/>
      <c r="R4" s="174"/>
      <c r="S4" s="174"/>
      <c r="T4" s="174"/>
      <c r="U4" s="174"/>
      <c r="V4" s="174"/>
      <c r="W4" s="174"/>
      <c r="X4" s="174"/>
      <c r="Y4" s="174"/>
      <c r="Z4" s="174"/>
      <c r="AA4" s="174"/>
      <c r="AB4" s="174"/>
      <c r="AC4" s="174"/>
      <c r="AD4" s="174"/>
      <c r="AE4" s="174"/>
      <c r="AF4" s="174"/>
      <c r="AG4" s="174"/>
      <c r="AH4" s="174"/>
      <c r="AI4" s="174"/>
      <c r="AJ4" s="174"/>
      <c r="AK4" s="174"/>
      <c r="AL4" s="174"/>
      <c r="AM4" s="174"/>
      <c r="AN4" s="174"/>
      <c r="AO4" s="174"/>
      <c r="AP4" s="174"/>
      <c r="AQ4" s="174"/>
      <c r="AR4" s="174"/>
      <c r="AS4" s="174"/>
      <c r="AT4" s="174"/>
      <c r="AU4" s="174"/>
    </row>
    <row r="5" spans="1:47" s="183" customFormat="1" ht="13.5" hidden="1" customHeight="1" x14ac:dyDescent="0.3">
      <c r="A5" s="188"/>
      <c r="B5" s="189"/>
      <c r="C5" s="190"/>
      <c r="D5" s="191" t="s">
        <v>114</v>
      </c>
      <c r="E5" s="192"/>
      <c r="F5" s="192"/>
      <c r="G5" s="192"/>
      <c r="H5" s="192"/>
      <c r="I5" s="192"/>
      <c r="J5" s="192"/>
      <c r="K5" s="192"/>
      <c r="L5" s="192"/>
      <c r="M5" s="192"/>
      <c r="N5" s="192"/>
      <c r="O5" s="192"/>
      <c r="P5" s="192"/>
      <c r="Q5" s="192"/>
      <c r="R5" s="192"/>
      <c r="S5" s="192"/>
      <c r="T5" s="192"/>
      <c r="U5" s="192"/>
      <c r="V5" s="192"/>
      <c r="W5" s="192"/>
      <c r="X5" s="192"/>
      <c r="Y5" s="192"/>
      <c r="Z5" s="192"/>
      <c r="AA5" s="192"/>
      <c r="AB5" s="192"/>
      <c r="AC5" s="192"/>
      <c r="AD5" s="192"/>
      <c r="AE5" s="192"/>
      <c r="AF5" s="192"/>
      <c r="AG5" s="192"/>
      <c r="AH5" s="192"/>
      <c r="AI5" s="192"/>
      <c r="AJ5" s="192"/>
      <c r="AK5" s="192"/>
      <c r="AL5" s="192"/>
      <c r="AM5" s="192"/>
      <c r="AN5" s="192"/>
      <c r="AO5" s="192"/>
      <c r="AP5" s="192"/>
      <c r="AQ5" s="192"/>
      <c r="AR5" s="192"/>
      <c r="AS5" s="192"/>
      <c r="AT5" s="192"/>
      <c r="AU5" s="192"/>
    </row>
    <row r="6" spans="1:47" s="183" customFormat="1" ht="13.8" x14ac:dyDescent="0.3">
      <c r="A6" s="193"/>
      <c r="B6" s="193"/>
      <c r="C6" s="194"/>
      <c r="D6" s="195" t="s">
        <v>13991</v>
      </c>
      <c r="E6" s="192"/>
      <c r="F6" s="192"/>
      <c r="G6" s="192"/>
      <c r="H6" s="192"/>
      <c r="I6" s="192"/>
      <c r="J6" s="192"/>
      <c r="K6" s="192"/>
      <c r="L6" s="192"/>
      <c r="M6" s="192"/>
      <c r="N6" s="192"/>
      <c r="O6" s="192"/>
      <c r="P6" s="192"/>
      <c r="Q6" s="192"/>
      <c r="R6" s="192"/>
      <c r="S6" s="192"/>
      <c r="T6" s="192"/>
      <c r="U6" s="192"/>
      <c r="V6" s="192"/>
      <c r="W6" s="192"/>
      <c r="X6" s="192"/>
      <c r="Y6" s="192"/>
      <c r="Z6" s="192"/>
      <c r="AA6" s="192"/>
      <c r="AB6" s="192"/>
      <c r="AC6" s="192"/>
      <c r="AD6" s="192"/>
      <c r="AE6" s="192"/>
      <c r="AF6" s="192"/>
      <c r="AG6" s="192"/>
      <c r="AH6" s="192"/>
      <c r="AI6" s="192"/>
      <c r="AJ6" s="192"/>
      <c r="AK6" s="192"/>
      <c r="AL6" s="192"/>
      <c r="AM6" s="192"/>
      <c r="AN6" s="192"/>
      <c r="AO6" s="192"/>
      <c r="AP6" s="192"/>
      <c r="AQ6" s="192"/>
      <c r="AR6" s="192"/>
      <c r="AS6" s="192"/>
      <c r="AT6" s="192"/>
      <c r="AU6" s="192"/>
    </row>
    <row r="7" spans="1:47" s="183" customFormat="1" ht="13.8" x14ac:dyDescent="0.3">
      <c r="A7" s="196" t="s">
        <v>119</v>
      </c>
      <c r="B7" s="196" t="s">
        <v>262</v>
      </c>
      <c r="C7" s="197" t="s">
        <v>0</v>
      </c>
      <c r="D7" s="198" t="s">
        <v>13992</v>
      </c>
      <c r="E7" s="192"/>
      <c r="F7" s="192"/>
      <c r="G7" s="192"/>
      <c r="H7" s="192"/>
      <c r="I7" s="192"/>
      <c r="J7" s="192"/>
      <c r="K7" s="192"/>
      <c r="L7" s="192"/>
      <c r="M7" s="192"/>
      <c r="N7" s="192"/>
      <c r="O7" s="192"/>
      <c r="P7" s="192"/>
      <c r="Q7" s="192"/>
      <c r="R7" s="192"/>
      <c r="S7" s="192"/>
      <c r="T7" s="192"/>
      <c r="U7" s="192"/>
      <c r="V7" s="192"/>
      <c r="W7" s="192"/>
      <c r="X7" s="192"/>
      <c r="Y7" s="192"/>
      <c r="Z7" s="192"/>
      <c r="AA7" s="192"/>
      <c r="AB7" s="192"/>
      <c r="AC7" s="192"/>
      <c r="AD7" s="192"/>
      <c r="AE7" s="192"/>
      <c r="AF7" s="192"/>
      <c r="AG7" s="192"/>
      <c r="AH7" s="192"/>
      <c r="AI7" s="192"/>
      <c r="AJ7" s="192"/>
      <c r="AK7" s="192"/>
      <c r="AL7" s="192"/>
      <c r="AM7" s="192"/>
      <c r="AN7" s="192"/>
      <c r="AO7" s="192"/>
      <c r="AP7" s="192"/>
      <c r="AQ7" s="192"/>
      <c r="AR7" s="192"/>
      <c r="AS7" s="192"/>
      <c r="AT7" s="192"/>
      <c r="AU7" s="192"/>
    </row>
    <row r="8" spans="1:47" s="183" customFormat="1" ht="14.4" x14ac:dyDescent="0.3">
      <c r="A8" s="199"/>
      <c r="B8" s="200" t="s">
        <v>13945</v>
      </c>
      <c r="C8" s="201"/>
      <c r="D8" s="192"/>
      <c r="E8" s="192"/>
      <c r="F8" s="192"/>
      <c r="G8" s="192"/>
      <c r="H8" s="192"/>
      <c r="I8" s="192"/>
      <c r="J8" s="192"/>
      <c r="K8" s="192"/>
      <c r="L8" s="192"/>
      <c r="M8" s="192"/>
      <c r="N8" s="192"/>
      <c r="O8" s="192"/>
      <c r="P8" s="192"/>
      <c r="Q8" s="192"/>
      <c r="R8" s="192"/>
      <c r="S8" s="192"/>
      <c r="T8" s="192"/>
      <c r="U8" s="192"/>
      <c r="V8" s="192"/>
      <c r="W8" s="192"/>
      <c r="X8" s="192"/>
      <c r="Y8" s="192"/>
      <c r="Z8" s="192"/>
      <c r="AA8" s="192"/>
      <c r="AB8" s="192"/>
      <c r="AC8" s="192"/>
      <c r="AD8" s="192"/>
      <c r="AE8" s="192"/>
      <c r="AF8" s="192"/>
      <c r="AG8" s="192"/>
      <c r="AH8" s="192"/>
      <c r="AI8" s="192"/>
      <c r="AJ8" s="192"/>
      <c r="AK8" s="192"/>
      <c r="AL8" s="192"/>
      <c r="AM8" s="192"/>
      <c r="AN8" s="192"/>
      <c r="AO8" s="192"/>
      <c r="AP8" s="192"/>
      <c r="AQ8" s="192"/>
      <c r="AR8" s="192"/>
      <c r="AS8" s="192"/>
      <c r="AT8" s="192"/>
      <c r="AU8" s="192"/>
    </row>
    <row r="9" spans="1:47" s="183" customFormat="1" x14ac:dyDescent="0.25">
      <c r="A9" s="202" t="s">
        <v>13940</v>
      </c>
      <c r="B9" s="203" t="s">
        <v>13946</v>
      </c>
      <c r="C9" s="204" t="s">
        <v>14019</v>
      </c>
      <c r="D9" s="41">
        <v>39.333333333333336</v>
      </c>
      <c r="E9" s="192"/>
      <c r="F9" s="192"/>
      <c r="G9" s="192"/>
      <c r="H9" s="192"/>
      <c r="I9" s="192"/>
      <c r="J9" s="192"/>
      <c r="K9" s="192"/>
      <c r="L9" s="192"/>
      <c r="M9" s="192"/>
      <c r="N9" s="192"/>
      <c r="O9" s="192"/>
      <c r="P9" s="192"/>
      <c r="Q9" s="192"/>
      <c r="R9" s="192"/>
      <c r="S9" s="192"/>
      <c r="T9" s="192"/>
      <c r="U9" s="192"/>
      <c r="V9" s="192"/>
      <c r="W9" s="192"/>
      <c r="X9" s="192"/>
      <c r="Y9" s="192"/>
      <c r="Z9" s="192"/>
      <c r="AA9" s="192"/>
      <c r="AB9" s="192"/>
      <c r="AC9" s="192"/>
      <c r="AD9" s="192"/>
      <c r="AE9" s="192"/>
      <c r="AF9" s="192"/>
      <c r="AG9" s="192"/>
      <c r="AH9" s="192"/>
      <c r="AI9" s="192"/>
      <c r="AJ9" s="192"/>
      <c r="AK9" s="192"/>
      <c r="AL9" s="192"/>
      <c r="AM9" s="192"/>
      <c r="AN9" s="192"/>
      <c r="AO9" s="192"/>
      <c r="AP9" s="192"/>
      <c r="AQ9" s="192"/>
      <c r="AR9" s="192"/>
      <c r="AS9" s="192"/>
      <c r="AT9" s="192"/>
      <c r="AU9" s="192"/>
    </row>
    <row r="10" spans="1:47" s="183" customFormat="1" x14ac:dyDescent="0.25">
      <c r="A10" s="202" t="s">
        <v>13941</v>
      </c>
      <c r="B10" s="203" t="s">
        <v>13947</v>
      </c>
      <c r="C10" s="204" t="s">
        <v>14020</v>
      </c>
      <c r="D10" s="41">
        <v>39.333333333333336</v>
      </c>
      <c r="E10" s="192"/>
      <c r="F10" s="192"/>
      <c r="G10" s="192"/>
      <c r="H10" s="192"/>
      <c r="I10" s="192"/>
      <c r="J10" s="192"/>
      <c r="K10" s="192"/>
      <c r="L10" s="192"/>
      <c r="M10" s="192"/>
      <c r="N10" s="192"/>
      <c r="O10" s="192"/>
      <c r="P10" s="192"/>
      <c r="Q10" s="192"/>
      <c r="R10" s="192"/>
      <c r="S10" s="192"/>
      <c r="T10" s="192"/>
      <c r="U10" s="192"/>
      <c r="V10" s="192"/>
      <c r="W10" s="192"/>
      <c r="X10" s="192"/>
      <c r="Y10" s="192"/>
      <c r="Z10" s="192"/>
      <c r="AA10" s="192"/>
      <c r="AB10" s="192"/>
      <c r="AC10" s="192"/>
      <c r="AD10" s="192"/>
      <c r="AE10" s="192"/>
      <c r="AF10" s="192"/>
      <c r="AG10" s="192"/>
      <c r="AH10" s="192"/>
      <c r="AI10" s="192"/>
      <c r="AJ10" s="192"/>
      <c r="AK10" s="192"/>
      <c r="AL10" s="192"/>
      <c r="AM10" s="192"/>
      <c r="AN10" s="192"/>
      <c r="AO10" s="192"/>
      <c r="AP10" s="192"/>
      <c r="AQ10" s="192"/>
      <c r="AR10" s="192"/>
      <c r="AS10" s="192"/>
      <c r="AT10" s="192"/>
      <c r="AU10" s="192"/>
    </row>
    <row r="11" spans="1:47" s="183" customFormat="1" ht="14.4" x14ac:dyDescent="0.3">
      <c r="A11" s="199"/>
      <c r="B11" s="200" t="s">
        <v>13880</v>
      </c>
      <c r="C11" s="201"/>
      <c r="D11" s="192"/>
      <c r="E11" s="192"/>
      <c r="F11" s="192"/>
      <c r="G11" s="192"/>
      <c r="H11" s="192"/>
      <c r="I11" s="192"/>
      <c r="J11" s="192"/>
      <c r="K11" s="192"/>
      <c r="L11" s="192"/>
      <c r="M11" s="192"/>
      <c r="N11" s="192"/>
      <c r="O11" s="192"/>
      <c r="P11" s="192"/>
      <c r="Q11" s="192"/>
      <c r="R11" s="192"/>
      <c r="S11" s="192"/>
      <c r="T11" s="192"/>
      <c r="U11" s="192"/>
      <c r="V11" s="192"/>
      <c r="W11" s="192"/>
      <c r="X11" s="192"/>
      <c r="Y11" s="192"/>
      <c r="Z11" s="192"/>
      <c r="AA11" s="192"/>
      <c r="AB11" s="192"/>
      <c r="AC11" s="192"/>
      <c r="AD11" s="192"/>
      <c r="AE11" s="192"/>
      <c r="AF11" s="192"/>
      <c r="AG11" s="192"/>
      <c r="AH11" s="192"/>
      <c r="AI11" s="192"/>
      <c r="AJ11" s="192"/>
      <c r="AK11" s="192"/>
      <c r="AL11" s="192"/>
      <c r="AM11" s="192"/>
      <c r="AN11" s="192"/>
      <c r="AO11" s="192"/>
      <c r="AP11" s="192"/>
      <c r="AQ11" s="192"/>
      <c r="AR11" s="192"/>
      <c r="AS11" s="192"/>
      <c r="AT11" s="192"/>
      <c r="AU11" s="192"/>
    </row>
    <row r="12" spans="1:47" s="183" customFormat="1" x14ac:dyDescent="0.25">
      <c r="A12" s="202" t="s">
        <v>13879</v>
      </c>
      <c r="B12" s="203" t="s">
        <v>13886</v>
      </c>
      <c r="C12" s="204" t="s">
        <v>14021</v>
      </c>
      <c r="D12" s="41">
        <v>46</v>
      </c>
      <c r="E12" s="192"/>
      <c r="F12" s="192"/>
      <c r="G12" s="192"/>
      <c r="H12" s="192"/>
      <c r="I12" s="192"/>
      <c r="J12" s="192"/>
      <c r="K12" s="192"/>
      <c r="L12" s="192"/>
      <c r="M12" s="192"/>
      <c r="N12" s="192"/>
      <c r="O12" s="192"/>
      <c r="P12" s="192"/>
      <c r="Q12" s="192"/>
      <c r="R12" s="192"/>
      <c r="S12" s="192"/>
      <c r="T12" s="192"/>
      <c r="U12" s="192"/>
      <c r="V12" s="192"/>
      <c r="W12" s="192"/>
      <c r="X12" s="192"/>
      <c r="Y12" s="192"/>
      <c r="Z12" s="192"/>
      <c r="AA12" s="192"/>
      <c r="AB12" s="192"/>
      <c r="AC12" s="192"/>
      <c r="AD12" s="192"/>
      <c r="AE12" s="192"/>
      <c r="AF12" s="192"/>
      <c r="AG12" s="192"/>
      <c r="AH12" s="192"/>
      <c r="AI12" s="192"/>
      <c r="AJ12" s="192"/>
      <c r="AK12" s="192"/>
      <c r="AL12" s="192"/>
      <c r="AM12" s="192"/>
      <c r="AN12" s="192"/>
      <c r="AO12" s="192"/>
      <c r="AP12" s="192"/>
      <c r="AQ12" s="192"/>
      <c r="AR12" s="192"/>
      <c r="AS12" s="192"/>
      <c r="AT12" s="192"/>
      <c r="AU12" s="192"/>
    </row>
    <row r="13" spans="1:47" s="183" customFormat="1" x14ac:dyDescent="0.25">
      <c r="A13" s="202" t="s">
        <v>2764</v>
      </c>
      <c r="B13" s="203" t="s">
        <v>13887</v>
      </c>
      <c r="C13" s="204" t="s">
        <v>2763</v>
      </c>
      <c r="D13" s="41">
        <v>46</v>
      </c>
      <c r="E13" s="192"/>
      <c r="F13" s="192"/>
      <c r="G13" s="192"/>
      <c r="H13" s="192"/>
      <c r="I13" s="192"/>
      <c r="J13" s="192"/>
      <c r="K13" s="192"/>
      <c r="L13" s="192"/>
      <c r="M13" s="192"/>
      <c r="N13" s="192"/>
      <c r="O13" s="192"/>
      <c r="P13" s="192"/>
      <c r="Q13" s="192"/>
      <c r="R13" s="192"/>
      <c r="S13" s="192"/>
      <c r="T13" s="192"/>
      <c r="U13" s="192"/>
      <c r="V13" s="192"/>
      <c r="W13" s="192"/>
      <c r="X13" s="192"/>
      <c r="Y13" s="192"/>
      <c r="Z13" s="192"/>
      <c r="AA13" s="192"/>
      <c r="AB13" s="192"/>
      <c r="AC13" s="192"/>
      <c r="AD13" s="192"/>
      <c r="AE13" s="192"/>
      <c r="AF13" s="192"/>
      <c r="AG13" s="192"/>
      <c r="AH13" s="192"/>
      <c r="AI13" s="192"/>
      <c r="AJ13" s="192"/>
      <c r="AK13" s="192"/>
      <c r="AL13" s="192"/>
      <c r="AM13" s="192"/>
      <c r="AN13" s="192"/>
      <c r="AO13" s="192"/>
      <c r="AP13" s="192"/>
      <c r="AQ13" s="192"/>
      <c r="AR13" s="192"/>
      <c r="AS13" s="192"/>
      <c r="AT13" s="192"/>
      <c r="AU13" s="192"/>
    </row>
    <row r="14" spans="1:47" s="183" customFormat="1" x14ac:dyDescent="0.25">
      <c r="A14" s="202" t="s">
        <v>13899</v>
      </c>
      <c r="B14" s="203" t="s">
        <v>13897</v>
      </c>
      <c r="C14" s="204" t="s">
        <v>14022</v>
      </c>
      <c r="D14" s="41">
        <v>66</v>
      </c>
      <c r="E14" s="192"/>
      <c r="F14" s="192"/>
      <c r="G14" s="192"/>
      <c r="H14" s="192"/>
      <c r="I14" s="192"/>
      <c r="J14" s="192"/>
      <c r="K14" s="192"/>
      <c r="L14" s="192"/>
      <c r="M14" s="192"/>
      <c r="N14" s="192"/>
      <c r="O14" s="192"/>
      <c r="P14" s="192"/>
      <c r="Q14" s="192"/>
      <c r="R14" s="192"/>
      <c r="S14" s="192"/>
      <c r="T14" s="192"/>
      <c r="U14" s="192"/>
      <c r="V14" s="192"/>
      <c r="W14" s="192"/>
      <c r="X14" s="192"/>
      <c r="Y14" s="192"/>
      <c r="Z14" s="192"/>
      <c r="AA14" s="192"/>
      <c r="AB14" s="192"/>
      <c r="AC14" s="192"/>
      <c r="AD14" s="192"/>
      <c r="AE14" s="192"/>
      <c r="AF14" s="192"/>
      <c r="AG14" s="192"/>
      <c r="AH14" s="192"/>
      <c r="AI14" s="192"/>
      <c r="AJ14" s="192"/>
      <c r="AK14" s="192"/>
      <c r="AL14" s="192"/>
      <c r="AM14" s="192"/>
      <c r="AN14" s="192"/>
      <c r="AO14" s="192"/>
      <c r="AP14" s="192"/>
      <c r="AQ14" s="192"/>
      <c r="AR14" s="192"/>
      <c r="AS14" s="192"/>
      <c r="AT14" s="192"/>
      <c r="AU14" s="192"/>
    </row>
    <row r="15" spans="1:47" s="183" customFormat="1" x14ac:dyDescent="0.25">
      <c r="A15" s="203" t="s">
        <v>13924</v>
      </c>
      <c r="B15" s="203" t="s">
        <v>13926</v>
      </c>
      <c r="C15" s="204" t="s">
        <v>14023</v>
      </c>
      <c r="D15" s="41">
        <v>66</v>
      </c>
      <c r="E15" s="192"/>
      <c r="F15" s="192"/>
      <c r="G15" s="192"/>
      <c r="H15" s="192"/>
      <c r="I15" s="192"/>
      <c r="J15" s="192"/>
      <c r="K15" s="192"/>
      <c r="L15" s="192"/>
      <c r="M15" s="192"/>
      <c r="N15" s="192"/>
      <c r="O15" s="192"/>
      <c r="P15" s="192"/>
      <c r="Q15" s="192"/>
      <c r="R15" s="192"/>
      <c r="S15" s="192"/>
      <c r="T15" s="192"/>
      <c r="U15" s="192"/>
      <c r="V15" s="192"/>
      <c r="W15" s="192"/>
      <c r="X15" s="192"/>
      <c r="Y15" s="192"/>
      <c r="Z15" s="192"/>
      <c r="AA15" s="192"/>
      <c r="AB15" s="192"/>
      <c r="AC15" s="192"/>
      <c r="AD15" s="192"/>
      <c r="AE15" s="192"/>
      <c r="AF15" s="192"/>
      <c r="AG15" s="192"/>
      <c r="AH15" s="192"/>
      <c r="AI15" s="192"/>
      <c r="AJ15" s="192"/>
      <c r="AK15" s="192"/>
      <c r="AL15" s="192"/>
      <c r="AM15" s="192"/>
      <c r="AN15" s="192"/>
      <c r="AO15" s="192"/>
      <c r="AP15" s="192"/>
      <c r="AQ15" s="192"/>
      <c r="AR15" s="192"/>
      <c r="AS15" s="192"/>
      <c r="AT15" s="192"/>
      <c r="AU15" s="192"/>
    </row>
    <row r="16" spans="1:47" s="183" customFormat="1" x14ac:dyDescent="0.25">
      <c r="A16" s="203" t="s">
        <v>13925</v>
      </c>
      <c r="B16" s="203" t="s">
        <v>13927</v>
      </c>
      <c r="C16" s="204" t="s">
        <v>14024</v>
      </c>
      <c r="D16" s="41">
        <v>66</v>
      </c>
      <c r="E16" s="192"/>
      <c r="F16" s="192"/>
      <c r="G16" s="192"/>
      <c r="H16" s="192"/>
      <c r="I16" s="192"/>
      <c r="J16" s="192"/>
      <c r="K16" s="192"/>
      <c r="L16" s="192"/>
      <c r="M16" s="192"/>
      <c r="N16" s="192"/>
      <c r="O16" s="192"/>
      <c r="P16" s="192"/>
      <c r="Q16" s="192"/>
      <c r="R16" s="192"/>
      <c r="S16" s="192"/>
      <c r="T16" s="192"/>
      <c r="U16" s="192"/>
      <c r="V16" s="192"/>
      <c r="W16" s="192"/>
      <c r="X16" s="192"/>
      <c r="Y16" s="192"/>
      <c r="Z16" s="192"/>
      <c r="AA16" s="192"/>
      <c r="AB16" s="192"/>
      <c r="AC16" s="192"/>
      <c r="AD16" s="192"/>
      <c r="AE16" s="192"/>
      <c r="AF16" s="192"/>
      <c r="AG16" s="192"/>
      <c r="AH16" s="192"/>
      <c r="AI16" s="192"/>
      <c r="AJ16" s="192"/>
      <c r="AK16" s="192"/>
      <c r="AL16" s="192"/>
      <c r="AM16" s="192"/>
      <c r="AN16" s="192"/>
      <c r="AO16" s="192"/>
      <c r="AP16" s="192"/>
      <c r="AQ16" s="192"/>
      <c r="AR16" s="192"/>
      <c r="AS16" s="192"/>
      <c r="AT16" s="192"/>
      <c r="AU16" s="192"/>
    </row>
    <row r="17" spans="1:47" s="183" customFormat="1" ht="14.4" x14ac:dyDescent="0.3">
      <c r="A17" s="205"/>
      <c r="B17" s="206" t="s">
        <v>14025</v>
      </c>
      <c r="C17" s="201"/>
      <c r="D17" s="192"/>
      <c r="E17" s="192"/>
      <c r="F17" s="192"/>
      <c r="G17" s="192"/>
      <c r="H17" s="192"/>
      <c r="I17" s="192"/>
      <c r="J17" s="192"/>
      <c r="K17" s="192"/>
      <c r="L17" s="192"/>
      <c r="M17" s="192"/>
      <c r="N17" s="192"/>
      <c r="O17" s="192"/>
      <c r="P17" s="192"/>
      <c r="Q17" s="192"/>
      <c r="R17" s="192"/>
      <c r="S17" s="192"/>
      <c r="T17" s="192"/>
      <c r="U17" s="192"/>
      <c r="V17" s="192"/>
      <c r="W17" s="192"/>
      <c r="X17" s="192"/>
      <c r="Y17" s="192"/>
      <c r="Z17" s="192"/>
      <c r="AA17" s="192"/>
      <c r="AB17" s="192"/>
      <c r="AC17" s="192"/>
      <c r="AD17" s="192"/>
      <c r="AE17" s="192"/>
      <c r="AF17" s="192"/>
      <c r="AG17" s="192"/>
      <c r="AH17" s="192"/>
      <c r="AI17" s="192"/>
      <c r="AJ17" s="192"/>
      <c r="AK17" s="192"/>
      <c r="AL17" s="192"/>
      <c r="AM17" s="192"/>
      <c r="AN17" s="192"/>
      <c r="AO17" s="192"/>
      <c r="AP17" s="192"/>
      <c r="AQ17" s="192"/>
      <c r="AR17" s="192"/>
      <c r="AS17" s="192"/>
      <c r="AT17" s="192"/>
      <c r="AU17" s="192"/>
    </row>
    <row r="18" spans="1:47" s="183" customFormat="1" x14ac:dyDescent="0.25">
      <c r="A18" s="203" t="s">
        <v>14026</v>
      </c>
      <c r="B18" s="203" t="s">
        <v>14027</v>
      </c>
      <c r="C18" s="204" t="s">
        <v>14028</v>
      </c>
      <c r="D18" s="41">
        <v>39.333333333333336</v>
      </c>
      <c r="E18" s="192"/>
      <c r="F18" s="192"/>
      <c r="G18" s="192"/>
      <c r="H18" s="192"/>
      <c r="I18" s="192"/>
      <c r="J18" s="192"/>
      <c r="K18" s="192"/>
      <c r="L18" s="192"/>
      <c r="M18" s="192"/>
      <c r="N18" s="192"/>
      <c r="O18" s="192"/>
      <c r="P18" s="192"/>
      <c r="Q18" s="192"/>
      <c r="R18" s="192"/>
      <c r="S18" s="192"/>
      <c r="T18" s="192"/>
      <c r="U18" s="192"/>
      <c r="V18" s="192"/>
      <c r="W18" s="192"/>
      <c r="X18" s="192"/>
      <c r="Y18" s="192"/>
      <c r="Z18" s="192"/>
      <c r="AA18" s="192"/>
      <c r="AB18" s="192"/>
      <c r="AC18" s="192"/>
      <c r="AD18" s="192"/>
      <c r="AE18" s="192"/>
      <c r="AF18" s="192"/>
      <c r="AG18" s="192"/>
      <c r="AH18" s="192"/>
      <c r="AI18" s="192"/>
      <c r="AJ18" s="192"/>
      <c r="AK18" s="192"/>
      <c r="AL18" s="192"/>
      <c r="AM18" s="192"/>
      <c r="AN18" s="192"/>
      <c r="AO18" s="192"/>
      <c r="AP18" s="192"/>
      <c r="AQ18" s="192"/>
      <c r="AR18" s="192"/>
      <c r="AS18" s="192"/>
      <c r="AT18" s="192"/>
      <c r="AU18" s="192"/>
    </row>
    <row r="19" spans="1:47" s="183" customFormat="1" x14ac:dyDescent="0.25">
      <c r="A19" s="203" t="s">
        <v>14029</v>
      </c>
      <c r="B19" s="203" t="s">
        <v>14030</v>
      </c>
      <c r="C19" s="204" t="s">
        <v>14031</v>
      </c>
      <c r="D19" s="41">
        <v>39.333333333333336</v>
      </c>
      <c r="E19" s="192"/>
      <c r="F19" s="192"/>
      <c r="G19" s="192"/>
      <c r="H19" s="192"/>
      <c r="I19" s="192"/>
      <c r="J19" s="192"/>
      <c r="K19" s="192"/>
      <c r="L19" s="192"/>
      <c r="M19" s="192"/>
      <c r="N19" s="192"/>
      <c r="O19" s="192"/>
      <c r="P19" s="192"/>
      <c r="Q19" s="192"/>
      <c r="R19" s="192"/>
      <c r="S19" s="192"/>
      <c r="T19" s="192"/>
      <c r="U19" s="192"/>
      <c r="V19" s="192"/>
      <c r="W19" s="192"/>
      <c r="X19" s="192"/>
      <c r="Y19" s="192"/>
      <c r="Z19" s="192"/>
      <c r="AA19" s="192"/>
      <c r="AB19" s="192"/>
      <c r="AC19" s="192"/>
      <c r="AD19" s="192"/>
      <c r="AE19" s="192"/>
      <c r="AF19" s="192"/>
      <c r="AG19" s="192"/>
      <c r="AH19" s="192"/>
      <c r="AI19" s="192"/>
      <c r="AJ19" s="192"/>
      <c r="AK19" s="192"/>
      <c r="AL19" s="192"/>
      <c r="AM19" s="192"/>
      <c r="AN19" s="192"/>
      <c r="AO19" s="192"/>
      <c r="AP19" s="192"/>
      <c r="AQ19" s="192"/>
      <c r="AR19" s="192"/>
      <c r="AS19" s="192"/>
      <c r="AT19" s="192"/>
      <c r="AU19" s="192"/>
    </row>
    <row r="20" spans="1:47" s="183" customFormat="1" x14ac:dyDescent="0.25">
      <c r="A20" s="203" t="s">
        <v>14032</v>
      </c>
      <c r="B20" s="203" t="s">
        <v>14033</v>
      </c>
      <c r="C20" s="204" t="s">
        <v>14034</v>
      </c>
      <c r="D20" s="41">
        <v>39.333333333333336</v>
      </c>
      <c r="E20" s="192"/>
      <c r="F20" s="192"/>
      <c r="G20" s="192"/>
      <c r="H20" s="192"/>
      <c r="I20" s="192"/>
      <c r="J20" s="192"/>
      <c r="K20" s="192"/>
      <c r="L20" s="192"/>
      <c r="M20" s="192"/>
      <c r="N20" s="192"/>
      <c r="O20" s="192"/>
      <c r="P20" s="192"/>
      <c r="Q20" s="192"/>
      <c r="R20" s="192"/>
      <c r="S20" s="192"/>
      <c r="T20" s="192"/>
      <c r="U20" s="192"/>
      <c r="V20" s="192"/>
      <c r="W20" s="192"/>
      <c r="X20" s="192"/>
      <c r="Y20" s="192"/>
      <c r="Z20" s="192"/>
      <c r="AA20" s="192"/>
      <c r="AB20" s="192"/>
      <c r="AC20" s="192"/>
      <c r="AD20" s="192"/>
      <c r="AE20" s="192"/>
      <c r="AF20" s="192"/>
      <c r="AG20" s="192"/>
      <c r="AH20" s="192"/>
      <c r="AI20" s="192"/>
      <c r="AJ20" s="192"/>
      <c r="AK20" s="192"/>
      <c r="AL20" s="192"/>
      <c r="AM20" s="192"/>
      <c r="AN20" s="192"/>
      <c r="AO20" s="192"/>
      <c r="AP20" s="192"/>
      <c r="AQ20" s="192"/>
      <c r="AR20" s="192"/>
      <c r="AS20" s="192"/>
      <c r="AT20" s="192"/>
      <c r="AU20" s="192"/>
    </row>
    <row r="21" spans="1:47" s="183" customFormat="1" x14ac:dyDescent="0.25">
      <c r="A21" s="207" t="s">
        <v>14035</v>
      </c>
      <c r="B21" s="203" t="s">
        <v>14036</v>
      </c>
      <c r="C21" s="204" t="s">
        <v>14037</v>
      </c>
      <c r="D21" s="41">
        <v>39.333333333333336</v>
      </c>
      <c r="E21" s="192"/>
      <c r="F21" s="192"/>
      <c r="G21" s="192"/>
      <c r="H21" s="192"/>
      <c r="I21" s="192"/>
      <c r="J21" s="192"/>
      <c r="K21" s="192"/>
      <c r="L21" s="192"/>
      <c r="M21" s="192"/>
      <c r="N21" s="192"/>
      <c r="O21" s="192"/>
      <c r="P21" s="192"/>
      <c r="Q21" s="192"/>
      <c r="R21" s="192"/>
      <c r="S21" s="192"/>
      <c r="T21" s="192"/>
      <c r="U21" s="192"/>
      <c r="V21" s="192"/>
      <c r="W21" s="192"/>
      <c r="X21" s="192"/>
      <c r="Y21" s="192"/>
      <c r="Z21" s="192"/>
      <c r="AA21" s="192"/>
      <c r="AB21" s="192"/>
      <c r="AC21" s="192"/>
      <c r="AD21" s="192"/>
      <c r="AE21" s="192"/>
      <c r="AF21" s="192"/>
      <c r="AG21" s="192"/>
      <c r="AH21" s="192"/>
      <c r="AI21" s="192"/>
      <c r="AJ21" s="192"/>
      <c r="AK21" s="192"/>
      <c r="AL21" s="192"/>
      <c r="AM21" s="192"/>
      <c r="AN21" s="192"/>
      <c r="AO21" s="192"/>
      <c r="AP21" s="192"/>
      <c r="AQ21" s="192"/>
      <c r="AR21" s="192"/>
      <c r="AS21" s="192"/>
      <c r="AT21" s="192"/>
      <c r="AU21" s="192"/>
    </row>
    <row r="22" spans="1:47" s="183" customFormat="1" x14ac:dyDescent="0.25">
      <c r="A22" s="207" t="s">
        <v>14038</v>
      </c>
      <c r="B22" s="203" t="s">
        <v>14039</v>
      </c>
      <c r="C22" s="204" t="s">
        <v>14040</v>
      </c>
      <c r="D22" s="41">
        <v>52.666666666666664</v>
      </c>
      <c r="E22" s="192"/>
      <c r="F22" s="192"/>
      <c r="G22" s="192"/>
      <c r="H22" s="192"/>
      <c r="I22" s="192"/>
      <c r="J22" s="192"/>
      <c r="K22" s="192"/>
      <c r="L22" s="192"/>
      <c r="M22" s="192"/>
      <c r="N22" s="192"/>
      <c r="O22" s="192"/>
      <c r="P22" s="192"/>
      <c r="Q22" s="192"/>
      <c r="R22" s="192"/>
      <c r="S22" s="192"/>
      <c r="T22" s="192"/>
      <c r="U22" s="192"/>
      <c r="V22" s="192"/>
      <c r="W22" s="192"/>
      <c r="X22" s="192"/>
      <c r="Y22" s="192"/>
      <c r="Z22" s="192"/>
      <c r="AA22" s="192"/>
      <c r="AB22" s="192"/>
      <c r="AC22" s="192"/>
      <c r="AD22" s="192"/>
      <c r="AE22" s="192"/>
      <c r="AF22" s="192"/>
      <c r="AG22" s="192"/>
      <c r="AH22" s="192"/>
      <c r="AI22" s="192"/>
      <c r="AJ22" s="192"/>
      <c r="AK22" s="192"/>
      <c r="AL22" s="192"/>
      <c r="AM22" s="192"/>
      <c r="AN22" s="192"/>
      <c r="AO22" s="192"/>
      <c r="AP22" s="192"/>
      <c r="AQ22" s="192"/>
      <c r="AR22" s="192"/>
      <c r="AS22" s="192"/>
      <c r="AT22" s="192"/>
      <c r="AU22" s="192"/>
    </row>
    <row r="23" spans="1:47" s="183" customFormat="1" x14ac:dyDescent="0.25">
      <c r="A23" s="207" t="s">
        <v>14041</v>
      </c>
      <c r="B23" s="203" t="s">
        <v>14042</v>
      </c>
      <c r="C23" s="204" t="s">
        <v>14043</v>
      </c>
      <c r="D23" s="41">
        <v>52.666666666666664</v>
      </c>
      <c r="E23" s="192"/>
      <c r="F23" s="192"/>
      <c r="G23" s="192"/>
      <c r="H23" s="192"/>
      <c r="I23" s="192"/>
      <c r="J23" s="192"/>
      <c r="K23" s="192"/>
      <c r="L23" s="192"/>
      <c r="M23" s="192"/>
      <c r="N23" s="192"/>
      <c r="O23" s="192"/>
      <c r="P23" s="192"/>
      <c r="Q23" s="192"/>
      <c r="R23" s="192"/>
      <c r="S23" s="192"/>
      <c r="T23" s="192"/>
      <c r="U23" s="192"/>
      <c r="V23" s="192"/>
      <c r="W23" s="192"/>
      <c r="X23" s="192"/>
      <c r="Y23" s="192"/>
      <c r="Z23" s="192"/>
      <c r="AA23" s="192"/>
      <c r="AB23" s="192"/>
      <c r="AC23" s="192"/>
      <c r="AD23" s="192"/>
      <c r="AE23" s="192"/>
      <c r="AF23" s="192"/>
      <c r="AG23" s="192"/>
      <c r="AH23" s="192"/>
      <c r="AI23" s="192"/>
      <c r="AJ23" s="192"/>
      <c r="AK23" s="192"/>
      <c r="AL23" s="192"/>
      <c r="AM23" s="192"/>
      <c r="AN23" s="192"/>
      <c r="AO23" s="192"/>
      <c r="AP23" s="192"/>
      <c r="AQ23" s="192"/>
      <c r="AR23" s="192"/>
      <c r="AS23" s="192"/>
      <c r="AT23" s="192"/>
      <c r="AU23" s="192"/>
    </row>
    <row r="24" spans="1:47" s="183" customFormat="1" x14ac:dyDescent="0.25">
      <c r="A24" s="207" t="s">
        <v>14044</v>
      </c>
      <c r="B24" s="203" t="s">
        <v>14045</v>
      </c>
      <c r="C24" s="204" t="s">
        <v>14046</v>
      </c>
      <c r="D24" s="41">
        <v>52.666666666666664</v>
      </c>
      <c r="E24" s="192"/>
      <c r="F24" s="192"/>
      <c r="G24" s="192"/>
      <c r="H24" s="192"/>
      <c r="I24" s="192"/>
      <c r="J24" s="192"/>
      <c r="K24" s="192"/>
      <c r="L24" s="192"/>
      <c r="M24" s="192"/>
      <c r="N24" s="192"/>
      <c r="O24" s="192"/>
      <c r="P24" s="192"/>
      <c r="Q24" s="192"/>
      <c r="R24" s="192"/>
      <c r="S24" s="192"/>
      <c r="T24" s="192"/>
      <c r="U24" s="192"/>
      <c r="V24" s="192"/>
      <c r="W24" s="192"/>
      <c r="X24" s="192"/>
      <c r="Y24" s="192"/>
      <c r="Z24" s="192"/>
      <c r="AA24" s="192"/>
      <c r="AB24" s="192"/>
      <c r="AC24" s="192"/>
      <c r="AD24" s="192"/>
      <c r="AE24" s="192"/>
      <c r="AF24" s="192"/>
      <c r="AG24" s="192"/>
      <c r="AH24" s="192"/>
      <c r="AI24" s="192"/>
      <c r="AJ24" s="192"/>
      <c r="AK24" s="192"/>
      <c r="AL24" s="192"/>
      <c r="AM24" s="192"/>
      <c r="AN24" s="192"/>
      <c r="AO24" s="192"/>
      <c r="AP24" s="192"/>
      <c r="AQ24" s="192"/>
      <c r="AR24" s="192"/>
      <c r="AS24" s="192"/>
      <c r="AT24" s="192"/>
      <c r="AU24" s="192"/>
    </row>
    <row r="25" spans="1:47" s="183" customFormat="1" x14ac:dyDescent="0.25">
      <c r="A25" s="207" t="s">
        <v>14047</v>
      </c>
      <c r="B25" s="203" t="s">
        <v>14048</v>
      </c>
      <c r="C25" s="204" t="s">
        <v>14049</v>
      </c>
      <c r="D25" s="41">
        <v>59.333333333333336</v>
      </c>
      <c r="E25" s="192"/>
      <c r="F25" s="192"/>
      <c r="G25" s="192"/>
      <c r="H25" s="192"/>
      <c r="I25" s="192"/>
      <c r="J25" s="192"/>
      <c r="K25" s="192"/>
      <c r="L25" s="192"/>
      <c r="M25" s="192"/>
      <c r="N25" s="192"/>
      <c r="O25" s="192"/>
      <c r="P25" s="192"/>
      <c r="Q25" s="192"/>
      <c r="R25" s="192"/>
      <c r="S25" s="192"/>
      <c r="T25" s="192"/>
      <c r="U25" s="192"/>
      <c r="V25" s="192"/>
      <c r="W25" s="192"/>
      <c r="X25" s="192"/>
      <c r="Y25" s="192"/>
      <c r="Z25" s="192"/>
      <c r="AA25" s="192"/>
      <c r="AB25" s="192"/>
      <c r="AC25" s="192"/>
      <c r="AD25" s="192"/>
      <c r="AE25" s="192"/>
      <c r="AF25" s="192"/>
      <c r="AG25" s="192"/>
      <c r="AH25" s="192"/>
      <c r="AI25" s="192"/>
      <c r="AJ25" s="192"/>
      <c r="AK25" s="192"/>
      <c r="AL25" s="192"/>
      <c r="AM25" s="192"/>
      <c r="AN25" s="192"/>
      <c r="AO25" s="192"/>
      <c r="AP25" s="192"/>
      <c r="AQ25" s="192"/>
      <c r="AR25" s="192"/>
      <c r="AS25" s="192"/>
      <c r="AT25" s="192"/>
      <c r="AU25" s="192"/>
    </row>
    <row r="26" spans="1:47" s="183" customFormat="1" x14ac:dyDescent="0.25">
      <c r="A26" s="207" t="s">
        <v>14050</v>
      </c>
      <c r="B26" s="203" t="s">
        <v>14051</v>
      </c>
      <c r="C26" s="204" t="s">
        <v>14052</v>
      </c>
      <c r="D26" s="41">
        <v>59.333333333333336</v>
      </c>
      <c r="E26" s="192"/>
      <c r="F26" s="192"/>
      <c r="G26" s="192"/>
      <c r="H26" s="192"/>
      <c r="I26" s="192"/>
      <c r="J26" s="192"/>
      <c r="K26" s="192"/>
      <c r="L26" s="192"/>
      <c r="M26" s="192"/>
      <c r="N26" s="192"/>
      <c r="O26" s="192"/>
      <c r="P26" s="192"/>
      <c r="Q26" s="192"/>
      <c r="R26" s="192"/>
      <c r="S26" s="192"/>
      <c r="T26" s="192"/>
      <c r="U26" s="192"/>
      <c r="V26" s="192"/>
      <c r="W26" s="192"/>
      <c r="X26" s="192"/>
      <c r="Y26" s="192"/>
      <c r="Z26" s="192"/>
      <c r="AA26" s="192"/>
      <c r="AB26" s="192"/>
      <c r="AC26" s="192"/>
      <c r="AD26" s="192"/>
      <c r="AE26" s="192"/>
      <c r="AF26" s="192"/>
      <c r="AG26" s="192"/>
      <c r="AH26" s="192"/>
      <c r="AI26" s="192"/>
      <c r="AJ26" s="192"/>
      <c r="AK26" s="192"/>
      <c r="AL26" s="192"/>
      <c r="AM26" s="192"/>
      <c r="AN26" s="192"/>
      <c r="AO26" s="192"/>
      <c r="AP26" s="192"/>
      <c r="AQ26" s="192"/>
      <c r="AR26" s="192"/>
      <c r="AS26" s="192"/>
      <c r="AT26" s="192"/>
      <c r="AU26" s="192"/>
    </row>
    <row r="27" spans="1:47" s="183" customFormat="1" ht="14.4" x14ac:dyDescent="0.3">
      <c r="A27" s="208"/>
      <c r="B27" s="200" t="s">
        <v>13905</v>
      </c>
      <c r="C27" s="209"/>
      <c r="D27" s="199"/>
      <c r="E27" s="192"/>
      <c r="F27" s="192"/>
      <c r="G27" s="192"/>
      <c r="H27" s="192"/>
      <c r="I27" s="192"/>
      <c r="J27" s="192"/>
      <c r="K27" s="192"/>
      <c r="L27" s="192"/>
      <c r="M27" s="192"/>
      <c r="N27" s="192"/>
      <c r="O27" s="192"/>
      <c r="P27" s="192"/>
      <c r="Q27" s="192"/>
      <c r="R27" s="192"/>
      <c r="S27" s="192"/>
      <c r="T27" s="192"/>
      <c r="U27" s="192"/>
      <c r="V27" s="192"/>
      <c r="W27" s="192"/>
      <c r="X27" s="192"/>
      <c r="Y27" s="192"/>
      <c r="Z27" s="192"/>
      <c r="AA27" s="192"/>
      <c r="AB27" s="192"/>
      <c r="AC27" s="192"/>
      <c r="AD27" s="192"/>
      <c r="AE27" s="192"/>
      <c r="AF27" s="192"/>
      <c r="AG27" s="192"/>
      <c r="AH27" s="192"/>
      <c r="AI27" s="192"/>
      <c r="AJ27" s="192"/>
      <c r="AK27" s="192"/>
      <c r="AL27" s="192"/>
      <c r="AM27" s="192"/>
      <c r="AN27" s="192"/>
      <c r="AO27" s="192"/>
      <c r="AP27" s="192"/>
      <c r="AQ27" s="192"/>
      <c r="AR27" s="192"/>
      <c r="AS27" s="192"/>
      <c r="AT27" s="192"/>
      <c r="AU27" s="192"/>
    </row>
    <row r="28" spans="1:47" s="183" customFormat="1" x14ac:dyDescent="0.25">
      <c r="A28" s="210" t="s">
        <v>13914</v>
      </c>
      <c r="B28" s="203" t="s">
        <v>13923</v>
      </c>
      <c r="C28" s="204" t="s">
        <v>14053</v>
      </c>
      <c r="D28" s="41">
        <v>96.666666666666671</v>
      </c>
      <c r="E28" s="192"/>
      <c r="F28" s="192"/>
      <c r="G28" s="192"/>
      <c r="H28" s="192"/>
      <c r="I28" s="192"/>
      <c r="J28" s="192"/>
      <c r="K28" s="192"/>
      <c r="L28" s="192"/>
      <c r="M28" s="192"/>
      <c r="N28" s="192"/>
      <c r="O28" s="192"/>
      <c r="P28" s="192"/>
      <c r="Q28" s="192"/>
      <c r="R28" s="192"/>
      <c r="S28" s="192"/>
      <c r="T28" s="192"/>
      <c r="U28" s="192"/>
      <c r="V28" s="192"/>
      <c r="W28" s="192"/>
      <c r="X28" s="192"/>
      <c r="Y28" s="192"/>
      <c r="Z28" s="192"/>
      <c r="AA28" s="192"/>
      <c r="AB28" s="192"/>
      <c r="AC28" s="192"/>
      <c r="AD28" s="192"/>
      <c r="AE28" s="192"/>
      <c r="AF28" s="192"/>
      <c r="AG28" s="192"/>
      <c r="AH28" s="192"/>
      <c r="AI28" s="192"/>
      <c r="AJ28" s="192"/>
      <c r="AK28" s="192"/>
      <c r="AL28" s="192"/>
      <c r="AM28" s="192"/>
      <c r="AN28" s="192"/>
      <c r="AO28" s="192"/>
      <c r="AP28" s="192"/>
      <c r="AQ28" s="192"/>
      <c r="AR28" s="192"/>
      <c r="AS28" s="192"/>
      <c r="AT28" s="192"/>
      <c r="AU28" s="192"/>
    </row>
    <row r="29" spans="1:47" s="183" customFormat="1" x14ac:dyDescent="0.25">
      <c r="A29" s="202" t="s">
        <v>13910</v>
      </c>
      <c r="B29" s="203" t="s">
        <v>13919</v>
      </c>
      <c r="C29" s="204" t="s">
        <v>14054</v>
      </c>
      <c r="D29" s="41">
        <v>90</v>
      </c>
      <c r="E29" s="192"/>
      <c r="F29" s="192"/>
      <c r="G29" s="192"/>
      <c r="H29" s="192"/>
      <c r="I29" s="192"/>
      <c r="J29" s="192"/>
      <c r="K29" s="192"/>
      <c r="L29" s="192"/>
      <c r="M29" s="192"/>
      <c r="N29" s="192"/>
      <c r="O29" s="192"/>
      <c r="P29" s="192"/>
      <c r="Q29" s="192"/>
      <c r="R29" s="192"/>
      <c r="S29" s="192"/>
      <c r="T29" s="192"/>
      <c r="U29" s="192"/>
      <c r="V29" s="192"/>
      <c r="W29" s="192"/>
      <c r="X29" s="192"/>
      <c r="Y29" s="192"/>
      <c r="Z29" s="192"/>
      <c r="AA29" s="192"/>
      <c r="AB29" s="192"/>
      <c r="AC29" s="192"/>
      <c r="AD29" s="192"/>
      <c r="AE29" s="192"/>
      <c r="AF29" s="192"/>
      <c r="AG29" s="192"/>
      <c r="AH29" s="192"/>
      <c r="AI29" s="192"/>
      <c r="AJ29" s="192"/>
      <c r="AK29" s="192"/>
      <c r="AL29" s="192"/>
      <c r="AM29" s="192"/>
      <c r="AN29" s="192"/>
      <c r="AO29" s="192"/>
      <c r="AP29" s="192"/>
      <c r="AQ29" s="192"/>
      <c r="AR29" s="192"/>
      <c r="AS29" s="192"/>
      <c r="AT29" s="192"/>
      <c r="AU29" s="192"/>
    </row>
    <row r="30" spans="1:47" s="183" customFormat="1" x14ac:dyDescent="0.25">
      <c r="A30" s="202" t="s">
        <v>13911</v>
      </c>
      <c r="B30" s="203" t="s">
        <v>13920</v>
      </c>
      <c r="C30" s="204" t="s">
        <v>14055</v>
      </c>
      <c r="D30" s="41">
        <v>90</v>
      </c>
      <c r="E30" s="192"/>
      <c r="F30" s="192"/>
      <c r="G30" s="192"/>
      <c r="H30" s="192"/>
      <c r="I30" s="192"/>
      <c r="J30" s="192"/>
      <c r="K30" s="192"/>
      <c r="L30" s="192"/>
      <c r="M30" s="192"/>
      <c r="N30" s="192"/>
      <c r="O30" s="192"/>
      <c r="P30" s="192"/>
      <c r="Q30" s="192"/>
      <c r="R30" s="192"/>
      <c r="S30" s="192"/>
      <c r="T30" s="192"/>
      <c r="U30" s="192"/>
      <c r="V30" s="192"/>
      <c r="W30" s="192"/>
      <c r="X30" s="192"/>
      <c r="Y30" s="192"/>
      <c r="Z30" s="192"/>
      <c r="AA30" s="192"/>
      <c r="AB30" s="192"/>
      <c r="AC30" s="192"/>
      <c r="AD30" s="192"/>
      <c r="AE30" s="192"/>
      <c r="AF30" s="192"/>
      <c r="AG30" s="192"/>
      <c r="AH30" s="192"/>
      <c r="AI30" s="192"/>
      <c r="AJ30" s="192"/>
      <c r="AK30" s="192"/>
      <c r="AL30" s="192"/>
      <c r="AM30" s="192"/>
      <c r="AN30" s="192"/>
      <c r="AO30" s="192"/>
      <c r="AP30" s="192"/>
      <c r="AQ30" s="192"/>
      <c r="AR30" s="192"/>
      <c r="AS30" s="192"/>
      <c r="AT30" s="192"/>
      <c r="AU30" s="192"/>
    </row>
    <row r="31" spans="1:47" s="183" customFormat="1" x14ac:dyDescent="0.25">
      <c r="A31" s="203" t="s">
        <v>13938</v>
      </c>
      <c r="B31" s="203" t="s">
        <v>13943</v>
      </c>
      <c r="C31" s="204" t="s">
        <v>14056</v>
      </c>
      <c r="D31" s="41">
        <v>110</v>
      </c>
      <c r="E31" s="192"/>
      <c r="F31" s="192"/>
      <c r="G31" s="192"/>
      <c r="H31" s="192"/>
      <c r="I31" s="192"/>
      <c r="J31" s="192"/>
      <c r="K31" s="192"/>
      <c r="L31" s="192"/>
      <c r="M31" s="192"/>
      <c r="N31" s="192"/>
      <c r="O31" s="192"/>
      <c r="P31" s="192"/>
      <c r="Q31" s="192"/>
      <c r="R31" s="192"/>
      <c r="S31" s="192"/>
      <c r="T31" s="192"/>
      <c r="U31" s="192"/>
      <c r="V31" s="192"/>
      <c r="W31" s="192"/>
      <c r="X31" s="192"/>
      <c r="Y31" s="192"/>
      <c r="Z31" s="192"/>
      <c r="AA31" s="192"/>
      <c r="AB31" s="192"/>
      <c r="AC31" s="192"/>
      <c r="AD31" s="192"/>
      <c r="AE31" s="192"/>
      <c r="AF31" s="192"/>
      <c r="AG31" s="192"/>
      <c r="AH31" s="192"/>
      <c r="AI31" s="192"/>
      <c r="AJ31" s="192"/>
      <c r="AK31" s="192"/>
      <c r="AL31" s="192"/>
      <c r="AM31" s="192"/>
      <c r="AN31" s="192"/>
      <c r="AO31" s="192"/>
      <c r="AP31" s="192"/>
      <c r="AQ31" s="192"/>
      <c r="AR31" s="192"/>
      <c r="AS31" s="192"/>
      <c r="AT31" s="192"/>
      <c r="AU31" s="192"/>
    </row>
    <row r="32" spans="1:47" s="183" customFormat="1" x14ac:dyDescent="0.25">
      <c r="A32" s="203" t="s">
        <v>13939</v>
      </c>
      <c r="B32" s="203" t="s">
        <v>13944</v>
      </c>
      <c r="C32" s="204" t="s">
        <v>14057</v>
      </c>
      <c r="D32" s="41">
        <v>110</v>
      </c>
      <c r="E32" s="192"/>
      <c r="F32" s="192"/>
      <c r="G32" s="192"/>
      <c r="H32" s="192"/>
      <c r="I32" s="192"/>
      <c r="J32" s="192"/>
      <c r="K32" s="192"/>
      <c r="L32" s="192"/>
      <c r="M32" s="192"/>
      <c r="N32" s="192"/>
      <c r="O32" s="192"/>
      <c r="P32" s="192"/>
      <c r="Q32" s="192"/>
      <c r="R32" s="192"/>
      <c r="S32" s="192"/>
      <c r="T32" s="192"/>
      <c r="U32" s="192"/>
      <c r="V32" s="192"/>
      <c r="W32" s="192"/>
      <c r="X32" s="192"/>
      <c r="Y32" s="192"/>
      <c r="Z32" s="192"/>
      <c r="AA32" s="192"/>
      <c r="AB32" s="192"/>
      <c r="AC32" s="192"/>
      <c r="AD32" s="192"/>
      <c r="AE32" s="192"/>
      <c r="AF32" s="192"/>
      <c r="AG32" s="192"/>
      <c r="AH32" s="192"/>
      <c r="AI32" s="192"/>
      <c r="AJ32" s="192"/>
      <c r="AK32" s="192"/>
      <c r="AL32" s="192"/>
      <c r="AM32" s="192"/>
      <c r="AN32" s="192"/>
      <c r="AO32" s="192"/>
      <c r="AP32" s="192"/>
      <c r="AQ32" s="192"/>
      <c r="AR32" s="192"/>
      <c r="AS32" s="192"/>
      <c r="AT32" s="192"/>
      <c r="AU32" s="192"/>
    </row>
    <row r="33" spans="1:47" s="183" customFormat="1" x14ac:dyDescent="0.25">
      <c r="A33" s="203" t="s">
        <v>14058</v>
      </c>
      <c r="B33" s="203" t="s">
        <v>14059</v>
      </c>
      <c r="C33" s="204" t="s">
        <v>14060</v>
      </c>
      <c r="D33" s="41">
        <v>123.33333333333333</v>
      </c>
      <c r="E33" s="192"/>
      <c r="F33" s="192"/>
      <c r="G33" s="192"/>
      <c r="H33" s="192"/>
      <c r="I33" s="192"/>
      <c r="J33" s="192"/>
      <c r="K33" s="192"/>
      <c r="L33" s="192"/>
      <c r="M33" s="192"/>
      <c r="N33" s="192"/>
      <c r="O33" s="192"/>
      <c r="P33" s="192"/>
      <c r="Q33" s="192"/>
      <c r="R33" s="192"/>
      <c r="S33" s="192"/>
      <c r="T33" s="192"/>
      <c r="U33" s="192"/>
      <c r="V33" s="192"/>
      <c r="W33" s="192"/>
      <c r="X33" s="192"/>
      <c r="Y33" s="192"/>
      <c r="Z33" s="192"/>
      <c r="AA33" s="192"/>
      <c r="AB33" s="192"/>
      <c r="AC33" s="192"/>
      <c r="AD33" s="192"/>
      <c r="AE33" s="192"/>
      <c r="AF33" s="192"/>
      <c r="AG33" s="192"/>
      <c r="AH33" s="192"/>
      <c r="AI33" s="192"/>
      <c r="AJ33" s="192"/>
      <c r="AK33" s="192"/>
      <c r="AL33" s="192"/>
      <c r="AM33" s="192"/>
      <c r="AN33" s="192"/>
      <c r="AO33" s="192"/>
      <c r="AP33" s="192"/>
      <c r="AQ33" s="192"/>
      <c r="AR33" s="192"/>
      <c r="AS33" s="192"/>
      <c r="AT33" s="192"/>
      <c r="AU33" s="192"/>
    </row>
    <row r="34" spans="1:47" s="183" customFormat="1" x14ac:dyDescent="0.25">
      <c r="A34" s="210" t="s">
        <v>14061</v>
      </c>
      <c r="B34" s="203" t="s">
        <v>14062</v>
      </c>
      <c r="C34" s="204" t="s">
        <v>14063</v>
      </c>
      <c r="D34" s="41">
        <v>110</v>
      </c>
      <c r="E34" s="192"/>
      <c r="F34" s="192"/>
      <c r="G34" s="192"/>
      <c r="H34" s="192"/>
      <c r="I34" s="192"/>
      <c r="J34" s="192"/>
      <c r="K34" s="192"/>
      <c r="L34" s="192"/>
      <c r="M34" s="192"/>
      <c r="N34" s="192"/>
      <c r="O34" s="192"/>
      <c r="P34" s="192"/>
      <c r="Q34" s="192"/>
      <c r="R34" s="192"/>
      <c r="S34" s="192"/>
      <c r="T34" s="192"/>
      <c r="U34" s="192"/>
      <c r="V34" s="192"/>
      <c r="W34" s="192"/>
      <c r="X34" s="192"/>
      <c r="Y34" s="192"/>
      <c r="Z34" s="192"/>
      <c r="AA34" s="192"/>
      <c r="AB34" s="192"/>
      <c r="AC34" s="192"/>
      <c r="AD34" s="192"/>
      <c r="AE34" s="192"/>
      <c r="AF34" s="192"/>
      <c r="AG34" s="192"/>
      <c r="AH34" s="192"/>
      <c r="AI34" s="192"/>
      <c r="AJ34" s="192"/>
      <c r="AK34" s="192"/>
      <c r="AL34" s="192"/>
      <c r="AM34" s="192"/>
      <c r="AN34" s="192"/>
      <c r="AO34" s="192"/>
      <c r="AP34" s="192"/>
      <c r="AQ34" s="192"/>
      <c r="AR34" s="192"/>
      <c r="AS34" s="192"/>
      <c r="AT34" s="192"/>
      <c r="AU34" s="192"/>
    </row>
    <row r="35" spans="1:47" x14ac:dyDescent="0.25">
      <c r="A35" s="203" t="s">
        <v>14064</v>
      </c>
      <c r="B35" s="203" t="s">
        <v>14065</v>
      </c>
      <c r="C35" s="204" t="s">
        <v>14066</v>
      </c>
      <c r="D35" s="41">
        <v>110</v>
      </c>
    </row>
    <row r="36" spans="1:47" x14ac:dyDescent="0.25">
      <c r="A36" s="203" t="s">
        <v>14067</v>
      </c>
      <c r="B36" s="203" t="s">
        <v>14068</v>
      </c>
      <c r="C36" s="204" t="s">
        <v>14069</v>
      </c>
      <c r="D36" s="41">
        <v>110</v>
      </c>
    </row>
    <row r="37" spans="1:47" x14ac:dyDescent="0.25">
      <c r="A37" s="203" t="s">
        <v>14070</v>
      </c>
      <c r="B37" s="203" t="s">
        <v>14071</v>
      </c>
      <c r="C37" s="204" t="s">
        <v>14072</v>
      </c>
      <c r="D37" s="41">
        <v>110</v>
      </c>
    </row>
    <row r="38" spans="1:47" x14ac:dyDescent="0.25">
      <c r="A38" s="203" t="s">
        <v>14073</v>
      </c>
      <c r="B38" s="203" t="s">
        <v>14074</v>
      </c>
      <c r="C38" s="204" t="s">
        <v>14075</v>
      </c>
      <c r="D38" s="41">
        <v>123.33333333333333</v>
      </c>
    </row>
    <row r="39" spans="1:47" x14ac:dyDescent="0.25">
      <c r="A39" s="207" t="s">
        <v>14076</v>
      </c>
      <c r="B39" s="203" t="s">
        <v>14077</v>
      </c>
      <c r="C39" s="204" t="s">
        <v>14078</v>
      </c>
      <c r="D39" s="41">
        <v>110</v>
      </c>
    </row>
    <row r="40" spans="1:47" s="183" customFormat="1" ht="14.4" x14ac:dyDescent="0.3">
      <c r="A40" s="205"/>
      <c r="B40" s="206" t="s">
        <v>14079</v>
      </c>
      <c r="C40" s="201"/>
      <c r="D40" s="199"/>
      <c r="E40" s="192"/>
      <c r="F40" s="192"/>
      <c r="G40" s="192"/>
      <c r="H40" s="192"/>
      <c r="I40" s="192"/>
      <c r="J40" s="192"/>
      <c r="K40" s="192"/>
      <c r="L40" s="192"/>
      <c r="M40" s="192"/>
      <c r="N40" s="192"/>
      <c r="O40" s="192"/>
      <c r="P40" s="192"/>
      <c r="Q40" s="192"/>
      <c r="R40" s="192"/>
      <c r="S40" s="192"/>
      <c r="T40" s="192"/>
      <c r="U40" s="192"/>
      <c r="V40" s="192"/>
      <c r="W40" s="192"/>
      <c r="X40" s="192"/>
      <c r="Y40" s="192"/>
      <c r="Z40" s="192"/>
      <c r="AA40" s="192"/>
      <c r="AB40" s="192"/>
      <c r="AC40" s="192"/>
      <c r="AD40" s="192"/>
      <c r="AE40" s="192"/>
      <c r="AF40" s="192"/>
      <c r="AG40" s="192"/>
      <c r="AH40" s="192"/>
      <c r="AI40" s="192"/>
      <c r="AJ40" s="192"/>
      <c r="AK40" s="192"/>
      <c r="AL40" s="192"/>
      <c r="AM40" s="192"/>
      <c r="AN40" s="192"/>
      <c r="AO40" s="192"/>
      <c r="AP40" s="192"/>
      <c r="AQ40" s="192"/>
      <c r="AR40" s="192"/>
      <c r="AS40" s="192"/>
      <c r="AT40" s="192"/>
      <c r="AU40" s="192"/>
    </row>
    <row r="41" spans="1:47" s="183" customFormat="1" x14ac:dyDescent="0.25">
      <c r="A41" s="203" t="s">
        <v>14080</v>
      </c>
      <c r="B41" s="203" t="s">
        <v>14081</v>
      </c>
      <c r="C41" s="204" t="s">
        <v>14082</v>
      </c>
      <c r="D41" s="41">
        <v>52.666666666666664</v>
      </c>
      <c r="E41" s="192"/>
      <c r="F41" s="192"/>
      <c r="G41" s="192"/>
      <c r="H41" s="192"/>
      <c r="I41" s="192"/>
      <c r="J41" s="192"/>
      <c r="K41" s="192"/>
      <c r="L41" s="192"/>
      <c r="M41" s="192"/>
      <c r="N41" s="192"/>
      <c r="O41" s="192"/>
      <c r="P41" s="192"/>
      <c r="Q41" s="192"/>
      <c r="R41" s="192"/>
      <c r="S41" s="192"/>
      <c r="T41" s="192"/>
      <c r="U41" s="192"/>
      <c r="V41" s="192"/>
      <c r="W41" s="192"/>
      <c r="X41" s="192"/>
      <c r="Y41" s="192"/>
      <c r="Z41" s="192"/>
      <c r="AA41" s="192"/>
      <c r="AB41" s="192"/>
      <c r="AC41" s="192"/>
      <c r="AD41" s="192"/>
      <c r="AE41" s="192"/>
      <c r="AF41" s="192"/>
      <c r="AG41" s="192"/>
      <c r="AH41" s="192"/>
      <c r="AI41" s="192"/>
      <c r="AJ41" s="192"/>
      <c r="AK41" s="192"/>
      <c r="AL41" s="192"/>
      <c r="AM41" s="192"/>
      <c r="AN41" s="192"/>
      <c r="AO41" s="192"/>
      <c r="AP41" s="192"/>
      <c r="AQ41" s="192"/>
      <c r="AR41" s="192"/>
      <c r="AS41" s="192"/>
      <c r="AT41" s="192"/>
      <c r="AU41" s="192"/>
    </row>
    <row r="42" spans="1:47" s="183" customFormat="1" x14ac:dyDescent="0.25">
      <c r="A42" s="203" t="s">
        <v>14083</v>
      </c>
      <c r="B42" s="203" t="s">
        <v>14084</v>
      </c>
      <c r="C42" s="204" t="s">
        <v>14085</v>
      </c>
      <c r="D42" s="41">
        <v>52.666666666666664</v>
      </c>
      <c r="E42" s="192"/>
      <c r="F42" s="192"/>
      <c r="G42" s="192"/>
      <c r="H42" s="192"/>
      <c r="I42" s="192"/>
      <c r="J42" s="192"/>
      <c r="K42" s="192"/>
      <c r="L42" s="192"/>
      <c r="M42" s="192"/>
      <c r="N42" s="192"/>
      <c r="O42" s="192"/>
      <c r="P42" s="192"/>
      <c r="Q42" s="192"/>
      <c r="R42" s="192"/>
      <c r="S42" s="192"/>
      <c r="T42" s="192"/>
      <c r="U42" s="192"/>
      <c r="V42" s="192"/>
      <c r="W42" s="192"/>
      <c r="X42" s="192"/>
      <c r="Y42" s="192"/>
      <c r="Z42" s="192"/>
      <c r="AA42" s="192"/>
      <c r="AB42" s="192"/>
      <c r="AC42" s="192"/>
      <c r="AD42" s="192"/>
      <c r="AE42" s="192"/>
      <c r="AF42" s="192"/>
      <c r="AG42" s="192"/>
      <c r="AH42" s="192"/>
      <c r="AI42" s="192"/>
      <c r="AJ42" s="192"/>
      <c r="AK42" s="192"/>
      <c r="AL42" s="192"/>
      <c r="AM42" s="192"/>
      <c r="AN42" s="192"/>
      <c r="AO42" s="192"/>
      <c r="AP42" s="192"/>
      <c r="AQ42" s="192"/>
      <c r="AR42" s="192"/>
      <c r="AS42" s="192"/>
      <c r="AT42" s="192"/>
      <c r="AU42" s="192"/>
    </row>
    <row r="43" spans="1:47" s="183" customFormat="1" x14ac:dyDescent="0.25">
      <c r="A43" s="203" t="s">
        <v>14086</v>
      </c>
      <c r="B43" s="203" t="s">
        <v>14087</v>
      </c>
      <c r="C43" s="204" t="s">
        <v>14088</v>
      </c>
      <c r="D43" s="41">
        <v>52.666666666666664</v>
      </c>
      <c r="E43" s="192"/>
      <c r="F43" s="192"/>
      <c r="G43" s="192"/>
      <c r="H43" s="192"/>
      <c r="I43" s="192"/>
      <c r="J43" s="192"/>
      <c r="K43" s="192"/>
      <c r="L43" s="192"/>
      <c r="M43" s="192"/>
      <c r="N43" s="192"/>
      <c r="O43" s="192"/>
      <c r="P43" s="192"/>
      <c r="Q43" s="192"/>
      <c r="R43" s="192"/>
      <c r="S43" s="192"/>
      <c r="T43" s="192"/>
      <c r="U43" s="192"/>
      <c r="V43" s="192"/>
      <c r="W43" s="192"/>
      <c r="X43" s="192"/>
      <c r="Y43" s="192"/>
      <c r="Z43" s="192"/>
      <c r="AA43" s="192"/>
      <c r="AB43" s="192"/>
      <c r="AC43" s="192"/>
      <c r="AD43" s="192"/>
      <c r="AE43" s="192"/>
      <c r="AF43" s="192"/>
      <c r="AG43" s="192"/>
      <c r="AH43" s="192"/>
      <c r="AI43" s="192"/>
      <c r="AJ43" s="192"/>
      <c r="AK43" s="192"/>
      <c r="AL43" s="192"/>
      <c r="AM43" s="192"/>
      <c r="AN43" s="192"/>
      <c r="AO43" s="192"/>
      <c r="AP43" s="192"/>
      <c r="AQ43" s="192"/>
      <c r="AR43" s="192"/>
      <c r="AS43" s="192"/>
      <c r="AT43" s="192"/>
      <c r="AU43" s="192"/>
    </row>
    <row r="44" spans="1:47" s="183" customFormat="1" x14ac:dyDescent="0.25">
      <c r="A44" s="203" t="s">
        <v>14089</v>
      </c>
      <c r="B44" s="203" t="s">
        <v>14090</v>
      </c>
      <c r="C44" s="204" t="s">
        <v>14091</v>
      </c>
      <c r="D44" s="41">
        <v>52.666666666666664</v>
      </c>
      <c r="E44" s="192"/>
      <c r="F44" s="192"/>
      <c r="G44" s="192"/>
      <c r="H44" s="192"/>
      <c r="I44" s="192"/>
      <c r="J44" s="192"/>
      <c r="K44" s="192"/>
      <c r="L44" s="192"/>
      <c r="M44" s="192"/>
      <c r="N44" s="192"/>
      <c r="O44" s="192"/>
      <c r="P44" s="192"/>
      <c r="Q44" s="192"/>
      <c r="R44" s="192"/>
      <c r="S44" s="192"/>
      <c r="T44" s="192"/>
      <c r="U44" s="192"/>
      <c r="V44" s="192"/>
      <c r="W44" s="192"/>
      <c r="X44" s="192"/>
      <c r="Y44" s="192"/>
      <c r="Z44" s="192"/>
      <c r="AA44" s="192"/>
      <c r="AB44" s="192"/>
      <c r="AC44" s="192"/>
      <c r="AD44" s="192"/>
      <c r="AE44" s="192"/>
      <c r="AF44" s="192"/>
      <c r="AG44" s="192"/>
      <c r="AH44" s="192"/>
      <c r="AI44" s="192"/>
      <c r="AJ44" s="192"/>
      <c r="AK44" s="192"/>
      <c r="AL44" s="192"/>
      <c r="AM44" s="192"/>
      <c r="AN44" s="192"/>
      <c r="AO44" s="192"/>
      <c r="AP44" s="192"/>
      <c r="AQ44" s="192"/>
      <c r="AR44" s="192"/>
      <c r="AS44" s="192"/>
      <c r="AT44" s="192"/>
      <c r="AU44" s="192"/>
    </row>
    <row r="45" spans="1:47" s="183" customFormat="1" x14ac:dyDescent="0.25">
      <c r="A45" s="203" t="s">
        <v>14092</v>
      </c>
      <c r="B45" s="203" t="s">
        <v>14093</v>
      </c>
      <c r="C45" s="204" t="s">
        <v>14094</v>
      </c>
      <c r="D45" s="41">
        <v>63.333333333333336</v>
      </c>
      <c r="E45" s="192"/>
      <c r="F45" s="192"/>
      <c r="G45" s="192"/>
      <c r="H45" s="192"/>
      <c r="I45" s="192"/>
      <c r="J45" s="192"/>
      <c r="K45" s="192"/>
      <c r="L45" s="192"/>
      <c r="M45" s="192"/>
      <c r="N45" s="192"/>
      <c r="O45" s="192"/>
      <c r="P45" s="192"/>
      <c r="Q45" s="192"/>
      <c r="R45" s="192"/>
      <c r="S45" s="192"/>
      <c r="T45" s="192"/>
      <c r="U45" s="192"/>
      <c r="V45" s="192"/>
      <c r="W45" s="192"/>
      <c r="X45" s="192"/>
      <c r="Y45" s="192"/>
      <c r="Z45" s="192"/>
      <c r="AA45" s="192"/>
      <c r="AB45" s="192"/>
      <c r="AC45" s="192"/>
      <c r="AD45" s="192"/>
      <c r="AE45" s="192"/>
      <c r="AF45" s="192"/>
      <c r="AG45" s="192"/>
      <c r="AH45" s="192"/>
      <c r="AI45" s="192"/>
      <c r="AJ45" s="192"/>
      <c r="AK45" s="192"/>
      <c r="AL45" s="192"/>
      <c r="AM45" s="192"/>
      <c r="AN45" s="192"/>
      <c r="AO45" s="192"/>
      <c r="AP45" s="192"/>
      <c r="AQ45" s="192"/>
      <c r="AR45" s="192"/>
      <c r="AS45" s="192"/>
      <c r="AT45" s="192"/>
      <c r="AU45" s="192"/>
    </row>
    <row r="46" spans="1:47" s="183" customFormat="1" x14ac:dyDescent="0.25">
      <c r="A46" s="203" t="s">
        <v>14095</v>
      </c>
      <c r="B46" s="203" t="s">
        <v>14096</v>
      </c>
      <c r="C46" s="204" t="s">
        <v>14097</v>
      </c>
      <c r="D46" s="41">
        <v>63.333333333333336</v>
      </c>
      <c r="E46" s="192"/>
      <c r="F46" s="192"/>
      <c r="G46" s="192"/>
      <c r="H46" s="192"/>
      <c r="I46" s="192"/>
      <c r="J46" s="192"/>
      <c r="K46" s="192"/>
      <c r="L46" s="192"/>
      <c r="M46" s="192"/>
      <c r="N46" s="192"/>
      <c r="O46" s="192"/>
      <c r="P46" s="192"/>
      <c r="Q46" s="192"/>
      <c r="R46" s="192"/>
      <c r="S46" s="192"/>
      <c r="T46" s="192"/>
      <c r="U46" s="192"/>
      <c r="V46" s="192"/>
      <c r="W46" s="192"/>
      <c r="X46" s="192"/>
      <c r="Y46" s="192"/>
      <c r="Z46" s="192"/>
      <c r="AA46" s="192"/>
      <c r="AB46" s="192"/>
      <c r="AC46" s="192"/>
      <c r="AD46" s="192"/>
      <c r="AE46" s="192"/>
      <c r="AF46" s="192"/>
      <c r="AG46" s="192"/>
      <c r="AH46" s="192"/>
      <c r="AI46" s="192"/>
      <c r="AJ46" s="192"/>
      <c r="AK46" s="192"/>
      <c r="AL46" s="192"/>
      <c r="AM46" s="192"/>
      <c r="AN46" s="192"/>
      <c r="AO46" s="192"/>
      <c r="AP46" s="192"/>
      <c r="AQ46" s="192"/>
      <c r="AR46" s="192"/>
      <c r="AS46" s="192"/>
      <c r="AT46" s="192"/>
      <c r="AU46" s="192"/>
    </row>
    <row r="47" spans="1:47" s="183" customFormat="1" x14ac:dyDescent="0.25">
      <c r="A47" s="203" t="s">
        <v>14098</v>
      </c>
      <c r="B47" s="203" t="s">
        <v>14099</v>
      </c>
      <c r="C47" s="204" t="s">
        <v>14100</v>
      </c>
      <c r="D47" s="41">
        <v>63.333333333333336</v>
      </c>
      <c r="E47" s="192"/>
      <c r="F47" s="192"/>
      <c r="G47" s="192"/>
      <c r="H47" s="192"/>
      <c r="I47" s="192"/>
      <c r="J47" s="192"/>
      <c r="K47" s="192"/>
      <c r="L47" s="192"/>
      <c r="M47" s="192"/>
      <c r="N47" s="192"/>
      <c r="O47" s="192"/>
      <c r="P47" s="192"/>
      <c r="Q47" s="192"/>
      <c r="R47" s="192"/>
      <c r="S47" s="192"/>
      <c r="T47" s="192"/>
      <c r="U47" s="192"/>
      <c r="V47" s="192"/>
      <c r="W47" s="192"/>
      <c r="X47" s="192"/>
      <c r="Y47" s="192"/>
      <c r="Z47" s="192"/>
      <c r="AA47" s="192"/>
      <c r="AB47" s="192"/>
      <c r="AC47" s="192"/>
      <c r="AD47" s="192"/>
      <c r="AE47" s="192"/>
      <c r="AF47" s="192"/>
      <c r="AG47" s="192"/>
      <c r="AH47" s="192"/>
      <c r="AI47" s="192"/>
      <c r="AJ47" s="192"/>
      <c r="AK47" s="192"/>
      <c r="AL47" s="192"/>
      <c r="AM47" s="192"/>
      <c r="AN47" s="192"/>
      <c r="AO47" s="192"/>
      <c r="AP47" s="192"/>
      <c r="AQ47" s="192"/>
      <c r="AR47" s="192"/>
      <c r="AS47" s="192"/>
      <c r="AT47" s="192"/>
      <c r="AU47" s="192"/>
    </row>
    <row r="48" spans="1:47" s="183" customFormat="1" x14ac:dyDescent="0.25">
      <c r="A48" s="203" t="s">
        <v>14101</v>
      </c>
      <c r="B48" s="203" t="s">
        <v>14102</v>
      </c>
      <c r="C48" s="204" t="s">
        <v>14103</v>
      </c>
      <c r="D48" s="41">
        <v>63.333333333333336</v>
      </c>
      <c r="E48" s="192"/>
      <c r="F48" s="192"/>
      <c r="G48" s="192"/>
      <c r="H48" s="192"/>
      <c r="I48" s="192"/>
      <c r="J48" s="192"/>
      <c r="K48" s="192"/>
      <c r="L48" s="192"/>
      <c r="M48" s="192"/>
      <c r="N48" s="192"/>
      <c r="O48" s="192"/>
      <c r="P48" s="192"/>
      <c r="Q48" s="192"/>
      <c r="R48" s="192"/>
      <c r="S48" s="192"/>
      <c r="T48" s="192"/>
      <c r="U48" s="192"/>
      <c r="V48" s="192"/>
      <c r="W48" s="192"/>
      <c r="X48" s="192"/>
      <c r="Y48" s="192"/>
      <c r="Z48" s="192"/>
      <c r="AA48" s="192"/>
      <c r="AB48" s="192"/>
      <c r="AC48" s="192"/>
      <c r="AD48" s="192"/>
      <c r="AE48" s="192"/>
      <c r="AF48" s="192"/>
      <c r="AG48" s="192"/>
      <c r="AH48" s="192"/>
      <c r="AI48" s="192"/>
      <c r="AJ48" s="192"/>
      <c r="AK48" s="192"/>
      <c r="AL48" s="192"/>
      <c r="AM48" s="192"/>
      <c r="AN48" s="192"/>
      <c r="AO48" s="192"/>
      <c r="AP48" s="192"/>
      <c r="AQ48" s="192"/>
      <c r="AR48" s="192"/>
      <c r="AS48" s="192"/>
      <c r="AT48" s="192"/>
      <c r="AU48" s="192"/>
    </row>
    <row r="49" spans="1:47" s="183" customFormat="1" x14ac:dyDescent="0.25">
      <c r="A49" s="203" t="s">
        <v>14104</v>
      </c>
      <c r="B49" s="203" t="s">
        <v>14105</v>
      </c>
      <c r="C49" s="204" t="s">
        <v>14106</v>
      </c>
      <c r="D49" s="41">
        <v>72.666666666666671</v>
      </c>
      <c r="E49" s="192"/>
      <c r="F49" s="192"/>
      <c r="G49" s="192"/>
      <c r="H49" s="192"/>
      <c r="I49" s="192"/>
      <c r="J49" s="192"/>
      <c r="K49" s="192"/>
      <c r="L49" s="192"/>
      <c r="M49" s="192"/>
      <c r="N49" s="192"/>
      <c r="O49" s="192"/>
      <c r="P49" s="192"/>
      <c r="Q49" s="192"/>
      <c r="R49" s="192"/>
      <c r="S49" s="192"/>
      <c r="T49" s="192"/>
      <c r="U49" s="192"/>
      <c r="V49" s="192"/>
      <c r="W49" s="192"/>
      <c r="X49" s="192"/>
      <c r="Y49" s="192"/>
      <c r="Z49" s="192"/>
      <c r="AA49" s="192"/>
      <c r="AB49" s="192"/>
      <c r="AC49" s="192"/>
      <c r="AD49" s="192"/>
      <c r="AE49" s="192"/>
      <c r="AF49" s="192"/>
      <c r="AG49" s="192"/>
      <c r="AH49" s="192"/>
      <c r="AI49" s="192"/>
      <c r="AJ49" s="192"/>
      <c r="AK49" s="192"/>
      <c r="AL49" s="192"/>
      <c r="AM49" s="192"/>
      <c r="AN49" s="192"/>
      <c r="AO49" s="192"/>
      <c r="AP49" s="192"/>
      <c r="AQ49" s="192"/>
      <c r="AR49" s="192"/>
      <c r="AS49" s="192"/>
      <c r="AT49" s="192"/>
      <c r="AU49" s="192"/>
    </row>
    <row r="50" spans="1:47" s="183" customFormat="1" x14ac:dyDescent="0.25">
      <c r="A50" s="203" t="s">
        <v>14107</v>
      </c>
      <c r="B50" s="203" t="s">
        <v>14108</v>
      </c>
      <c r="C50" s="204" t="s">
        <v>14109</v>
      </c>
      <c r="D50" s="41">
        <v>72.666666666666671</v>
      </c>
      <c r="E50" s="192"/>
      <c r="F50" s="192"/>
      <c r="G50" s="192"/>
      <c r="H50" s="192"/>
      <c r="I50" s="192"/>
      <c r="J50" s="192"/>
      <c r="K50" s="192"/>
      <c r="L50" s="192"/>
      <c r="M50" s="192"/>
      <c r="N50" s="192"/>
      <c r="O50" s="192"/>
      <c r="P50" s="192"/>
      <c r="Q50" s="192"/>
      <c r="R50" s="192"/>
      <c r="S50" s="192"/>
      <c r="T50" s="192"/>
      <c r="U50" s="192"/>
      <c r="V50" s="192"/>
      <c r="W50" s="192"/>
      <c r="X50" s="192"/>
      <c r="Y50" s="192"/>
      <c r="Z50" s="192"/>
      <c r="AA50" s="192"/>
      <c r="AB50" s="192"/>
      <c r="AC50" s="192"/>
      <c r="AD50" s="192"/>
      <c r="AE50" s="192"/>
      <c r="AF50" s="192"/>
      <c r="AG50" s="192"/>
      <c r="AH50" s="192"/>
      <c r="AI50" s="192"/>
      <c r="AJ50" s="192"/>
      <c r="AK50" s="192"/>
      <c r="AL50" s="192"/>
      <c r="AM50" s="192"/>
      <c r="AN50" s="192"/>
      <c r="AO50" s="192"/>
      <c r="AP50" s="192"/>
      <c r="AQ50" s="192"/>
      <c r="AR50" s="192"/>
      <c r="AS50" s="192"/>
      <c r="AT50" s="192"/>
      <c r="AU50" s="192"/>
    </row>
    <row r="51" spans="1:47" s="183" customFormat="1" x14ac:dyDescent="0.25">
      <c r="A51" s="203" t="s">
        <v>14110</v>
      </c>
      <c r="B51" s="203" t="s">
        <v>14111</v>
      </c>
      <c r="C51" s="204" t="s">
        <v>14112</v>
      </c>
      <c r="D51" s="41">
        <v>72.666666666666671</v>
      </c>
      <c r="E51" s="192"/>
      <c r="F51" s="192"/>
      <c r="G51" s="192"/>
      <c r="H51" s="192"/>
      <c r="I51" s="192"/>
      <c r="J51" s="192"/>
      <c r="K51" s="192"/>
      <c r="L51" s="192"/>
      <c r="M51" s="192"/>
      <c r="N51" s="192"/>
      <c r="O51" s="192"/>
      <c r="P51" s="192"/>
      <c r="Q51" s="192"/>
      <c r="R51" s="192"/>
      <c r="S51" s="192"/>
      <c r="T51" s="192"/>
      <c r="U51" s="192"/>
      <c r="V51" s="192"/>
      <c r="W51" s="192"/>
      <c r="X51" s="192"/>
      <c r="Y51" s="192"/>
      <c r="Z51" s="192"/>
      <c r="AA51" s="192"/>
      <c r="AB51" s="192"/>
      <c r="AC51" s="192"/>
      <c r="AD51" s="192"/>
      <c r="AE51" s="192"/>
      <c r="AF51" s="192"/>
      <c r="AG51" s="192"/>
      <c r="AH51" s="192"/>
      <c r="AI51" s="192"/>
      <c r="AJ51" s="192"/>
      <c r="AK51" s="192"/>
      <c r="AL51" s="192"/>
      <c r="AM51" s="192"/>
      <c r="AN51" s="192"/>
      <c r="AO51" s="192"/>
      <c r="AP51" s="192"/>
      <c r="AQ51" s="192"/>
      <c r="AR51" s="192"/>
      <c r="AS51" s="192"/>
      <c r="AT51" s="192"/>
      <c r="AU51" s="192"/>
    </row>
    <row r="52" spans="1:47" s="183" customFormat="1" x14ac:dyDescent="0.25">
      <c r="A52" s="203" t="s">
        <v>14113</v>
      </c>
      <c r="B52" s="203" t="s">
        <v>14114</v>
      </c>
      <c r="C52" s="204" t="s">
        <v>14115</v>
      </c>
      <c r="D52" s="41">
        <v>72.666666666666671</v>
      </c>
      <c r="E52" s="192"/>
      <c r="F52" s="192"/>
      <c r="G52" s="192"/>
      <c r="H52" s="192"/>
      <c r="I52" s="192"/>
      <c r="J52" s="192"/>
      <c r="K52" s="192"/>
      <c r="L52" s="192"/>
      <c r="M52" s="192"/>
      <c r="N52" s="192"/>
      <c r="O52" s="192"/>
      <c r="P52" s="192"/>
      <c r="Q52" s="192"/>
      <c r="R52" s="192"/>
      <c r="S52" s="192"/>
      <c r="T52" s="192"/>
      <c r="U52" s="192"/>
      <c r="V52" s="192"/>
      <c r="W52" s="192"/>
      <c r="X52" s="192"/>
      <c r="Y52" s="192"/>
      <c r="Z52" s="192"/>
      <c r="AA52" s="192"/>
      <c r="AB52" s="192"/>
      <c r="AC52" s="192"/>
      <c r="AD52" s="192"/>
      <c r="AE52" s="192"/>
      <c r="AF52" s="192"/>
      <c r="AG52" s="192"/>
      <c r="AH52" s="192"/>
      <c r="AI52" s="192"/>
      <c r="AJ52" s="192"/>
      <c r="AK52" s="192"/>
      <c r="AL52" s="192"/>
      <c r="AM52" s="192"/>
      <c r="AN52" s="192"/>
      <c r="AO52" s="192"/>
      <c r="AP52" s="192"/>
      <c r="AQ52" s="192"/>
      <c r="AR52" s="192"/>
      <c r="AS52" s="192"/>
      <c r="AT52" s="192"/>
      <c r="AU52" s="192"/>
    </row>
    <row r="53" spans="1:47" s="183" customFormat="1" x14ac:dyDescent="0.25">
      <c r="A53" s="202" t="s">
        <v>14116</v>
      </c>
      <c r="B53" s="203" t="s">
        <v>14117</v>
      </c>
      <c r="C53" s="204" t="s">
        <v>14118</v>
      </c>
      <c r="D53" s="41">
        <v>72.666666666666671</v>
      </c>
      <c r="E53" s="192"/>
      <c r="F53" s="192"/>
      <c r="G53" s="192"/>
      <c r="H53" s="192"/>
      <c r="I53" s="192"/>
      <c r="J53" s="192"/>
      <c r="K53" s="192"/>
      <c r="L53" s="192"/>
      <c r="M53" s="192"/>
      <c r="N53" s="192"/>
      <c r="O53" s="192"/>
      <c r="P53" s="192"/>
      <c r="Q53" s="192"/>
      <c r="R53" s="192"/>
      <c r="S53" s="192"/>
      <c r="T53" s="192"/>
      <c r="U53" s="192"/>
      <c r="V53" s="192"/>
      <c r="W53" s="192"/>
      <c r="X53" s="192"/>
      <c r="Y53" s="192"/>
      <c r="Z53" s="192"/>
      <c r="AA53" s="192"/>
      <c r="AB53" s="192"/>
      <c r="AC53" s="192"/>
      <c r="AD53" s="192"/>
      <c r="AE53" s="192"/>
      <c r="AF53" s="192"/>
      <c r="AG53" s="192"/>
      <c r="AH53" s="192"/>
      <c r="AI53" s="192"/>
      <c r="AJ53" s="192"/>
      <c r="AK53" s="192"/>
      <c r="AL53" s="192"/>
      <c r="AM53" s="192"/>
      <c r="AN53" s="192"/>
      <c r="AO53" s="192"/>
      <c r="AP53" s="192"/>
      <c r="AQ53" s="192"/>
      <c r="AR53" s="192"/>
      <c r="AS53" s="192"/>
      <c r="AT53" s="192"/>
      <c r="AU53" s="192"/>
    </row>
    <row r="54" spans="1:47" s="183" customFormat="1" x14ac:dyDescent="0.25">
      <c r="A54" s="202" t="s">
        <v>14119</v>
      </c>
      <c r="B54" s="203" t="s">
        <v>14120</v>
      </c>
      <c r="C54" s="204" t="s">
        <v>14121</v>
      </c>
      <c r="D54" s="41">
        <v>72.666666666666671</v>
      </c>
      <c r="E54" s="192"/>
      <c r="F54" s="192"/>
      <c r="G54" s="192"/>
      <c r="H54" s="192"/>
      <c r="I54" s="192"/>
      <c r="J54" s="192"/>
      <c r="K54" s="192"/>
      <c r="L54" s="192"/>
      <c r="M54" s="192"/>
      <c r="N54" s="192"/>
      <c r="O54" s="192"/>
      <c r="P54" s="192"/>
      <c r="Q54" s="192"/>
      <c r="R54" s="192"/>
      <c r="S54" s="192"/>
      <c r="T54" s="192"/>
      <c r="U54" s="192"/>
      <c r="V54" s="192"/>
      <c r="W54" s="192"/>
      <c r="X54" s="192"/>
      <c r="Y54" s="192"/>
      <c r="Z54" s="192"/>
      <c r="AA54" s="192"/>
      <c r="AB54" s="192"/>
      <c r="AC54" s="192"/>
      <c r="AD54" s="192"/>
      <c r="AE54" s="192"/>
      <c r="AF54" s="192"/>
      <c r="AG54" s="192"/>
      <c r="AH54" s="192"/>
      <c r="AI54" s="192"/>
      <c r="AJ54" s="192"/>
      <c r="AK54" s="192"/>
      <c r="AL54" s="192"/>
      <c r="AM54" s="192"/>
      <c r="AN54" s="192"/>
      <c r="AO54" s="192"/>
      <c r="AP54" s="192"/>
      <c r="AQ54" s="192"/>
      <c r="AR54" s="192"/>
      <c r="AS54" s="192"/>
      <c r="AT54" s="192"/>
      <c r="AU54" s="192"/>
    </row>
    <row r="55" spans="1:47" s="183" customFormat="1" x14ac:dyDescent="0.25">
      <c r="A55" s="202" t="s">
        <v>14122</v>
      </c>
      <c r="B55" s="203" t="s">
        <v>14123</v>
      </c>
      <c r="C55" s="204" t="s">
        <v>14124</v>
      </c>
      <c r="D55" s="41">
        <v>72.666666666666671</v>
      </c>
      <c r="E55" s="192"/>
      <c r="F55" s="192"/>
      <c r="G55" s="192"/>
      <c r="H55" s="192"/>
      <c r="I55" s="192"/>
      <c r="J55" s="192"/>
      <c r="K55" s="192"/>
      <c r="L55" s="192"/>
      <c r="M55" s="192"/>
      <c r="N55" s="192"/>
      <c r="O55" s="192"/>
      <c r="P55" s="192"/>
      <c r="Q55" s="192"/>
      <c r="R55" s="192"/>
      <c r="S55" s="192"/>
      <c r="T55" s="192"/>
      <c r="U55" s="192"/>
      <c r="V55" s="192"/>
      <c r="W55" s="192"/>
      <c r="X55" s="192"/>
      <c r="Y55" s="192"/>
      <c r="Z55" s="192"/>
      <c r="AA55" s="192"/>
      <c r="AB55" s="192"/>
      <c r="AC55" s="192"/>
      <c r="AD55" s="192"/>
      <c r="AE55" s="192"/>
      <c r="AF55" s="192"/>
      <c r="AG55" s="192"/>
      <c r="AH55" s="192"/>
      <c r="AI55" s="192"/>
      <c r="AJ55" s="192"/>
      <c r="AK55" s="192"/>
      <c r="AL55" s="192"/>
      <c r="AM55" s="192"/>
      <c r="AN55" s="192"/>
      <c r="AO55" s="192"/>
      <c r="AP55" s="192"/>
      <c r="AQ55" s="192"/>
      <c r="AR55" s="192"/>
      <c r="AS55" s="192"/>
      <c r="AT55" s="192"/>
      <c r="AU55" s="192"/>
    </row>
    <row r="56" spans="1:47" s="183" customFormat="1" x14ac:dyDescent="0.25">
      <c r="A56" s="202" t="s">
        <v>14125</v>
      </c>
      <c r="B56" s="203" t="s">
        <v>14126</v>
      </c>
      <c r="C56" s="204" t="s">
        <v>14127</v>
      </c>
      <c r="D56" s="41">
        <v>72.666666666666671</v>
      </c>
      <c r="E56" s="192"/>
      <c r="F56" s="192"/>
      <c r="G56" s="192"/>
      <c r="H56" s="192"/>
      <c r="I56" s="192"/>
      <c r="J56" s="192"/>
      <c r="K56" s="192"/>
      <c r="L56" s="192"/>
      <c r="M56" s="192"/>
      <c r="N56" s="192"/>
      <c r="O56" s="192"/>
      <c r="P56" s="192"/>
      <c r="Q56" s="192"/>
      <c r="R56" s="192"/>
      <c r="S56" s="192"/>
      <c r="T56" s="192"/>
      <c r="U56" s="192"/>
      <c r="V56" s="192"/>
      <c r="W56" s="192"/>
      <c r="X56" s="192"/>
      <c r="Y56" s="192"/>
      <c r="Z56" s="192"/>
      <c r="AA56" s="192"/>
      <c r="AB56" s="192"/>
      <c r="AC56" s="192"/>
      <c r="AD56" s="192"/>
      <c r="AE56" s="192"/>
      <c r="AF56" s="192"/>
      <c r="AG56" s="192"/>
      <c r="AH56" s="192"/>
      <c r="AI56" s="192"/>
      <c r="AJ56" s="192"/>
      <c r="AK56" s="192"/>
      <c r="AL56" s="192"/>
      <c r="AM56" s="192"/>
      <c r="AN56" s="192"/>
      <c r="AO56" s="192"/>
      <c r="AP56" s="192"/>
      <c r="AQ56" s="192"/>
      <c r="AR56" s="192"/>
      <c r="AS56" s="192"/>
      <c r="AT56" s="192"/>
      <c r="AU56" s="192"/>
    </row>
    <row r="57" spans="1:47" s="183" customFormat="1" ht="14.4" x14ac:dyDescent="0.3">
      <c r="A57" s="206"/>
      <c r="B57" s="206" t="s">
        <v>14128</v>
      </c>
      <c r="C57" s="201"/>
      <c r="D57" s="211"/>
      <c r="E57" s="192"/>
      <c r="F57" s="192"/>
      <c r="G57" s="192"/>
      <c r="H57" s="192"/>
      <c r="I57" s="192"/>
      <c r="J57" s="192"/>
      <c r="K57" s="192"/>
      <c r="L57" s="192"/>
      <c r="M57" s="192"/>
      <c r="N57" s="192"/>
      <c r="O57" s="192"/>
      <c r="P57" s="192"/>
      <c r="Q57" s="192"/>
      <c r="R57" s="192"/>
      <c r="S57" s="192"/>
      <c r="T57" s="192"/>
      <c r="U57" s="192"/>
      <c r="V57" s="192"/>
      <c r="W57" s="192"/>
      <c r="X57" s="192"/>
      <c r="Y57" s="192"/>
      <c r="Z57" s="192"/>
      <c r="AA57" s="192"/>
      <c r="AB57" s="192"/>
      <c r="AC57" s="192"/>
      <c r="AD57" s="192"/>
      <c r="AE57" s="192"/>
      <c r="AF57" s="192"/>
      <c r="AG57" s="192"/>
      <c r="AH57" s="192"/>
      <c r="AI57" s="192"/>
      <c r="AJ57" s="192"/>
      <c r="AK57" s="192"/>
      <c r="AL57" s="192"/>
      <c r="AM57" s="192"/>
      <c r="AN57" s="192"/>
      <c r="AO57" s="192"/>
      <c r="AP57" s="192"/>
      <c r="AQ57" s="192"/>
      <c r="AR57" s="192"/>
      <c r="AS57" s="192"/>
      <c r="AT57" s="192"/>
      <c r="AU57" s="192"/>
    </row>
    <row r="58" spans="1:47" s="183" customFormat="1" x14ac:dyDescent="0.25">
      <c r="A58" s="207" t="s">
        <v>14129</v>
      </c>
      <c r="B58" s="203" t="s">
        <v>14130</v>
      </c>
      <c r="C58" s="204" t="s">
        <v>14131</v>
      </c>
      <c r="D58" s="41">
        <v>219.33333333333334</v>
      </c>
      <c r="E58" s="192"/>
      <c r="F58" s="192"/>
      <c r="G58" s="192"/>
      <c r="H58" s="192"/>
      <c r="I58" s="192"/>
      <c r="J58" s="192"/>
      <c r="K58" s="192"/>
      <c r="L58" s="192"/>
      <c r="M58" s="192"/>
      <c r="N58" s="192"/>
      <c r="O58" s="192"/>
      <c r="P58" s="192"/>
      <c r="Q58" s="192"/>
      <c r="R58" s="192"/>
      <c r="S58" s="192"/>
      <c r="T58" s="192"/>
      <c r="U58" s="192"/>
      <c r="V58" s="192"/>
      <c r="W58" s="192"/>
      <c r="X58" s="192"/>
      <c r="Y58" s="192"/>
      <c r="Z58" s="192"/>
      <c r="AA58" s="192"/>
      <c r="AB58" s="192"/>
      <c r="AC58" s="192"/>
      <c r="AD58" s="192"/>
      <c r="AE58" s="192"/>
      <c r="AF58" s="192"/>
      <c r="AG58" s="192"/>
      <c r="AH58" s="192"/>
      <c r="AI58" s="192"/>
      <c r="AJ58" s="192"/>
      <c r="AK58" s="192"/>
      <c r="AL58" s="192"/>
      <c r="AM58" s="192"/>
      <c r="AN58" s="192"/>
      <c r="AO58" s="192"/>
      <c r="AP58" s="192"/>
      <c r="AQ58" s="192"/>
      <c r="AR58" s="192"/>
      <c r="AS58" s="192"/>
      <c r="AT58" s="192"/>
      <c r="AU58" s="192"/>
    </row>
    <row r="59" spans="1:47" s="183" customFormat="1" x14ac:dyDescent="0.25">
      <c r="A59" s="207" t="s">
        <v>14132</v>
      </c>
      <c r="B59" s="203" t="s">
        <v>14133</v>
      </c>
      <c r="C59" s="204" t="s">
        <v>14134</v>
      </c>
      <c r="D59" s="41">
        <v>219.33333333333334</v>
      </c>
      <c r="E59" s="192"/>
      <c r="F59" s="192"/>
      <c r="G59" s="192"/>
      <c r="H59" s="192"/>
      <c r="I59" s="192"/>
      <c r="J59" s="192"/>
      <c r="K59" s="192"/>
      <c r="L59" s="192"/>
      <c r="M59" s="192"/>
      <c r="N59" s="192"/>
      <c r="O59" s="192"/>
      <c r="P59" s="192"/>
      <c r="Q59" s="192"/>
      <c r="R59" s="192"/>
      <c r="S59" s="192"/>
      <c r="T59" s="192"/>
      <c r="U59" s="192"/>
      <c r="V59" s="192"/>
      <c r="W59" s="192"/>
      <c r="X59" s="192"/>
      <c r="Y59" s="192"/>
      <c r="Z59" s="192"/>
      <c r="AA59" s="192"/>
      <c r="AB59" s="192"/>
      <c r="AC59" s="192"/>
      <c r="AD59" s="192"/>
      <c r="AE59" s="192"/>
      <c r="AF59" s="192"/>
      <c r="AG59" s="192"/>
      <c r="AH59" s="192"/>
      <c r="AI59" s="192"/>
      <c r="AJ59" s="192"/>
      <c r="AK59" s="192"/>
      <c r="AL59" s="192"/>
      <c r="AM59" s="192"/>
      <c r="AN59" s="192"/>
      <c r="AO59" s="192"/>
      <c r="AP59" s="192"/>
      <c r="AQ59" s="192"/>
      <c r="AR59" s="192"/>
      <c r="AS59" s="192"/>
      <c r="AT59" s="192"/>
      <c r="AU59" s="192"/>
    </row>
    <row r="60" spans="1:47" s="183" customFormat="1" x14ac:dyDescent="0.25">
      <c r="A60" s="207" t="s">
        <v>14135</v>
      </c>
      <c r="B60" s="203" t="s">
        <v>14136</v>
      </c>
      <c r="C60" s="204" t="s">
        <v>14137</v>
      </c>
      <c r="D60" s="41">
        <v>219.33333333333334</v>
      </c>
      <c r="E60" s="192"/>
      <c r="F60" s="192"/>
      <c r="G60" s="192"/>
      <c r="H60" s="192"/>
      <c r="I60" s="192"/>
      <c r="J60" s="192"/>
      <c r="K60" s="192"/>
      <c r="L60" s="192"/>
      <c r="M60" s="192"/>
      <c r="N60" s="192"/>
      <c r="O60" s="192"/>
      <c r="P60" s="192"/>
      <c r="Q60" s="192"/>
      <c r="R60" s="192"/>
      <c r="S60" s="192"/>
      <c r="T60" s="192"/>
      <c r="U60" s="192"/>
      <c r="V60" s="192"/>
      <c r="W60" s="192"/>
      <c r="X60" s="192"/>
      <c r="Y60" s="192"/>
      <c r="Z60" s="192"/>
      <c r="AA60" s="192"/>
      <c r="AB60" s="192"/>
      <c r="AC60" s="192"/>
      <c r="AD60" s="192"/>
      <c r="AE60" s="192"/>
      <c r="AF60" s="192"/>
      <c r="AG60" s="192"/>
      <c r="AH60" s="192"/>
      <c r="AI60" s="192"/>
      <c r="AJ60" s="192"/>
      <c r="AK60" s="192"/>
      <c r="AL60" s="192"/>
      <c r="AM60" s="192"/>
      <c r="AN60" s="192"/>
      <c r="AO60" s="192"/>
      <c r="AP60" s="192"/>
      <c r="AQ60" s="192"/>
      <c r="AR60" s="192"/>
      <c r="AS60" s="192"/>
      <c r="AT60" s="192"/>
      <c r="AU60" s="192"/>
    </row>
    <row r="61" spans="1:47" s="183" customFormat="1" x14ac:dyDescent="0.25">
      <c r="A61" s="207" t="s">
        <v>14138</v>
      </c>
      <c r="B61" s="203" t="s">
        <v>14139</v>
      </c>
      <c r="C61" s="204" t="s">
        <v>14140</v>
      </c>
      <c r="D61" s="41">
        <v>219.33333333333334</v>
      </c>
      <c r="E61" s="192"/>
      <c r="F61" s="192"/>
      <c r="G61" s="192"/>
      <c r="H61" s="192"/>
      <c r="I61" s="192"/>
      <c r="J61" s="192"/>
      <c r="K61" s="192"/>
      <c r="L61" s="192"/>
      <c r="M61" s="192"/>
      <c r="N61" s="192"/>
      <c r="O61" s="192"/>
      <c r="P61" s="192"/>
      <c r="Q61" s="192"/>
      <c r="R61" s="192"/>
      <c r="S61" s="192"/>
      <c r="T61" s="192"/>
      <c r="U61" s="192"/>
      <c r="V61" s="192"/>
      <c r="W61" s="192"/>
      <c r="X61" s="192"/>
      <c r="Y61" s="192"/>
      <c r="Z61" s="192"/>
      <c r="AA61" s="192"/>
      <c r="AB61" s="192"/>
      <c r="AC61" s="192"/>
      <c r="AD61" s="192"/>
      <c r="AE61" s="192"/>
      <c r="AF61" s="192"/>
      <c r="AG61" s="192"/>
      <c r="AH61" s="192"/>
      <c r="AI61" s="192"/>
      <c r="AJ61" s="192"/>
      <c r="AK61" s="192"/>
      <c r="AL61" s="192"/>
      <c r="AM61" s="192"/>
      <c r="AN61" s="192"/>
      <c r="AO61" s="192"/>
      <c r="AP61" s="192"/>
      <c r="AQ61" s="192"/>
      <c r="AR61" s="192"/>
      <c r="AS61" s="192"/>
      <c r="AT61" s="192"/>
      <c r="AU61" s="192"/>
    </row>
    <row r="62" spans="1:47" s="183" customFormat="1" x14ac:dyDescent="0.25">
      <c r="A62" s="207" t="s">
        <v>14141</v>
      </c>
      <c r="B62" s="203" t="s">
        <v>14142</v>
      </c>
      <c r="C62" s="204" t="s">
        <v>14143</v>
      </c>
      <c r="D62" s="41">
        <v>246</v>
      </c>
      <c r="E62" s="192"/>
      <c r="F62" s="192"/>
      <c r="G62" s="192"/>
      <c r="H62" s="192"/>
      <c r="I62" s="192"/>
      <c r="J62" s="192"/>
      <c r="K62" s="192"/>
      <c r="L62" s="192"/>
      <c r="M62" s="192"/>
      <c r="N62" s="192"/>
      <c r="O62" s="192"/>
      <c r="P62" s="192"/>
      <c r="Q62" s="192"/>
      <c r="R62" s="192"/>
      <c r="S62" s="192"/>
      <c r="T62" s="192"/>
      <c r="U62" s="192"/>
      <c r="V62" s="192"/>
      <c r="W62" s="192"/>
      <c r="X62" s="192"/>
      <c r="Y62" s="192"/>
      <c r="Z62" s="192"/>
      <c r="AA62" s="192"/>
      <c r="AB62" s="192"/>
      <c r="AC62" s="192"/>
      <c r="AD62" s="192"/>
      <c r="AE62" s="192"/>
      <c r="AF62" s="192"/>
      <c r="AG62" s="192"/>
      <c r="AH62" s="192"/>
      <c r="AI62" s="192"/>
      <c r="AJ62" s="192"/>
      <c r="AK62" s="192"/>
      <c r="AL62" s="192"/>
      <c r="AM62" s="192"/>
      <c r="AN62" s="192"/>
      <c r="AO62" s="192"/>
      <c r="AP62" s="192"/>
      <c r="AQ62" s="192"/>
      <c r="AR62" s="192"/>
      <c r="AS62" s="192"/>
      <c r="AT62" s="192"/>
      <c r="AU62" s="192"/>
    </row>
    <row r="63" spans="1:47" s="183" customFormat="1" x14ac:dyDescent="0.25">
      <c r="A63" s="207" t="s">
        <v>14144</v>
      </c>
      <c r="B63" s="203" t="s">
        <v>14145</v>
      </c>
      <c r="C63" s="204" t="s">
        <v>14146</v>
      </c>
      <c r="D63" s="41">
        <v>246</v>
      </c>
      <c r="E63" s="192"/>
      <c r="F63" s="192"/>
      <c r="G63" s="192"/>
      <c r="H63" s="192"/>
      <c r="I63" s="192"/>
      <c r="J63" s="192"/>
      <c r="K63" s="192"/>
      <c r="L63" s="192"/>
      <c r="M63" s="192"/>
      <c r="N63" s="192"/>
      <c r="O63" s="192"/>
      <c r="P63" s="192"/>
      <c r="Q63" s="192"/>
      <c r="R63" s="192"/>
      <c r="S63" s="192"/>
      <c r="T63" s="192"/>
      <c r="U63" s="192"/>
      <c r="V63" s="192"/>
      <c r="W63" s="192"/>
      <c r="X63" s="192"/>
      <c r="Y63" s="192"/>
      <c r="Z63" s="192"/>
      <c r="AA63" s="192"/>
      <c r="AB63" s="192"/>
      <c r="AC63" s="192"/>
      <c r="AD63" s="192"/>
      <c r="AE63" s="192"/>
      <c r="AF63" s="192"/>
      <c r="AG63" s="192"/>
      <c r="AH63" s="192"/>
      <c r="AI63" s="192"/>
      <c r="AJ63" s="192"/>
      <c r="AK63" s="192"/>
      <c r="AL63" s="192"/>
      <c r="AM63" s="192"/>
      <c r="AN63" s="192"/>
      <c r="AO63" s="192"/>
      <c r="AP63" s="192"/>
      <c r="AQ63" s="192"/>
      <c r="AR63" s="192"/>
      <c r="AS63" s="192"/>
      <c r="AT63" s="192"/>
      <c r="AU63" s="192"/>
    </row>
    <row r="64" spans="1:47" s="183" customFormat="1" x14ac:dyDescent="0.25">
      <c r="A64" s="207" t="s">
        <v>14147</v>
      </c>
      <c r="B64" s="203" t="s">
        <v>14148</v>
      </c>
      <c r="C64" s="204" t="s">
        <v>14149</v>
      </c>
      <c r="D64" s="41">
        <v>246</v>
      </c>
      <c r="E64" s="192"/>
      <c r="F64" s="192"/>
      <c r="G64" s="192"/>
      <c r="H64" s="192"/>
      <c r="I64" s="192"/>
      <c r="J64" s="192"/>
      <c r="K64" s="192"/>
      <c r="L64" s="192"/>
      <c r="M64" s="192"/>
      <c r="N64" s="192"/>
      <c r="O64" s="192"/>
      <c r="P64" s="192"/>
      <c r="Q64" s="192"/>
      <c r="R64" s="192"/>
      <c r="S64" s="192"/>
      <c r="T64" s="192"/>
      <c r="U64" s="192"/>
      <c r="V64" s="192"/>
      <c r="W64" s="192"/>
      <c r="X64" s="192"/>
      <c r="Y64" s="192"/>
      <c r="Z64" s="192"/>
      <c r="AA64" s="192"/>
      <c r="AB64" s="192"/>
      <c r="AC64" s="192"/>
      <c r="AD64" s="192"/>
      <c r="AE64" s="192"/>
      <c r="AF64" s="192"/>
      <c r="AG64" s="192"/>
      <c r="AH64" s="192"/>
      <c r="AI64" s="192"/>
      <c r="AJ64" s="192"/>
      <c r="AK64" s="192"/>
      <c r="AL64" s="192"/>
      <c r="AM64" s="192"/>
      <c r="AN64" s="192"/>
      <c r="AO64" s="192"/>
      <c r="AP64" s="192"/>
      <c r="AQ64" s="192"/>
      <c r="AR64" s="192"/>
      <c r="AS64" s="192"/>
      <c r="AT64" s="192"/>
      <c r="AU64" s="192"/>
    </row>
    <row r="65" spans="1:47" s="183" customFormat="1" x14ac:dyDescent="0.25">
      <c r="A65" s="207" t="s">
        <v>14150</v>
      </c>
      <c r="B65" s="203" t="s">
        <v>14151</v>
      </c>
      <c r="C65" s="204" t="s">
        <v>14152</v>
      </c>
      <c r="D65" s="41">
        <v>246</v>
      </c>
      <c r="E65" s="192"/>
      <c r="F65" s="192"/>
      <c r="G65" s="192"/>
      <c r="H65" s="192"/>
      <c r="I65" s="192"/>
      <c r="J65" s="192"/>
      <c r="K65" s="192"/>
      <c r="L65" s="192"/>
      <c r="M65" s="192"/>
      <c r="N65" s="192"/>
      <c r="O65" s="192"/>
      <c r="P65" s="192"/>
      <c r="Q65" s="192"/>
      <c r="R65" s="192"/>
      <c r="S65" s="192"/>
      <c r="T65" s="192"/>
      <c r="U65" s="192"/>
      <c r="V65" s="192"/>
      <c r="W65" s="192"/>
      <c r="X65" s="192"/>
      <c r="Y65" s="192"/>
      <c r="Z65" s="192"/>
      <c r="AA65" s="192"/>
      <c r="AB65" s="192"/>
      <c r="AC65" s="192"/>
      <c r="AD65" s="192"/>
      <c r="AE65" s="192"/>
      <c r="AF65" s="192"/>
      <c r="AG65" s="192"/>
      <c r="AH65" s="192"/>
      <c r="AI65" s="192"/>
      <c r="AJ65" s="192"/>
      <c r="AK65" s="192"/>
      <c r="AL65" s="192"/>
      <c r="AM65" s="192"/>
      <c r="AN65" s="192"/>
      <c r="AO65" s="192"/>
      <c r="AP65" s="192"/>
      <c r="AQ65" s="192"/>
      <c r="AR65" s="192"/>
      <c r="AS65" s="192"/>
      <c r="AT65" s="192"/>
      <c r="AU65" s="192"/>
    </row>
    <row r="66" spans="1:47" s="183" customFormat="1" ht="14.4" x14ac:dyDescent="0.3">
      <c r="A66" s="206"/>
      <c r="B66" s="206" t="s">
        <v>14153</v>
      </c>
      <c r="C66" s="201"/>
      <c r="D66" s="199"/>
      <c r="E66" s="192"/>
      <c r="F66" s="192"/>
      <c r="G66" s="192"/>
      <c r="H66" s="192"/>
      <c r="I66" s="192"/>
      <c r="J66" s="192"/>
      <c r="K66" s="192"/>
      <c r="L66" s="192"/>
      <c r="M66" s="192"/>
      <c r="N66" s="192"/>
      <c r="O66" s="192"/>
      <c r="P66" s="192"/>
      <c r="Q66" s="192"/>
      <c r="R66" s="192"/>
      <c r="S66" s="192"/>
      <c r="T66" s="192"/>
      <c r="U66" s="192"/>
      <c r="V66" s="192"/>
      <c r="W66" s="192"/>
      <c r="X66" s="192"/>
      <c r="Y66" s="192"/>
      <c r="Z66" s="192"/>
      <c r="AA66" s="192"/>
      <c r="AB66" s="192"/>
      <c r="AC66" s="192"/>
      <c r="AD66" s="192"/>
      <c r="AE66" s="192"/>
      <c r="AF66" s="192"/>
      <c r="AG66" s="192"/>
      <c r="AH66" s="192"/>
      <c r="AI66" s="192"/>
      <c r="AJ66" s="192"/>
      <c r="AK66" s="192"/>
      <c r="AL66" s="192"/>
      <c r="AM66" s="192"/>
      <c r="AN66" s="192"/>
      <c r="AO66" s="192"/>
      <c r="AP66" s="192"/>
      <c r="AQ66" s="192"/>
      <c r="AR66" s="192"/>
      <c r="AS66" s="192"/>
      <c r="AT66" s="192"/>
      <c r="AU66" s="192"/>
    </row>
    <row r="67" spans="1:47" s="183" customFormat="1" x14ac:dyDescent="0.25">
      <c r="A67" s="203" t="s">
        <v>14154</v>
      </c>
      <c r="B67" s="203" t="s">
        <v>14155</v>
      </c>
      <c r="C67" s="204" t="s">
        <v>14156</v>
      </c>
      <c r="D67" s="41">
        <v>79.333333333333329</v>
      </c>
      <c r="E67" s="192"/>
      <c r="F67" s="192"/>
      <c r="G67" s="192"/>
      <c r="H67" s="192"/>
      <c r="I67" s="192"/>
      <c r="J67" s="192"/>
      <c r="K67" s="192"/>
      <c r="L67" s="192"/>
      <c r="M67" s="192"/>
      <c r="N67" s="192"/>
      <c r="O67" s="192"/>
      <c r="P67" s="192"/>
      <c r="Q67" s="192"/>
      <c r="R67" s="192"/>
      <c r="S67" s="192"/>
      <c r="T67" s="192"/>
      <c r="U67" s="192"/>
      <c r="V67" s="192"/>
      <c r="W67" s="192"/>
      <c r="X67" s="192"/>
      <c r="Y67" s="192"/>
      <c r="Z67" s="192"/>
      <c r="AA67" s="192"/>
      <c r="AB67" s="192"/>
      <c r="AC67" s="192"/>
      <c r="AD67" s="192"/>
      <c r="AE67" s="192"/>
      <c r="AF67" s="192"/>
      <c r="AG67" s="192"/>
      <c r="AH67" s="192"/>
      <c r="AI67" s="192"/>
      <c r="AJ67" s="192"/>
      <c r="AK67" s="192"/>
      <c r="AL67" s="192"/>
      <c r="AM67" s="192"/>
      <c r="AN67" s="192"/>
      <c r="AO67" s="192"/>
      <c r="AP67" s="192"/>
      <c r="AQ67" s="192"/>
      <c r="AR67" s="192"/>
      <c r="AS67" s="192"/>
      <c r="AT67" s="192"/>
      <c r="AU67" s="192"/>
    </row>
    <row r="68" spans="1:47" s="183" customFormat="1" x14ac:dyDescent="0.25">
      <c r="A68" s="203" t="s">
        <v>14157</v>
      </c>
      <c r="B68" s="203" t="s">
        <v>14158</v>
      </c>
      <c r="C68" s="204" t="s">
        <v>14159</v>
      </c>
      <c r="D68" s="41">
        <v>79.333333333333329</v>
      </c>
      <c r="E68" s="192"/>
      <c r="F68" s="192"/>
      <c r="G68" s="192"/>
      <c r="H68" s="192"/>
      <c r="I68" s="192"/>
      <c r="J68" s="192"/>
      <c r="K68" s="192"/>
      <c r="L68" s="192"/>
      <c r="M68" s="192"/>
      <c r="N68" s="192"/>
      <c r="O68" s="192"/>
      <c r="P68" s="192"/>
      <c r="Q68" s="192"/>
      <c r="R68" s="192"/>
      <c r="S68" s="192"/>
      <c r="T68" s="192"/>
      <c r="U68" s="192"/>
      <c r="V68" s="192"/>
      <c r="W68" s="192"/>
      <c r="X68" s="192"/>
      <c r="Y68" s="192"/>
      <c r="Z68" s="192"/>
      <c r="AA68" s="192"/>
      <c r="AB68" s="192"/>
      <c r="AC68" s="192"/>
      <c r="AD68" s="192"/>
      <c r="AE68" s="192"/>
      <c r="AF68" s="192"/>
      <c r="AG68" s="192"/>
      <c r="AH68" s="192"/>
      <c r="AI68" s="192"/>
      <c r="AJ68" s="192"/>
      <c r="AK68" s="192"/>
      <c r="AL68" s="192"/>
      <c r="AM68" s="192"/>
      <c r="AN68" s="192"/>
      <c r="AO68" s="192"/>
      <c r="AP68" s="192"/>
      <c r="AQ68" s="192"/>
      <c r="AR68" s="192"/>
      <c r="AS68" s="192"/>
      <c r="AT68" s="192"/>
      <c r="AU68" s="192"/>
    </row>
    <row r="69" spans="1:47" s="183" customFormat="1" x14ac:dyDescent="0.25">
      <c r="A69" s="203" t="s">
        <v>14160</v>
      </c>
      <c r="B69" s="203" t="s">
        <v>14161</v>
      </c>
      <c r="C69" s="204" t="s">
        <v>14162</v>
      </c>
      <c r="D69" s="41">
        <v>79.333333333333329</v>
      </c>
      <c r="E69" s="192"/>
      <c r="F69" s="192"/>
      <c r="G69" s="192"/>
      <c r="H69" s="192"/>
      <c r="I69" s="192"/>
      <c r="J69" s="192"/>
      <c r="K69" s="192"/>
      <c r="L69" s="192"/>
      <c r="M69" s="192"/>
      <c r="N69" s="192"/>
      <c r="O69" s="192"/>
      <c r="P69" s="192"/>
      <c r="Q69" s="192"/>
      <c r="R69" s="192"/>
      <c r="S69" s="192"/>
      <c r="T69" s="192"/>
      <c r="U69" s="192"/>
      <c r="V69" s="192"/>
      <c r="W69" s="192"/>
      <c r="X69" s="192"/>
      <c r="Y69" s="192"/>
      <c r="Z69" s="192"/>
      <c r="AA69" s="192"/>
      <c r="AB69" s="192"/>
      <c r="AC69" s="192"/>
      <c r="AD69" s="192"/>
      <c r="AE69" s="192"/>
      <c r="AF69" s="192"/>
      <c r="AG69" s="192"/>
      <c r="AH69" s="192"/>
      <c r="AI69" s="192"/>
      <c r="AJ69" s="192"/>
      <c r="AK69" s="192"/>
      <c r="AL69" s="192"/>
      <c r="AM69" s="192"/>
      <c r="AN69" s="192"/>
      <c r="AO69" s="192"/>
      <c r="AP69" s="192"/>
      <c r="AQ69" s="192"/>
      <c r="AR69" s="192"/>
      <c r="AS69" s="192"/>
      <c r="AT69" s="192"/>
      <c r="AU69" s="192"/>
    </row>
    <row r="70" spans="1:47" s="183" customFormat="1" x14ac:dyDescent="0.25">
      <c r="A70" s="203" t="s">
        <v>14163</v>
      </c>
      <c r="B70" s="203" t="s">
        <v>14164</v>
      </c>
      <c r="C70" s="204" t="s">
        <v>14165</v>
      </c>
      <c r="D70" s="41">
        <v>92.666666666666671</v>
      </c>
      <c r="E70" s="192"/>
      <c r="F70" s="192"/>
      <c r="G70" s="192"/>
      <c r="H70" s="192"/>
      <c r="I70" s="192"/>
      <c r="J70" s="192"/>
      <c r="K70" s="192"/>
      <c r="L70" s="192"/>
      <c r="M70" s="192"/>
      <c r="N70" s="192"/>
      <c r="O70" s="192"/>
      <c r="P70" s="192"/>
      <c r="Q70" s="192"/>
      <c r="R70" s="192"/>
      <c r="S70" s="192"/>
      <c r="T70" s="192"/>
      <c r="U70" s="192"/>
      <c r="V70" s="192"/>
      <c r="W70" s="192"/>
      <c r="X70" s="192"/>
      <c r="Y70" s="192"/>
      <c r="Z70" s="192"/>
      <c r="AA70" s="192"/>
      <c r="AB70" s="192"/>
      <c r="AC70" s="192"/>
      <c r="AD70" s="192"/>
      <c r="AE70" s="192"/>
      <c r="AF70" s="192"/>
      <c r="AG70" s="192"/>
      <c r="AH70" s="192"/>
      <c r="AI70" s="192"/>
      <c r="AJ70" s="192"/>
      <c r="AK70" s="192"/>
      <c r="AL70" s="192"/>
      <c r="AM70" s="192"/>
      <c r="AN70" s="192"/>
      <c r="AO70" s="192"/>
      <c r="AP70" s="192"/>
      <c r="AQ70" s="192"/>
      <c r="AR70" s="192"/>
      <c r="AS70" s="192"/>
      <c r="AT70" s="192"/>
      <c r="AU70" s="192"/>
    </row>
    <row r="71" spans="1:47" s="183" customFormat="1" ht="14.4" x14ac:dyDescent="0.3">
      <c r="A71" s="199"/>
      <c r="B71" s="200" t="s">
        <v>14166</v>
      </c>
      <c r="C71" s="201"/>
      <c r="D71" s="199"/>
      <c r="E71" s="192"/>
      <c r="F71" s="192"/>
      <c r="G71" s="192"/>
      <c r="H71" s="192"/>
      <c r="I71" s="192"/>
      <c r="J71" s="192"/>
      <c r="K71" s="192"/>
      <c r="L71" s="192"/>
      <c r="M71" s="192"/>
      <c r="N71" s="192"/>
      <c r="O71" s="192"/>
      <c r="P71" s="192"/>
      <c r="Q71" s="192"/>
      <c r="R71" s="192"/>
      <c r="S71" s="192"/>
      <c r="T71" s="192"/>
      <c r="U71" s="192"/>
      <c r="V71" s="192"/>
      <c r="W71" s="192"/>
      <c r="X71" s="192"/>
      <c r="Y71" s="192"/>
      <c r="Z71" s="192"/>
      <c r="AA71" s="192"/>
      <c r="AB71" s="192"/>
      <c r="AC71" s="192"/>
      <c r="AD71" s="192"/>
      <c r="AE71" s="192"/>
      <c r="AF71" s="192"/>
      <c r="AG71" s="192"/>
      <c r="AH71" s="192"/>
      <c r="AI71" s="192"/>
      <c r="AJ71" s="192"/>
      <c r="AK71" s="192"/>
      <c r="AL71" s="192"/>
      <c r="AM71" s="192"/>
      <c r="AN71" s="192"/>
      <c r="AO71" s="192"/>
      <c r="AP71" s="192"/>
      <c r="AQ71" s="192"/>
      <c r="AR71" s="192"/>
      <c r="AS71" s="192"/>
      <c r="AT71" s="192"/>
      <c r="AU71" s="192"/>
    </row>
    <row r="72" spans="1:47" s="183" customFormat="1" x14ac:dyDescent="0.25">
      <c r="A72" s="203" t="s">
        <v>172</v>
      </c>
      <c r="B72" s="203" t="s">
        <v>13269</v>
      </c>
      <c r="C72" s="204" t="s">
        <v>2473</v>
      </c>
      <c r="D72" s="41">
        <v>219.33333333333334</v>
      </c>
      <c r="E72" s="192"/>
      <c r="F72" s="192"/>
      <c r="G72" s="192"/>
      <c r="H72" s="192"/>
      <c r="I72" s="192"/>
      <c r="J72" s="192"/>
      <c r="K72" s="192"/>
      <c r="L72" s="192"/>
      <c r="M72" s="192"/>
      <c r="N72" s="192"/>
      <c r="O72" s="192"/>
      <c r="P72" s="192"/>
      <c r="Q72" s="192"/>
      <c r="R72" s="192"/>
      <c r="S72" s="192"/>
      <c r="T72" s="192"/>
      <c r="U72" s="192"/>
      <c r="V72" s="192"/>
      <c r="W72" s="192"/>
      <c r="X72" s="192"/>
      <c r="Y72" s="192"/>
      <c r="Z72" s="192"/>
      <c r="AA72" s="192"/>
      <c r="AB72" s="192"/>
      <c r="AC72" s="192"/>
      <c r="AD72" s="192"/>
      <c r="AE72" s="192"/>
      <c r="AF72" s="192"/>
      <c r="AG72" s="192"/>
      <c r="AH72" s="192"/>
      <c r="AI72" s="192"/>
      <c r="AJ72" s="192"/>
      <c r="AK72" s="192"/>
      <c r="AL72" s="192"/>
      <c r="AM72" s="192"/>
      <c r="AN72" s="192"/>
      <c r="AO72" s="192"/>
      <c r="AP72" s="192"/>
      <c r="AQ72" s="192"/>
      <c r="AR72" s="192"/>
      <c r="AS72" s="192"/>
      <c r="AT72" s="192"/>
      <c r="AU72" s="192"/>
    </row>
    <row r="73" spans="1:47" s="183" customFormat="1" x14ac:dyDescent="0.25">
      <c r="A73" s="203" t="s">
        <v>173</v>
      </c>
      <c r="B73" s="203" t="s">
        <v>13272</v>
      </c>
      <c r="C73" s="204" t="s">
        <v>2483</v>
      </c>
      <c r="D73" s="41">
        <v>246</v>
      </c>
      <c r="E73" s="192"/>
      <c r="F73" s="192"/>
      <c r="G73" s="192"/>
      <c r="H73" s="192"/>
      <c r="I73" s="192"/>
      <c r="J73" s="192"/>
      <c r="K73" s="192"/>
      <c r="L73" s="192"/>
      <c r="M73" s="192"/>
      <c r="N73" s="192"/>
      <c r="O73" s="192"/>
      <c r="P73" s="192"/>
      <c r="Q73" s="192"/>
      <c r="R73" s="192"/>
      <c r="S73" s="192"/>
      <c r="T73" s="192"/>
      <c r="U73" s="192"/>
      <c r="V73" s="192"/>
      <c r="W73" s="192"/>
      <c r="X73" s="192"/>
      <c r="Y73" s="192"/>
      <c r="Z73" s="192"/>
      <c r="AA73" s="192"/>
      <c r="AB73" s="192"/>
      <c r="AC73" s="192"/>
      <c r="AD73" s="192"/>
      <c r="AE73" s="192"/>
      <c r="AF73" s="192"/>
      <c r="AG73" s="192"/>
      <c r="AH73" s="192"/>
      <c r="AI73" s="192"/>
      <c r="AJ73" s="192"/>
      <c r="AK73" s="192"/>
      <c r="AL73" s="192"/>
      <c r="AM73" s="192"/>
      <c r="AN73" s="192"/>
      <c r="AO73" s="192"/>
      <c r="AP73" s="192"/>
      <c r="AQ73" s="192"/>
      <c r="AR73" s="192"/>
      <c r="AS73" s="192"/>
      <c r="AT73" s="192"/>
      <c r="AU73" s="192"/>
    </row>
    <row r="74" spans="1:47" x14ac:dyDescent="0.25">
      <c r="A74" s="203" t="s">
        <v>14167</v>
      </c>
      <c r="B74" s="203" t="s">
        <v>14168</v>
      </c>
      <c r="C74" s="204" t="s">
        <v>14169</v>
      </c>
      <c r="D74" s="41">
        <v>219.33333333333334</v>
      </c>
    </row>
    <row r="75" spans="1:47" x14ac:dyDescent="0.25">
      <c r="A75" s="203" t="s">
        <v>14170</v>
      </c>
      <c r="B75" s="203" t="s">
        <v>14171</v>
      </c>
      <c r="C75" s="204" t="s">
        <v>14172</v>
      </c>
      <c r="D75" s="41">
        <v>246</v>
      </c>
    </row>
    <row r="76" spans="1:47" ht="14.4" x14ac:dyDescent="0.3">
      <c r="A76" s="199"/>
      <c r="B76" s="200" t="s">
        <v>260</v>
      </c>
      <c r="C76" s="201"/>
      <c r="D76" s="199"/>
    </row>
    <row r="77" spans="1:47" x14ac:dyDescent="0.25">
      <c r="A77" s="203" t="s">
        <v>223</v>
      </c>
      <c r="B77" s="203" t="s">
        <v>260</v>
      </c>
      <c r="C77" s="204" t="s">
        <v>2791</v>
      </c>
      <c r="D77" s="41">
        <v>50</v>
      </c>
    </row>
    <row r="78" spans="1:47" s="212" customFormat="1" ht="13.5" customHeight="1" x14ac:dyDescent="0.3">
      <c r="A78" s="199"/>
      <c r="B78" s="200" t="s">
        <v>13903</v>
      </c>
      <c r="C78" s="201"/>
      <c r="D78" s="199"/>
    </row>
    <row r="79" spans="1:47" x14ac:dyDescent="0.25">
      <c r="A79" s="203" t="s">
        <v>13895</v>
      </c>
      <c r="B79" s="203" t="s">
        <v>14173</v>
      </c>
      <c r="C79" s="204" t="s">
        <v>14174</v>
      </c>
      <c r="D79" s="41">
        <v>6.666666666666667</v>
      </c>
    </row>
    <row r="80" spans="1:47" x14ac:dyDescent="0.25">
      <c r="A80" s="203" t="s">
        <v>13891</v>
      </c>
      <c r="B80" s="203" t="s">
        <v>13890</v>
      </c>
      <c r="C80" s="204" t="s">
        <v>14175</v>
      </c>
      <c r="D80" s="41">
        <v>6.666666666666667</v>
      </c>
    </row>
    <row r="81" spans="1:4" x14ac:dyDescent="0.25">
      <c r="A81" s="203" t="s">
        <v>13892</v>
      </c>
      <c r="B81" s="203" t="s">
        <v>13893</v>
      </c>
      <c r="C81" s="204" t="s">
        <v>14176</v>
      </c>
      <c r="D81" s="41">
        <v>19.333333333333332</v>
      </c>
    </row>
    <row r="82" spans="1:4" x14ac:dyDescent="0.25">
      <c r="A82" s="203" t="s">
        <v>13933</v>
      </c>
      <c r="B82" s="203" t="s">
        <v>13929</v>
      </c>
      <c r="C82" s="204" t="s">
        <v>14177</v>
      </c>
      <c r="D82" s="41">
        <v>19.333333333333332</v>
      </c>
    </row>
    <row r="83" spans="1:4" x14ac:dyDescent="0.25">
      <c r="A83" s="203" t="s">
        <v>14178</v>
      </c>
      <c r="B83" s="203" t="s">
        <v>14179</v>
      </c>
      <c r="C83" s="204" t="s">
        <v>14180</v>
      </c>
      <c r="D83" s="41">
        <v>19.333333333333332</v>
      </c>
    </row>
    <row r="84" spans="1:4" x14ac:dyDescent="0.25">
      <c r="A84" s="203" t="s">
        <v>13934</v>
      </c>
      <c r="B84" s="203" t="s">
        <v>13930</v>
      </c>
      <c r="C84" s="204" t="s">
        <v>14181</v>
      </c>
      <c r="D84" s="41">
        <v>6.666666666666667</v>
      </c>
    </row>
    <row r="85" spans="1:4" x14ac:dyDescent="0.25">
      <c r="A85" s="203" t="s">
        <v>13935</v>
      </c>
      <c r="B85" s="203" t="s">
        <v>13931</v>
      </c>
      <c r="C85" s="204" t="s">
        <v>14182</v>
      </c>
      <c r="D85" s="41">
        <v>10</v>
      </c>
    </row>
    <row r="86" spans="1:4" x14ac:dyDescent="0.25">
      <c r="A86" s="207" t="s">
        <v>14183</v>
      </c>
      <c r="B86" s="203" t="s">
        <v>13932</v>
      </c>
      <c r="C86" s="204">
        <v>8715839104721</v>
      </c>
      <c r="D86" s="41">
        <v>10</v>
      </c>
    </row>
    <row r="87" spans="1:4" x14ac:dyDescent="0.25">
      <c r="A87" s="203" t="s">
        <v>14184</v>
      </c>
      <c r="B87" s="203" t="s">
        <v>14185</v>
      </c>
      <c r="C87" s="204" t="s">
        <v>14186</v>
      </c>
      <c r="D87" s="41">
        <v>19.333333333333332</v>
      </c>
    </row>
    <row r="88" spans="1:4" x14ac:dyDescent="0.25">
      <c r="A88" s="203" t="s">
        <v>14187</v>
      </c>
      <c r="B88" s="203" t="s">
        <v>14188</v>
      </c>
      <c r="C88" s="204" t="s">
        <v>14189</v>
      </c>
      <c r="D88" s="41">
        <v>19.333333333333332</v>
      </c>
    </row>
    <row r="89" spans="1:4" x14ac:dyDescent="0.25">
      <c r="A89" s="203" t="s">
        <v>14190</v>
      </c>
      <c r="B89" s="203" t="s">
        <v>14191</v>
      </c>
      <c r="C89" s="204" t="s">
        <v>14192</v>
      </c>
      <c r="D89" s="41">
        <v>10</v>
      </c>
    </row>
    <row r="90" spans="1:4" x14ac:dyDescent="0.25">
      <c r="A90" s="203" t="s">
        <v>14193</v>
      </c>
      <c r="B90" s="203" t="s">
        <v>14194</v>
      </c>
      <c r="C90" s="204" t="s">
        <v>14195</v>
      </c>
      <c r="D90" s="41">
        <v>6.666666666666667</v>
      </c>
    </row>
    <row r="91" spans="1:4" x14ac:dyDescent="0.25">
      <c r="A91" s="203" t="s">
        <v>14196</v>
      </c>
      <c r="B91" s="203" t="s">
        <v>14197</v>
      </c>
      <c r="C91" s="204" t="s">
        <v>14198</v>
      </c>
      <c r="D91" s="41">
        <v>16.666666666666668</v>
      </c>
    </row>
    <row r="92" spans="1:4" x14ac:dyDescent="0.25">
      <c r="A92" s="202" t="s">
        <v>14199</v>
      </c>
      <c r="B92" s="203" t="s">
        <v>14200</v>
      </c>
      <c r="C92" s="204" t="s">
        <v>14201</v>
      </c>
      <c r="D92" s="41">
        <v>16.666666666666668</v>
      </c>
    </row>
    <row r="93" spans="1:4" x14ac:dyDescent="0.25">
      <c r="A93" s="203" t="s">
        <v>14202</v>
      </c>
      <c r="B93" s="203" t="s">
        <v>14203</v>
      </c>
      <c r="C93" s="204" t="s">
        <v>14204</v>
      </c>
      <c r="D93" s="41">
        <v>16.666666666666668</v>
      </c>
    </row>
    <row r="94" spans="1:4" x14ac:dyDescent="0.25">
      <c r="A94" s="203" t="s">
        <v>14205</v>
      </c>
      <c r="B94" s="203" t="s">
        <v>14206</v>
      </c>
      <c r="C94" s="204" t="s">
        <v>14207</v>
      </c>
      <c r="D94" s="41">
        <v>16.666666666666668</v>
      </c>
    </row>
    <row r="95" spans="1:4" x14ac:dyDescent="0.25">
      <c r="A95" s="203" t="s">
        <v>14208</v>
      </c>
      <c r="B95" s="203" t="s">
        <v>14209</v>
      </c>
      <c r="C95" s="204" t="s">
        <v>14210</v>
      </c>
      <c r="D95" s="41">
        <v>16.666666666666668</v>
      </c>
    </row>
    <row r="96" spans="1:4" x14ac:dyDescent="0.25">
      <c r="A96" s="203" t="s">
        <v>14211</v>
      </c>
      <c r="B96" s="203" t="s">
        <v>14212</v>
      </c>
      <c r="C96" s="204" t="s">
        <v>14213</v>
      </c>
      <c r="D96" s="41">
        <v>16.666666666666668</v>
      </c>
    </row>
    <row r="97" spans="1:4" x14ac:dyDescent="0.25">
      <c r="A97" s="203" t="s">
        <v>14214</v>
      </c>
      <c r="B97" s="203" t="s">
        <v>14215</v>
      </c>
      <c r="C97" s="204" t="s">
        <v>14216</v>
      </c>
      <c r="D97" s="41">
        <v>10</v>
      </c>
    </row>
    <row r="98" spans="1:4" x14ac:dyDescent="0.25">
      <c r="A98" s="207" t="s">
        <v>14217</v>
      </c>
      <c r="B98" s="203" t="s">
        <v>14218</v>
      </c>
      <c r="C98" s="204" t="s">
        <v>14219</v>
      </c>
      <c r="D98" s="41">
        <v>10</v>
      </c>
    </row>
    <row r="99" spans="1:4" x14ac:dyDescent="0.25">
      <c r="A99" s="207" t="s">
        <v>14220</v>
      </c>
      <c r="B99" s="203" t="s">
        <v>14221</v>
      </c>
      <c r="C99" s="204" t="s">
        <v>14222</v>
      </c>
      <c r="D99" s="41">
        <v>10</v>
      </c>
    </row>
    <row r="100" spans="1:4" x14ac:dyDescent="0.25">
      <c r="A100" s="207" t="s">
        <v>14223</v>
      </c>
      <c r="B100" s="203" t="s">
        <v>14224</v>
      </c>
      <c r="C100" s="204" t="s">
        <v>14225</v>
      </c>
      <c r="D100" s="41">
        <v>10</v>
      </c>
    </row>
    <row r="101" spans="1:4" x14ac:dyDescent="0.25">
      <c r="A101" s="207" t="s">
        <v>14226</v>
      </c>
      <c r="B101" s="203" t="s">
        <v>14227</v>
      </c>
      <c r="C101" s="204" t="s">
        <v>14228</v>
      </c>
      <c r="D101" s="41">
        <v>16.666666666666668</v>
      </c>
    </row>
    <row r="102" spans="1:4" x14ac:dyDescent="0.25">
      <c r="A102" s="207" t="s">
        <v>14229</v>
      </c>
      <c r="B102" s="203" t="s">
        <v>14230</v>
      </c>
      <c r="C102" s="204" t="s">
        <v>14231</v>
      </c>
      <c r="D102" s="41">
        <v>16.666666666666668</v>
      </c>
    </row>
    <row r="103" spans="1:4" x14ac:dyDescent="0.25">
      <c r="A103" s="207" t="s">
        <v>14232</v>
      </c>
      <c r="B103" s="203" t="s">
        <v>14233</v>
      </c>
      <c r="C103" s="204" t="s">
        <v>14234</v>
      </c>
      <c r="D103" s="41">
        <v>23.333333333333332</v>
      </c>
    </row>
    <row r="104" spans="1:4" x14ac:dyDescent="0.25">
      <c r="A104" s="207" t="s">
        <v>14235</v>
      </c>
      <c r="B104" s="203" t="s">
        <v>14236</v>
      </c>
      <c r="C104" s="204" t="s">
        <v>14237</v>
      </c>
      <c r="D104" s="41">
        <v>23.333333333333332</v>
      </c>
    </row>
    <row r="105" spans="1:4" x14ac:dyDescent="0.25">
      <c r="A105" s="207" t="s">
        <v>14238</v>
      </c>
      <c r="B105" s="203" t="s">
        <v>14239</v>
      </c>
      <c r="C105" s="204" t="s">
        <v>14240</v>
      </c>
      <c r="D105" s="41">
        <v>10</v>
      </c>
    </row>
    <row r="106" spans="1:4" x14ac:dyDescent="0.25">
      <c r="A106" s="207" t="s">
        <v>14241</v>
      </c>
      <c r="B106" s="203" t="s">
        <v>14242</v>
      </c>
      <c r="C106" s="204" t="s">
        <v>14243</v>
      </c>
      <c r="D106" s="41">
        <v>6.666666666666667</v>
      </c>
    </row>
    <row r="107" spans="1:4" x14ac:dyDescent="0.25">
      <c r="A107" s="207" t="s">
        <v>14244</v>
      </c>
      <c r="B107" s="203" t="s">
        <v>14245</v>
      </c>
      <c r="C107" s="204" t="s">
        <v>14246</v>
      </c>
      <c r="D107" s="41">
        <v>10</v>
      </c>
    </row>
    <row r="108" spans="1:4" x14ac:dyDescent="0.25">
      <c r="A108" s="174"/>
      <c r="B108" s="174"/>
      <c r="C108" s="213"/>
    </row>
    <row r="109" spans="1:4" x14ac:dyDescent="0.25">
      <c r="A109" s="214"/>
      <c r="B109" s="199" t="s">
        <v>14018</v>
      </c>
      <c r="C109" s="213"/>
    </row>
    <row r="110" spans="1:4" x14ac:dyDescent="0.25">
      <c r="A110" s="202"/>
      <c r="B110" s="199" t="s">
        <v>14247</v>
      </c>
      <c r="C110" s="213"/>
    </row>
    <row r="111" spans="1:4" x14ac:dyDescent="0.25">
      <c r="A111" s="207"/>
      <c r="B111" s="199" t="s">
        <v>13958</v>
      </c>
      <c r="C111" s="213"/>
    </row>
    <row r="112" spans="1:4" x14ac:dyDescent="0.25">
      <c r="A112" s="174"/>
      <c r="B112" s="174"/>
      <c r="C112" s="213"/>
    </row>
    <row r="113" spans="1:4" x14ac:dyDescent="0.25">
      <c r="A113" s="174"/>
      <c r="B113" s="174"/>
      <c r="C113" s="213"/>
    </row>
    <row r="114" spans="1:4" x14ac:dyDescent="0.25">
      <c r="A114" s="272" t="s">
        <v>14003</v>
      </c>
      <c r="B114" s="272"/>
      <c r="C114" s="272"/>
      <c r="D114" s="272"/>
    </row>
    <row r="115" spans="1:4" x14ac:dyDescent="0.25">
      <c r="A115" s="272" t="s">
        <v>14004</v>
      </c>
      <c r="B115" s="272"/>
      <c r="C115" s="272"/>
      <c r="D115" s="272"/>
    </row>
    <row r="116" spans="1:4" ht="13.8" x14ac:dyDescent="0.3">
      <c r="A116" s="273" t="s">
        <v>14005</v>
      </c>
      <c r="B116" s="273"/>
      <c r="C116" s="273"/>
      <c r="D116" s="273"/>
    </row>
    <row r="118" spans="1:4" x14ac:dyDescent="0.25">
      <c r="A118" s="180"/>
      <c r="B118" s="180"/>
      <c r="C118" s="215"/>
      <c r="D118" s="180"/>
    </row>
  </sheetData>
  <mergeCells count="3">
    <mergeCell ref="A114:D114"/>
    <mergeCell ref="A115:D115"/>
    <mergeCell ref="A116:D116"/>
  </mergeCells>
  <conditionalFormatting sqref="A79">
    <cfRule type="duplicateValues" dxfId="63" priority="1"/>
  </conditionalFormatting>
  <pageMargins left="0.25" right="0.25" top="0.75" bottom="0.75" header="0.3" footer="0.3"/>
  <pageSetup paperSize="9" scale="91" orientation="portrait" r:id="rId1"/>
  <rowBreaks count="1" manualBreakCount="1">
    <brk id="56" max="4"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E4A5E-E440-4F79-974A-E7567778BB12}">
  <dimension ref="A1:D269"/>
  <sheetViews>
    <sheetView zoomScale="145" zoomScaleNormal="145" zoomScaleSheetLayoutView="100" workbookViewId="0"/>
  </sheetViews>
  <sheetFormatPr defaultColWidth="13.5546875" defaultRowHeight="13.2" x14ac:dyDescent="0.25"/>
  <cols>
    <col min="1" max="1" width="13.5546875" style="192"/>
    <col min="2" max="2" width="55.44140625" style="192" customWidth="1"/>
    <col min="3" max="3" width="18.109375" style="222" customWidth="1"/>
    <col min="4" max="4" width="12.109375" style="192" customWidth="1"/>
    <col min="5" max="16384" width="13.5546875" style="192"/>
  </cols>
  <sheetData>
    <row r="1" spans="1:4" ht="62.1" customHeight="1" x14ac:dyDescent="0.7">
      <c r="A1" s="252" t="s">
        <v>18969</v>
      </c>
      <c r="B1" s="253"/>
      <c r="C1" s="223"/>
      <c r="D1" s="254"/>
    </row>
    <row r="2" spans="1:4" ht="15" customHeight="1" x14ac:dyDescent="0.25">
      <c r="A2" s="255"/>
      <c r="B2" s="255"/>
      <c r="C2" s="255"/>
      <c r="D2" s="256" t="s">
        <v>14006</v>
      </c>
    </row>
    <row r="3" spans="1:4" ht="7.5" customHeight="1" x14ac:dyDescent="0.25">
      <c r="A3" s="255"/>
      <c r="B3" s="255"/>
      <c r="C3" s="255"/>
      <c r="D3" s="255"/>
    </row>
    <row r="4" spans="1:4" s="260" customFormat="1" ht="13.8" x14ac:dyDescent="0.3">
      <c r="A4" s="257" t="s">
        <v>119</v>
      </c>
      <c r="B4" s="257" t="s">
        <v>262</v>
      </c>
      <c r="C4" s="258" t="s">
        <v>0</v>
      </c>
      <c r="D4" s="259" t="s">
        <v>13991</v>
      </c>
    </row>
    <row r="5" spans="1:4" ht="18" customHeight="1" x14ac:dyDescent="0.35">
      <c r="A5" s="261"/>
      <c r="B5" s="262" t="s">
        <v>18970</v>
      </c>
      <c r="C5" s="261"/>
      <c r="D5" s="259" t="s">
        <v>13992</v>
      </c>
    </row>
    <row r="6" spans="1:4" ht="15.75" customHeight="1" x14ac:dyDescent="0.3">
      <c r="A6" s="174"/>
      <c r="B6" s="263" t="s">
        <v>18971</v>
      </c>
      <c r="C6" s="201"/>
      <c r="D6" s="264"/>
    </row>
    <row r="7" spans="1:4" x14ac:dyDescent="0.25">
      <c r="A7" s="203" t="s">
        <v>18972</v>
      </c>
      <c r="B7" s="203" t="s">
        <v>18973</v>
      </c>
      <c r="C7" s="204" t="s">
        <v>18974</v>
      </c>
      <c r="D7" s="41">
        <v>272.66666666666669</v>
      </c>
    </row>
    <row r="8" spans="1:4" x14ac:dyDescent="0.25">
      <c r="A8" s="218" t="s">
        <v>18975</v>
      </c>
      <c r="B8" s="203" t="s">
        <v>18976</v>
      </c>
      <c r="C8" s="204" t="s">
        <v>18977</v>
      </c>
      <c r="D8" s="41">
        <v>359.33333333333331</v>
      </c>
    </row>
    <row r="9" spans="1:4" x14ac:dyDescent="0.25">
      <c r="A9" s="218" t="s">
        <v>18978</v>
      </c>
      <c r="B9" s="203" t="s">
        <v>18979</v>
      </c>
      <c r="C9" s="204" t="s">
        <v>18980</v>
      </c>
      <c r="D9" s="41">
        <v>439.33333333333331</v>
      </c>
    </row>
    <row r="10" spans="1:4" x14ac:dyDescent="0.25">
      <c r="A10" s="218" t="s">
        <v>18981</v>
      </c>
      <c r="B10" s="203" t="s">
        <v>18982</v>
      </c>
      <c r="C10" s="204" t="s">
        <v>18983</v>
      </c>
      <c r="D10" s="41">
        <v>439.33333333333331</v>
      </c>
    </row>
    <row r="11" spans="1:4" x14ac:dyDescent="0.25">
      <c r="A11" s="218" t="s">
        <v>18984</v>
      </c>
      <c r="B11" s="203" t="s">
        <v>18985</v>
      </c>
      <c r="C11" s="204" t="s">
        <v>18986</v>
      </c>
      <c r="D11" s="41">
        <v>512.66666666666663</v>
      </c>
    </row>
    <row r="12" spans="1:4" x14ac:dyDescent="0.25">
      <c r="A12" s="218" t="s">
        <v>18987</v>
      </c>
      <c r="B12" s="203" t="s">
        <v>18988</v>
      </c>
      <c r="C12" s="204" t="s">
        <v>18989</v>
      </c>
      <c r="D12" s="41">
        <v>526</v>
      </c>
    </row>
    <row r="13" spans="1:4" x14ac:dyDescent="0.25">
      <c r="A13" s="218" t="s">
        <v>18990</v>
      </c>
      <c r="B13" s="203" t="s">
        <v>18991</v>
      </c>
      <c r="C13" s="204" t="s">
        <v>18992</v>
      </c>
      <c r="D13" s="41">
        <v>512.66666666666663</v>
      </c>
    </row>
    <row r="14" spans="1:4" x14ac:dyDescent="0.25">
      <c r="A14" s="218" t="s">
        <v>18993</v>
      </c>
      <c r="B14" s="203" t="s">
        <v>18994</v>
      </c>
      <c r="C14" s="204" t="s">
        <v>18995</v>
      </c>
      <c r="D14" s="41">
        <v>579.33333333333337</v>
      </c>
    </row>
    <row r="15" spans="1:4" x14ac:dyDescent="0.25">
      <c r="A15" s="218" t="s">
        <v>18996</v>
      </c>
      <c r="B15" s="203" t="s">
        <v>18997</v>
      </c>
      <c r="C15" s="204" t="s">
        <v>18998</v>
      </c>
      <c r="D15" s="41">
        <v>592.66666666666663</v>
      </c>
    </row>
    <row r="16" spans="1:4" x14ac:dyDescent="0.25">
      <c r="A16" s="218" t="s">
        <v>18999</v>
      </c>
      <c r="B16" s="203" t="s">
        <v>19000</v>
      </c>
      <c r="C16" s="204" t="s">
        <v>19001</v>
      </c>
      <c r="D16" s="41">
        <v>579.33333333333337</v>
      </c>
    </row>
    <row r="17" spans="1:4" x14ac:dyDescent="0.25">
      <c r="A17" s="218" t="s">
        <v>19002</v>
      </c>
      <c r="B17" s="203" t="s">
        <v>19003</v>
      </c>
      <c r="C17" s="204" t="s">
        <v>19004</v>
      </c>
      <c r="D17" s="41">
        <v>612.66666666666663</v>
      </c>
    </row>
    <row r="18" spans="1:4" ht="15.75" customHeight="1" x14ac:dyDescent="0.3">
      <c r="A18" s="199"/>
      <c r="B18" s="263" t="s">
        <v>19005</v>
      </c>
      <c r="C18" s="201"/>
      <c r="D18" s="264"/>
    </row>
    <row r="19" spans="1:4" ht="13.35" customHeight="1" x14ac:dyDescent="0.25">
      <c r="A19" s="203" t="s">
        <v>19006</v>
      </c>
      <c r="B19" s="203" t="s">
        <v>19007</v>
      </c>
      <c r="C19" s="204" t="s">
        <v>19008</v>
      </c>
      <c r="D19" s="41">
        <v>746</v>
      </c>
    </row>
    <row r="20" spans="1:4" ht="13.35" customHeight="1" x14ac:dyDescent="0.25">
      <c r="A20" s="203" t="s">
        <v>19009</v>
      </c>
      <c r="B20" s="203" t="s">
        <v>19010</v>
      </c>
      <c r="C20" s="204" t="s">
        <v>19011</v>
      </c>
      <c r="D20" s="41">
        <v>839.33333333333337</v>
      </c>
    </row>
    <row r="21" spans="1:4" ht="13.35" customHeight="1" x14ac:dyDescent="0.25">
      <c r="A21" s="203" t="s">
        <v>19012</v>
      </c>
      <c r="B21" s="203" t="s">
        <v>19013</v>
      </c>
      <c r="C21" s="204" t="s">
        <v>19014</v>
      </c>
      <c r="D21" s="41">
        <v>926</v>
      </c>
    </row>
    <row r="22" spans="1:4" ht="13.35" customHeight="1" x14ac:dyDescent="0.25">
      <c r="A22" s="203" t="s">
        <v>19015</v>
      </c>
      <c r="B22" s="203" t="s">
        <v>19016</v>
      </c>
      <c r="C22" s="204" t="s">
        <v>19017</v>
      </c>
      <c r="D22" s="41">
        <v>952.66666666666663</v>
      </c>
    </row>
    <row r="23" spans="1:4" ht="13.35" customHeight="1" x14ac:dyDescent="0.25">
      <c r="A23" s="203" t="s">
        <v>19018</v>
      </c>
      <c r="B23" s="203" t="s">
        <v>19019</v>
      </c>
      <c r="C23" s="204" t="s">
        <v>19020</v>
      </c>
      <c r="D23" s="41">
        <v>986</v>
      </c>
    </row>
    <row r="24" spans="1:4" ht="13.35" customHeight="1" x14ac:dyDescent="0.25">
      <c r="A24" s="203" t="s">
        <v>19021</v>
      </c>
      <c r="B24" s="203" t="s">
        <v>19022</v>
      </c>
      <c r="C24" s="204" t="s">
        <v>19023</v>
      </c>
      <c r="D24" s="41">
        <v>1026</v>
      </c>
    </row>
    <row r="25" spans="1:4" ht="15.75" customHeight="1" x14ac:dyDescent="0.3">
      <c r="A25" s="199"/>
      <c r="B25" s="263" t="s">
        <v>19024</v>
      </c>
      <c r="C25" s="201"/>
      <c r="D25" s="264"/>
    </row>
    <row r="26" spans="1:4" ht="13.35" customHeight="1" x14ac:dyDescent="0.25">
      <c r="A26" s="203" t="s">
        <v>19025</v>
      </c>
      <c r="B26" s="203" t="s">
        <v>19026</v>
      </c>
      <c r="C26" s="204" t="s">
        <v>19027</v>
      </c>
      <c r="D26" s="41">
        <v>966</v>
      </c>
    </row>
    <row r="27" spans="1:4" ht="13.35" customHeight="1" x14ac:dyDescent="0.25">
      <c r="A27" s="203" t="s">
        <v>19028</v>
      </c>
      <c r="B27" s="203" t="s">
        <v>19029</v>
      </c>
      <c r="C27" s="204" t="s">
        <v>19030</v>
      </c>
      <c r="D27" s="41">
        <v>1092.6666666666667</v>
      </c>
    </row>
    <row r="28" spans="1:4" ht="13.35" customHeight="1" x14ac:dyDescent="0.25">
      <c r="A28" s="203" t="s">
        <v>19031</v>
      </c>
      <c r="B28" s="203" t="s">
        <v>19032</v>
      </c>
      <c r="C28" s="204" t="s">
        <v>19033</v>
      </c>
      <c r="D28" s="41">
        <v>1172.6666666666667</v>
      </c>
    </row>
    <row r="29" spans="1:4" ht="13.35" customHeight="1" x14ac:dyDescent="0.25">
      <c r="A29" s="203" t="s">
        <v>19034</v>
      </c>
      <c r="B29" s="203" t="s">
        <v>19035</v>
      </c>
      <c r="C29" s="204" t="s">
        <v>19036</v>
      </c>
      <c r="D29" s="41">
        <v>1212.6666666666667</v>
      </c>
    </row>
    <row r="30" spans="1:4" ht="13.35" customHeight="1" x14ac:dyDescent="0.25">
      <c r="A30" s="203" t="s">
        <v>19037</v>
      </c>
      <c r="B30" s="203" t="s">
        <v>19038</v>
      </c>
      <c r="C30" s="204" t="s">
        <v>19039</v>
      </c>
      <c r="D30" s="41">
        <v>1232.6666666666667</v>
      </c>
    </row>
    <row r="31" spans="1:4" ht="13.35" customHeight="1" x14ac:dyDescent="0.25">
      <c r="A31" s="203" t="s">
        <v>19040</v>
      </c>
      <c r="B31" s="203" t="s">
        <v>19041</v>
      </c>
      <c r="C31" s="204" t="s">
        <v>19042</v>
      </c>
      <c r="D31" s="41">
        <v>1279.3333333333333</v>
      </c>
    </row>
    <row r="32" spans="1:4" ht="15.75" customHeight="1" x14ac:dyDescent="0.3">
      <c r="A32" s="265"/>
      <c r="B32" s="263" t="s">
        <v>19043</v>
      </c>
      <c r="C32" s="201"/>
      <c r="D32" s="264"/>
    </row>
    <row r="33" spans="1:4" ht="13.35" customHeight="1" x14ac:dyDescent="0.25">
      <c r="A33" s="203" t="s">
        <v>19044</v>
      </c>
      <c r="B33" s="203" t="s">
        <v>19045</v>
      </c>
      <c r="C33" s="204" t="s">
        <v>19046</v>
      </c>
      <c r="D33" s="41">
        <v>719.33333333333337</v>
      </c>
    </row>
    <row r="34" spans="1:4" ht="13.35" customHeight="1" x14ac:dyDescent="0.25">
      <c r="A34" s="203" t="s">
        <v>19047</v>
      </c>
      <c r="B34" s="203" t="s">
        <v>19048</v>
      </c>
      <c r="C34" s="204" t="s">
        <v>19049</v>
      </c>
      <c r="D34" s="41">
        <v>732.66666666666663</v>
      </c>
    </row>
    <row r="35" spans="1:4" ht="13.35" customHeight="1" x14ac:dyDescent="0.25">
      <c r="A35" s="203" t="s">
        <v>19050</v>
      </c>
      <c r="B35" s="203" t="s">
        <v>19051</v>
      </c>
      <c r="C35" s="204" t="s">
        <v>19052</v>
      </c>
      <c r="D35" s="41">
        <v>719.33333333333337</v>
      </c>
    </row>
    <row r="36" spans="1:4" ht="15.75" customHeight="1" x14ac:dyDescent="0.3">
      <c r="A36" s="265"/>
      <c r="B36" s="263" t="s">
        <v>19053</v>
      </c>
      <c r="C36" s="201"/>
      <c r="D36" s="264"/>
    </row>
    <row r="37" spans="1:4" ht="13.35" customHeight="1" x14ac:dyDescent="0.25">
      <c r="A37" s="203" t="s">
        <v>19054</v>
      </c>
      <c r="B37" s="203" t="s">
        <v>19055</v>
      </c>
      <c r="C37" s="204" t="s">
        <v>19056</v>
      </c>
      <c r="D37" s="41">
        <v>852.66666666666663</v>
      </c>
    </row>
    <row r="38" spans="1:4" ht="13.35" customHeight="1" x14ac:dyDescent="0.25">
      <c r="A38" s="203" t="s">
        <v>19057</v>
      </c>
      <c r="B38" s="203" t="s">
        <v>19058</v>
      </c>
      <c r="C38" s="204" t="s">
        <v>19059</v>
      </c>
      <c r="D38" s="41">
        <v>932.66666666666663</v>
      </c>
    </row>
    <row r="39" spans="1:4" ht="13.35" customHeight="1" x14ac:dyDescent="0.25">
      <c r="A39" s="203" t="s">
        <v>19060</v>
      </c>
      <c r="B39" s="203" t="s">
        <v>19061</v>
      </c>
      <c r="C39" s="204" t="s">
        <v>19062</v>
      </c>
      <c r="D39" s="41">
        <v>1012.6666666666666</v>
      </c>
    </row>
    <row r="40" spans="1:4" ht="13.35" customHeight="1" x14ac:dyDescent="0.25">
      <c r="A40" s="203" t="s">
        <v>19063</v>
      </c>
      <c r="B40" s="203" t="s">
        <v>19064</v>
      </c>
      <c r="C40" s="204" t="s">
        <v>19065</v>
      </c>
      <c r="D40" s="41">
        <v>1092.6666666666667</v>
      </c>
    </row>
    <row r="41" spans="1:4" ht="15.75" customHeight="1" x14ac:dyDescent="0.3">
      <c r="A41" s="265"/>
      <c r="B41" s="263" t="s">
        <v>19066</v>
      </c>
      <c r="C41" s="201"/>
      <c r="D41" s="264"/>
    </row>
    <row r="42" spans="1:4" ht="13.35" customHeight="1" x14ac:dyDescent="0.25">
      <c r="A42" s="203" t="s">
        <v>19067</v>
      </c>
      <c r="B42" s="203" t="s">
        <v>19068</v>
      </c>
      <c r="C42" s="204" t="s">
        <v>19069</v>
      </c>
      <c r="D42" s="41">
        <v>1299.3333333333333</v>
      </c>
    </row>
    <row r="43" spans="1:4" ht="13.35" customHeight="1" x14ac:dyDescent="0.25">
      <c r="A43" s="203" t="s">
        <v>19070</v>
      </c>
      <c r="B43" s="203" t="s">
        <v>19071</v>
      </c>
      <c r="C43" s="204" t="s">
        <v>19072</v>
      </c>
      <c r="D43" s="41">
        <v>1379.3333333333333</v>
      </c>
    </row>
    <row r="44" spans="1:4" ht="15.75" customHeight="1" x14ac:dyDescent="0.3">
      <c r="A44" s="265"/>
      <c r="B44" s="263" t="s">
        <v>19073</v>
      </c>
      <c r="C44" s="201"/>
      <c r="D44" s="264"/>
    </row>
    <row r="45" spans="1:4" ht="13.35" customHeight="1" x14ac:dyDescent="0.25">
      <c r="A45" s="203" t="s">
        <v>19074</v>
      </c>
      <c r="B45" s="203" t="s">
        <v>19075</v>
      </c>
      <c r="C45" s="204" t="s">
        <v>19076</v>
      </c>
      <c r="D45" s="41">
        <v>446</v>
      </c>
    </row>
    <row r="46" spans="1:4" ht="13.35" customHeight="1" x14ac:dyDescent="0.25">
      <c r="A46" s="218" t="s">
        <v>19077</v>
      </c>
      <c r="B46" s="203" t="s">
        <v>19078</v>
      </c>
      <c r="C46" s="204" t="s">
        <v>19079</v>
      </c>
      <c r="D46" s="41">
        <v>459.33333333333331</v>
      </c>
    </row>
    <row r="47" spans="1:4" ht="13.35" customHeight="1" x14ac:dyDescent="0.25">
      <c r="A47" s="218" t="s">
        <v>19080</v>
      </c>
      <c r="B47" s="203" t="s">
        <v>19081</v>
      </c>
      <c r="C47" s="204" t="s">
        <v>19082</v>
      </c>
      <c r="D47" s="41">
        <v>446</v>
      </c>
    </row>
    <row r="48" spans="1:4" ht="13.35" customHeight="1" x14ac:dyDescent="0.25">
      <c r="A48" s="203" t="s">
        <v>19083</v>
      </c>
      <c r="B48" s="203" t="s">
        <v>19084</v>
      </c>
      <c r="C48" s="204" t="s">
        <v>19085</v>
      </c>
      <c r="D48" s="41">
        <v>552.66666666666663</v>
      </c>
    </row>
    <row r="49" spans="1:4" ht="13.35" customHeight="1" x14ac:dyDescent="0.25">
      <c r="A49" s="203" t="s">
        <v>19086</v>
      </c>
      <c r="B49" s="203" t="s">
        <v>19087</v>
      </c>
      <c r="C49" s="204" t="s">
        <v>19088</v>
      </c>
      <c r="D49" s="41">
        <v>566</v>
      </c>
    </row>
    <row r="50" spans="1:4" ht="13.35" customHeight="1" x14ac:dyDescent="0.25">
      <c r="A50" s="203" t="s">
        <v>19089</v>
      </c>
      <c r="B50" s="203" t="s">
        <v>19090</v>
      </c>
      <c r="C50" s="204" t="s">
        <v>19091</v>
      </c>
      <c r="D50" s="41">
        <v>639.33333333333337</v>
      </c>
    </row>
    <row r="51" spans="1:4" ht="13.35" customHeight="1" x14ac:dyDescent="0.25">
      <c r="A51" s="203" t="s">
        <v>19092</v>
      </c>
      <c r="B51" s="203" t="s">
        <v>19093</v>
      </c>
      <c r="C51" s="204" t="s">
        <v>19094</v>
      </c>
      <c r="D51" s="41">
        <v>652.66666666666663</v>
      </c>
    </row>
    <row r="52" spans="1:4" ht="15.75" customHeight="1" x14ac:dyDescent="0.3">
      <c r="A52" s="265"/>
      <c r="B52" s="263" t="s">
        <v>19095</v>
      </c>
      <c r="C52" s="201"/>
      <c r="D52" s="264"/>
    </row>
    <row r="53" spans="1:4" ht="13.35" customHeight="1" x14ac:dyDescent="0.25">
      <c r="A53" s="203" t="s">
        <v>19096</v>
      </c>
      <c r="B53" s="203" t="s">
        <v>19097</v>
      </c>
      <c r="C53" s="204" t="s">
        <v>19098</v>
      </c>
      <c r="D53" s="41">
        <v>792.66666666666663</v>
      </c>
    </row>
    <row r="54" spans="1:4" ht="13.35" customHeight="1" x14ac:dyDescent="0.25">
      <c r="A54" s="203" t="s">
        <v>19099</v>
      </c>
      <c r="B54" s="203" t="s">
        <v>19100</v>
      </c>
      <c r="C54" s="204" t="s">
        <v>19101</v>
      </c>
      <c r="D54" s="266">
        <v>1306</v>
      </c>
    </row>
    <row r="55" spans="1:4" ht="13.35" customHeight="1" x14ac:dyDescent="0.25">
      <c r="A55" s="202" t="s">
        <v>19102</v>
      </c>
      <c r="B55" s="203" t="s">
        <v>19103</v>
      </c>
      <c r="C55" s="204" t="s">
        <v>19104</v>
      </c>
      <c r="D55" s="266">
        <v>1306</v>
      </c>
    </row>
    <row r="56" spans="1:4" ht="13.35" customHeight="1" x14ac:dyDescent="0.25">
      <c r="A56" s="202" t="s">
        <v>19105</v>
      </c>
      <c r="B56" s="203" t="s">
        <v>19106</v>
      </c>
      <c r="C56" s="204" t="s">
        <v>19107</v>
      </c>
      <c r="D56" s="266">
        <v>1306</v>
      </c>
    </row>
    <row r="57" spans="1:4" ht="13.35" customHeight="1" x14ac:dyDescent="0.25">
      <c r="A57" s="203" t="s">
        <v>19108</v>
      </c>
      <c r="B57" s="203" t="s">
        <v>19109</v>
      </c>
      <c r="C57" s="204" t="s">
        <v>19110</v>
      </c>
      <c r="D57" s="266">
        <v>1612.6666666666667</v>
      </c>
    </row>
    <row r="58" spans="1:4" ht="15.75" customHeight="1" x14ac:dyDescent="0.3">
      <c r="B58" s="263" t="s">
        <v>19111</v>
      </c>
      <c r="C58" s="192"/>
      <c r="D58" s="264"/>
    </row>
    <row r="59" spans="1:4" ht="13.35" customHeight="1" x14ac:dyDescent="0.25">
      <c r="A59" s="203" t="s">
        <v>19112</v>
      </c>
      <c r="B59" s="203" t="s">
        <v>19113</v>
      </c>
      <c r="C59" s="204" t="s">
        <v>19114</v>
      </c>
      <c r="D59" s="41">
        <v>1879.3333333333333</v>
      </c>
    </row>
    <row r="60" spans="1:4" ht="15.75" customHeight="1" x14ac:dyDescent="0.3">
      <c r="B60" s="263" t="s">
        <v>19115</v>
      </c>
      <c r="C60" s="192"/>
      <c r="D60" s="264"/>
    </row>
    <row r="61" spans="1:4" ht="13.35" customHeight="1" x14ac:dyDescent="0.25">
      <c r="A61" s="203" t="s">
        <v>19116</v>
      </c>
      <c r="B61" s="203" t="s">
        <v>19117</v>
      </c>
      <c r="C61" s="204" t="s">
        <v>19118</v>
      </c>
      <c r="D61" s="41">
        <v>2439.3333333333335</v>
      </c>
    </row>
    <row r="62" spans="1:4" ht="13.35" customHeight="1" x14ac:dyDescent="0.25">
      <c r="A62" s="203" t="s">
        <v>19119</v>
      </c>
      <c r="B62" s="203" t="s">
        <v>19120</v>
      </c>
      <c r="C62" s="204" t="s">
        <v>19121</v>
      </c>
      <c r="D62" s="41">
        <v>3332.6666666666665</v>
      </c>
    </row>
    <row r="63" spans="1:4" ht="15.75" customHeight="1" x14ac:dyDescent="0.3">
      <c r="C63" s="192"/>
      <c r="D63" s="264"/>
    </row>
    <row r="64" spans="1:4" ht="15.75" customHeight="1" x14ac:dyDescent="0.35">
      <c r="A64" s="261"/>
      <c r="B64" s="262" t="s">
        <v>19122</v>
      </c>
      <c r="C64" s="261"/>
      <c r="D64" s="261"/>
    </row>
    <row r="65" spans="1:4" ht="15.75" customHeight="1" x14ac:dyDescent="0.3">
      <c r="A65" s="199"/>
      <c r="B65" s="263" t="s">
        <v>19123</v>
      </c>
      <c r="C65" s="201"/>
      <c r="D65" s="264"/>
    </row>
    <row r="66" spans="1:4" ht="13.35" customHeight="1" x14ac:dyDescent="0.25">
      <c r="A66" s="218" t="s">
        <v>19124</v>
      </c>
      <c r="B66" s="203" t="s">
        <v>19125</v>
      </c>
      <c r="C66" s="204" t="s">
        <v>19126</v>
      </c>
      <c r="D66" s="41">
        <v>312.66666666666669</v>
      </c>
    </row>
    <row r="67" spans="1:4" ht="13.35" customHeight="1" x14ac:dyDescent="0.25">
      <c r="A67" s="203" t="s">
        <v>19127</v>
      </c>
      <c r="B67" s="203" t="s">
        <v>19128</v>
      </c>
      <c r="C67" s="204" t="s">
        <v>19129</v>
      </c>
      <c r="D67" s="41">
        <v>406</v>
      </c>
    </row>
    <row r="68" spans="1:4" ht="13.35" customHeight="1" x14ac:dyDescent="0.25">
      <c r="A68" s="203" t="s">
        <v>19130</v>
      </c>
      <c r="B68" s="203" t="s">
        <v>19131</v>
      </c>
      <c r="C68" s="204" t="s">
        <v>19132</v>
      </c>
      <c r="D68" s="41">
        <v>492.66666666666669</v>
      </c>
    </row>
    <row r="69" spans="1:4" ht="13.35" customHeight="1" x14ac:dyDescent="0.25">
      <c r="A69" s="218" t="s">
        <v>19133</v>
      </c>
      <c r="B69" s="203" t="s">
        <v>19134</v>
      </c>
      <c r="C69" s="204" t="s">
        <v>19135</v>
      </c>
      <c r="D69" s="41">
        <v>492.66666666666669</v>
      </c>
    </row>
    <row r="70" spans="1:4" ht="13.35" customHeight="1" x14ac:dyDescent="0.25">
      <c r="A70" s="203" t="s">
        <v>19136</v>
      </c>
      <c r="B70" s="203" t="s">
        <v>19137</v>
      </c>
      <c r="C70" s="204" t="s">
        <v>19138</v>
      </c>
      <c r="D70" s="41">
        <v>566</v>
      </c>
    </row>
    <row r="71" spans="1:4" ht="13.35" customHeight="1" x14ac:dyDescent="0.25">
      <c r="A71" s="203" t="s">
        <v>19139</v>
      </c>
      <c r="B71" s="203" t="s">
        <v>19140</v>
      </c>
      <c r="C71" s="204" t="s">
        <v>19141</v>
      </c>
      <c r="D71" s="41">
        <v>579.33333333333337</v>
      </c>
    </row>
    <row r="72" spans="1:4" ht="13.35" customHeight="1" x14ac:dyDescent="0.25">
      <c r="A72" s="203" t="s">
        <v>19142</v>
      </c>
      <c r="B72" s="203" t="s">
        <v>19143</v>
      </c>
      <c r="C72" s="204" t="s">
        <v>19144</v>
      </c>
      <c r="D72" s="41">
        <v>566</v>
      </c>
    </row>
    <row r="73" spans="1:4" ht="13.35" customHeight="1" x14ac:dyDescent="0.25">
      <c r="A73" s="218" t="s">
        <v>19145</v>
      </c>
      <c r="B73" s="203" t="s">
        <v>19146</v>
      </c>
      <c r="C73" s="204" t="s">
        <v>19147</v>
      </c>
      <c r="D73" s="41">
        <v>639.33333333333337</v>
      </c>
    </row>
    <row r="74" spans="1:4" ht="13.35" customHeight="1" x14ac:dyDescent="0.25">
      <c r="A74" s="203" t="s">
        <v>19148</v>
      </c>
      <c r="B74" s="203" t="s">
        <v>19149</v>
      </c>
      <c r="C74" s="204" t="s">
        <v>19150</v>
      </c>
      <c r="D74" s="41">
        <v>652.66666666666663</v>
      </c>
    </row>
    <row r="75" spans="1:4" ht="13.35" customHeight="1" x14ac:dyDescent="0.25">
      <c r="A75" s="203" t="s">
        <v>19151</v>
      </c>
      <c r="B75" s="203" t="s">
        <v>19152</v>
      </c>
      <c r="C75" s="204" t="s">
        <v>19153</v>
      </c>
      <c r="D75" s="41">
        <v>639.33333333333337</v>
      </c>
    </row>
    <row r="76" spans="1:4" ht="15.75" customHeight="1" x14ac:dyDescent="0.3">
      <c r="B76" s="263" t="s">
        <v>19154</v>
      </c>
      <c r="C76" s="192"/>
      <c r="D76" s="264"/>
    </row>
    <row r="77" spans="1:4" ht="13.35" customHeight="1" x14ac:dyDescent="0.25">
      <c r="A77" s="203" t="s">
        <v>19155</v>
      </c>
      <c r="B77" s="203" t="s">
        <v>19156</v>
      </c>
      <c r="C77" s="204" t="s">
        <v>19157</v>
      </c>
      <c r="D77" s="41">
        <v>746</v>
      </c>
    </row>
    <row r="78" spans="1:4" ht="13.35" customHeight="1" x14ac:dyDescent="0.25">
      <c r="A78" s="203" t="s">
        <v>19158</v>
      </c>
      <c r="B78" s="203" t="s">
        <v>19159</v>
      </c>
      <c r="C78" s="204" t="s">
        <v>19160</v>
      </c>
      <c r="D78" s="41">
        <v>839.33333333333337</v>
      </c>
    </row>
    <row r="79" spans="1:4" ht="13.35" customHeight="1" x14ac:dyDescent="0.25">
      <c r="A79" s="203" t="s">
        <v>19161</v>
      </c>
      <c r="B79" s="203" t="s">
        <v>19162</v>
      </c>
      <c r="C79" s="204" t="s">
        <v>19163</v>
      </c>
      <c r="D79" s="41">
        <v>926</v>
      </c>
    </row>
    <row r="80" spans="1:4" ht="13.35" customHeight="1" x14ac:dyDescent="0.25">
      <c r="A80" s="203" t="s">
        <v>19164</v>
      </c>
      <c r="B80" s="203" t="s">
        <v>19165</v>
      </c>
      <c r="C80" s="204" t="s">
        <v>19166</v>
      </c>
      <c r="D80" s="41">
        <v>986</v>
      </c>
    </row>
    <row r="81" spans="1:4" ht="15.75" customHeight="1" x14ac:dyDescent="0.3">
      <c r="A81" s="199"/>
      <c r="B81" s="263" t="s">
        <v>19167</v>
      </c>
      <c r="C81" s="201"/>
      <c r="D81" s="264"/>
    </row>
    <row r="82" spans="1:4" ht="13.35" customHeight="1" x14ac:dyDescent="0.25">
      <c r="A82" s="203" t="s">
        <v>19168</v>
      </c>
      <c r="B82" s="203" t="s">
        <v>19169</v>
      </c>
      <c r="C82" s="204" t="s">
        <v>19170</v>
      </c>
      <c r="D82" s="41">
        <v>966</v>
      </c>
    </row>
    <row r="83" spans="1:4" ht="13.35" customHeight="1" x14ac:dyDescent="0.25">
      <c r="A83" s="203" t="s">
        <v>19171</v>
      </c>
      <c r="B83" s="203" t="s">
        <v>19172</v>
      </c>
      <c r="C83" s="204" t="s">
        <v>19173</v>
      </c>
      <c r="D83" s="41">
        <v>1092.6666666666667</v>
      </c>
    </row>
    <row r="84" spans="1:4" ht="13.35" customHeight="1" x14ac:dyDescent="0.25">
      <c r="A84" s="203" t="s">
        <v>19174</v>
      </c>
      <c r="B84" s="203" t="s">
        <v>19175</v>
      </c>
      <c r="C84" s="204" t="s">
        <v>19176</v>
      </c>
      <c r="D84" s="41">
        <v>1172.6666666666667</v>
      </c>
    </row>
    <row r="85" spans="1:4" ht="13.35" customHeight="1" x14ac:dyDescent="0.25">
      <c r="A85" s="203" t="s">
        <v>19177</v>
      </c>
      <c r="B85" s="203" t="s">
        <v>19178</v>
      </c>
      <c r="C85" s="204" t="s">
        <v>19179</v>
      </c>
      <c r="D85" s="41">
        <v>1212.6666666666667</v>
      </c>
    </row>
    <row r="86" spans="1:4" ht="13.35" customHeight="1" x14ac:dyDescent="0.25">
      <c r="A86" s="203" t="s">
        <v>19180</v>
      </c>
      <c r="B86" s="203" t="s">
        <v>19181</v>
      </c>
      <c r="C86" s="204" t="s">
        <v>19182</v>
      </c>
      <c r="D86" s="41">
        <v>1232.6666666666667</v>
      </c>
    </row>
    <row r="87" spans="1:4" ht="13.35" customHeight="1" x14ac:dyDescent="0.25">
      <c r="A87" s="203" t="s">
        <v>19183</v>
      </c>
      <c r="B87" s="203" t="s">
        <v>19184</v>
      </c>
      <c r="C87" s="204" t="s">
        <v>19185</v>
      </c>
      <c r="D87" s="41">
        <v>1279.3333333333333</v>
      </c>
    </row>
    <row r="88" spans="1:4" ht="15.75" customHeight="1" x14ac:dyDescent="0.3">
      <c r="A88" s="265"/>
      <c r="B88" s="263" t="s">
        <v>19186</v>
      </c>
      <c r="C88" s="201"/>
      <c r="D88" s="264"/>
    </row>
    <row r="89" spans="1:4" ht="13.35" customHeight="1" x14ac:dyDescent="0.25">
      <c r="A89" s="203" t="s">
        <v>19187</v>
      </c>
      <c r="B89" s="203" t="s">
        <v>19188</v>
      </c>
      <c r="C89" s="204" t="s">
        <v>19189</v>
      </c>
      <c r="D89" s="41">
        <v>759.33333333333337</v>
      </c>
    </row>
    <row r="90" spans="1:4" ht="13.35" customHeight="1" x14ac:dyDescent="0.25">
      <c r="A90" s="203" t="s">
        <v>19190</v>
      </c>
      <c r="B90" s="203" t="s">
        <v>19191</v>
      </c>
      <c r="C90" s="204" t="s">
        <v>19192</v>
      </c>
      <c r="D90" s="41">
        <v>772.66666666666663</v>
      </c>
    </row>
    <row r="91" spans="1:4" ht="13.35" customHeight="1" x14ac:dyDescent="0.25">
      <c r="A91" s="203" t="s">
        <v>19193</v>
      </c>
      <c r="B91" s="203" t="s">
        <v>19194</v>
      </c>
      <c r="C91" s="204" t="s">
        <v>19195</v>
      </c>
      <c r="D91" s="41">
        <v>759.33333333333337</v>
      </c>
    </row>
    <row r="92" spans="1:4" ht="15.75" customHeight="1" x14ac:dyDescent="0.3">
      <c r="A92" s="265"/>
      <c r="B92" s="263" t="s">
        <v>19196</v>
      </c>
      <c r="C92" s="201"/>
      <c r="D92" s="264"/>
    </row>
    <row r="93" spans="1:4" ht="13.35" customHeight="1" x14ac:dyDescent="0.25">
      <c r="A93" s="203" t="s">
        <v>19197</v>
      </c>
      <c r="B93" s="203" t="s">
        <v>19198</v>
      </c>
      <c r="C93" s="204" t="s">
        <v>19199</v>
      </c>
      <c r="D93" s="41">
        <v>852.66666666666663</v>
      </c>
    </row>
    <row r="94" spans="1:4" ht="13.35" customHeight="1" x14ac:dyDescent="0.25">
      <c r="A94" s="203" t="s">
        <v>19200</v>
      </c>
      <c r="B94" s="203" t="s">
        <v>19201</v>
      </c>
      <c r="C94" s="204" t="s">
        <v>19202</v>
      </c>
      <c r="D94" s="41">
        <v>932.66666666666663</v>
      </c>
    </row>
    <row r="95" spans="1:4" ht="13.35" customHeight="1" x14ac:dyDescent="0.25">
      <c r="A95" s="203" t="s">
        <v>19203</v>
      </c>
      <c r="B95" s="203" t="s">
        <v>19204</v>
      </c>
      <c r="C95" s="204" t="s">
        <v>19205</v>
      </c>
      <c r="D95" s="41">
        <v>1012.6666666666666</v>
      </c>
    </row>
    <row r="96" spans="1:4" ht="13.35" customHeight="1" x14ac:dyDescent="0.25">
      <c r="A96" s="203" t="s">
        <v>19206</v>
      </c>
      <c r="B96" s="203" t="s">
        <v>19207</v>
      </c>
      <c r="C96" s="204" t="s">
        <v>19208</v>
      </c>
      <c r="D96" s="41">
        <v>1092.6666666666667</v>
      </c>
    </row>
    <row r="97" spans="1:4" ht="15.75" customHeight="1" x14ac:dyDescent="0.3">
      <c r="A97" s="265"/>
      <c r="B97" s="263" t="s">
        <v>19209</v>
      </c>
      <c r="C97" s="201"/>
      <c r="D97" s="264"/>
    </row>
    <row r="98" spans="1:4" ht="13.35" customHeight="1" x14ac:dyDescent="0.25">
      <c r="A98" s="203" t="s">
        <v>19210</v>
      </c>
      <c r="B98" s="203" t="s">
        <v>19211</v>
      </c>
      <c r="C98" s="204" t="s">
        <v>19212</v>
      </c>
      <c r="D98" s="41">
        <v>1299.3333333333333</v>
      </c>
    </row>
    <row r="99" spans="1:4" ht="13.35" customHeight="1" x14ac:dyDescent="0.25">
      <c r="A99" s="203" t="s">
        <v>19213</v>
      </c>
      <c r="B99" s="203" t="s">
        <v>19214</v>
      </c>
      <c r="C99" s="204" t="s">
        <v>19215</v>
      </c>
      <c r="D99" s="41">
        <v>1379.3333333333333</v>
      </c>
    </row>
    <row r="100" spans="1:4" ht="15.75" customHeight="1" x14ac:dyDescent="0.3">
      <c r="A100" s="199"/>
      <c r="B100" s="263" t="s">
        <v>19216</v>
      </c>
      <c r="C100" s="201"/>
      <c r="D100" s="264"/>
    </row>
    <row r="101" spans="1:4" ht="13.35" customHeight="1" x14ac:dyDescent="0.25">
      <c r="A101" s="203" t="s">
        <v>19217</v>
      </c>
      <c r="B101" s="203" t="s">
        <v>19218</v>
      </c>
      <c r="C101" s="204" t="s">
        <v>19219</v>
      </c>
      <c r="D101" s="41">
        <v>499.33333333333331</v>
      </c>
    </row>
    <row r="102" spans="1:4" ht="13.35" customHeight="1" x14ac:dyDescent="0.25">
      <c r="A102" s="218" t="s">
        <v>19220</v>
      </c>
      <c r="B102" s="203" t="s">
        <v>19221</v>
      </c>
      <c r="C102" s="204" t="s">
        <v>19222</v>
      </c>
      <c r="D102" s="41">
        <v>512.66666666666663</v>
      </c>
    </row>
    <row r="103" spans="1:4" ht="13.35" customHeight="1" x14ac:dyDescent="0.25">
      <c r="A103" s="218" t="s">
        <v>19223</v>
      </c>
      <c r="B103" s="203" t="s">
        <v>19224</v>
      </c>
      <c r="C103" s="204" t="s">
        <v>19225</v>
      </c>
      <c r="D103" s="41">
        <v>499.33333333333331</v>
      </c>
    </row>
    <row r="104" spans="1:4" ht="13.35" customHeight="1" x14ac:dyDescent="0.25">
      <c r="A104" s="203" t="s">
        <v>19226</v>
      </c>
      <c r="B104" s="203" t="s">
        <v>19227</v>
      </c>
      <c r="C104" s="204" t="s">
        <v>19228</v>
      </c>
      <c r="D104" s="41">
        <v>586</v>
      </c>
    </row>
    <row r="105" spans="1:4" ht="13.35" customHeight="1" x14ac:dyDescent="0.25">
      <c r="A105" s="203" t="s">
        <v>19229</v>
      </c>
      <c r="B105" s="203" t="s">
        <v>19230</v>
      </c>
      <c r="C105" s="204" t="s">
        <v>19231</v>
      </c>
      <c r="D105" s="41">
        <v>599.33333333333337</v>
      </c>
    </row>
    <row r="106" spans="1:4" ht="13.35" customHeight="1" x14ac:dyDescent="0.25">
      <c r="A106" s="203" t="s">
        <v>19232</v>
      </c>
      <c r="B106" s="203" t="s">
        <v>19233</v>
      </c>
      <c r="C106" s="204" t="s">
        <v>19234</v>
      </c>
      <c r="D106" s="41">
        <v>672.66666666666663</v>
      </c>
    </row>
    <row r="107" spans="1:4" ht="13.35" customHeight="1" x14ac:dyDescent="0.25">
      <c r="A107" s="203" t="s">
        <v>19235</v>
      </c>
      <c r="B107" s="203" t="s">
        <v>19236</v>
      </c>
      <c r="C107" s="204" t="s">
        <v>19237</v>
      </c>
      <c r="D107" s="41">
        <v>686</v>
      </c>
    </row>
    <row r="108" spans="1:4" ht="15.75" customHeight="1" x14ac:dyDescent="0.3">
      <c r="A108" s="199"/>
      <c r="B108" s="263" t="s">
        <v>19238</v>
      </c>
      <c r="C108" s="201"/>
      <c r="D108" s="264"/>
    </row>
    <row r="109" spans="1:4" ht="13.35" customHeight="1" x14ac:dyDescent="0.25">
      <c r="A109" s="203" t="s">
        <v>19239</v>
      </c>
      <c r="B109" s="203" t="s">
        <v>19240</v>
      </c>
      <c r="C109" s="204" t="s">
        <v>19241</v>
      </c>
      <c r="D109" s="41">
        <v>792.66666666666663</v>
      </c>
    </row>
    <row r="110" spans="1:4" ht="15.75" customHeight="1" x14ac:dyDescent="0.3">
      <c r="C110" s="192"/>
      <c r="D110" s="264"/>
    </row>
    <row r="111" spans="1:4" ht="15.75" customHeight="1" x14ac:dyDescent="0.35">
      <c r="A111" s="261"/>
      <c r="B111" s="262" t="s">
        <v>19242</v>
      </c>
      <c r="C111" s="261"/>
      <c r="D111" s="261"/>
    </row>
    <row r="112" spans="1:4" ht="15.75" customHeight="1" x14ac:dyDescent="0.3">
      <c r="A112" s="199"/>
      <c r="B112" s="263" t="s">
        <v>19243</v>
      </c>
      <c r="C112" s="201"/>
      <c r="D112" s="264"/>
    </row>
    <row r="113" spans="1:4" ht="13.35" customHeight="1" x14ac:dyDescent="0.25">
      <c r="A113" s="203" t="s">
        <v>19244</v>
      </c>
      <c r="B113" s="203" t="s">
        <v>19245</v>
      </c>
      <c r="C113" s="204" t="s">
        <v>19246</v>
      </c>
      <c r="D113" s="266">
        <v>1152.6666666666667</v>
      </c>
    </row>
    <row r="114" spans="1:4" ht="13.35" customHeight="1" x14ac:dyDescent="0.25">
      <c r="A114" s="202" t="s">
        <v>19247</v>
      </c>
      <c r="B114" s="203" t="s">
        <v>19248</v>
      </c>
      <c r="C114" s="204" t="s">
        <v>19249</v>
      </c>
      <c r="D114" s="266">
        <v>1152.6666666666667</v>
      </c>
    </row>
    <row r="115" spans="1:4" ht="13.35" customHeight="1" x14ac:dyDescent="0.25">
      <c r="A115" s="202" t="s">
        <v>19250</v>
      </c>
      <c r="B115" s="203" t="s">
        <v>19251</v>
      </c>
      <c r="C115" s="204" t="s">
        <v>19252</v>
      </c>
      <c r="D115" s="266">
        <v>1152.6666666666667</v>
      </c>
    </row>
    <row r="116" spans="1:4" ht="13.35" customHeight="1" x14ac:dyDescent="0.25">
      <c r="A116" s="203" t="s">
        <v>19253</v>
      </c>
      <c r="B116" s="203" t="s">
        <v>19254</v>
      </c>
      <c r="C116" s="204" t="s">
        <v>19255</v>
      </c>
      <c r="D116" s="266">
        <v>1446</v>
      </c>
    </row>
    <row r="117" spans="1:4" ht="15.75" customHeight="1" x14ac:dyDescent="0.3">
      <c r="A117" s="199"/>
      <c r="B117" s="263" t="s">
        <v>19256</v>
      </c>
      <c r="C117" s="201"/>
      <c r="D117" s="264"/>
    </row>
    <row r="118" spans="1:4" ht="13.35" customHeight="1" x14ac:dyDescent="0.25">
      <c r="A118" s="203" t="s">
        <v>19257</v>
      </c>
      <c r="B118" s="203" t="s">
        <v>19258</v>
      </c>
      <c r="C118" s="204" t="s">
        <v>19259</v>
      </c>
      <c r="D118" s="41">
        <v>1712.6666666666667</v>
      </c>
    </row>
    <row r="119" spans="1:4" ht="15.75" customHeight="1" x14ac:dyDescent="0.3">
      <c r="C119" s="192"/>
      <c r="D119" s="264"/>
    </row>
    <row r="120" spans="1:4" ht="15.75" customHeight="1" x14ac:dyDescent="0.35">
      <c r="A120" s="261"/>
      <c r="B120" s="262" t="s">
        <v>19260</v>
      </c>
      <c r="C120" s="261"/>
      <c r="D120" s="261"/>
    </row>
    <row r="121" spans="1:4" ht="15.75" customHeight="1" x14ac:dyDescent="0.3">
      <c r="A121" s="267"/>
      <c r="B121" s="268" t="s">
        <v>19261</v>
      </c>
      <c r="C121" s="267"/>
      <c r="D121" s="261"/>
    </row>
    <row r="122" spans="1:4" ht="15.75" customHeight="1" x14ac:dyDescent="0.3">
      <c r="A122" s="265"/>
      <c r="B122" s="263" t="s">
        <v>19262</v>
      </c>
      <c r="C122" s="265"/>
      <c r="D122" s="264"/>
    </row>
    <row r="123" spans="1:4" ht="13.35" customHeight="1" x14ac:dyDescent="0.25">
      <c r="A123" s="218" t="s">
        <v>19263</v>
      </c>
      <c r="B123" s="203" t="s">
        <v>19264</v>
      </c>
      <c r="C123" s="204" t="s">
        <v>19265</v>
      </c>
      <c r="D123" s="41">
        <v>226</v>
      </c>
    </row>
    <row r="124" spans="1:4" ht="13.35" customHeight="1" x14ac:dyDescent="0.25">
      <c r="A124" s="203" t="s">
        <v>19266</v>
      </c>
      <c r="B124" s="203" t="s">
        <v>19267</v>
      </c>
      <c r="C124" s="204" t="s">
        <v>19268</v>
      </c>
      <c r="D124" s="41">
        <v>306</v>
      </c>
    </row>
    <row r="125" spans="1:4" ht="13.35" customHeight="1" x14ac:dyDescent="0.25">
      <c r="A125" s="203" t="s">
        <v>19269</v>
      </c>
      <c r="B125" s="203" t="s">
        <v>19270</v>
      </c>
      <c r="C125" s="204" t="s">
        <v>19271</v>
      </c>
      <c r="D125" s="41">
        <v>379.33333333333331</v>
      </c>
    </row>
    <row r="126" spans="1:4" ht="13.35" customHeight="1" x14ac:dyDescent="0.25">
      <c r="A126" s="218" t="s">
        <v>19272</v>
      </c>
      <c r="B126" s="203" t="s">
        <v>19273</v>
      </c>
      <c r="C126" s="204" t="s">
        <v>19274</v>
      </c>
      <c r="D126" s="41">
        <v>379.33333333333331</v>
      </c>
    </row>
    <row r="127" spans="1:4" ht="13.35" customHeight="1" x14ac:dyDescent="0.25">
      <c r="A127" s="203" t="s">
        <v>19275</v>
      </c>
      <c r="B127" s="203" t="s">
        <v>19276</v>
      </c>
      <c r="C127" s="204" t="s">
        <v>19277</v>
      </c>
      <c r="D127" s="41">
        <v>412.66666666666669</v>
      </c>
    </row>
    <row r="128" spans="1:4" ht="13.35" customHeight="1" x14ac:dyDescent="0.25">
      <c r="A128" s="203" t="s">
        <v>19278</v>
      </c>
      <c r="B128" s="203" t="s">
        <v>19279</v>
      </c>
      <c r="C128" s="204" t="s">
        <v>19280</v>
      </c>
      <c r="D128" s="41">
        <v>426</v>
      </c>
    </row>
    <row r="129" spans="1:4" ht="13.35" customHeight="1" x14ac:dyDescent="0.25">
      <c r="A129" s="203" t="s">
        <v>19281</v>
      </c>
      <c r="B129" s="203" t="s">
        <v>19282</v>
      </c>
      <c r="C129" s="204" t="s">
        <v>19283</v>
      </c>
      <c r="D129" s="41">
        <v>412.66666666666669</v>
      </c>
    </row>
    <row r="130" spans="1:4" ht="13.35" customHeight="1" x14ac:dyDescent="0.25">
      <c r="A130" s="218" t="s">
        <v>19284</v>
      </c>
      <c r="B130" s="203" t="s">
        <v>19285</v>
      </c>
      <c r="C130" s="204" t="s">
        <v>19286</v>
      </c>
      <c r="D130" s="41">
        <v>472.66666666666669</v>
      </c>
    </row>
    <row r="131" spans="1:4" ht="13.35" customHeight="1" x14ac:dyDescent="0.25">
      <c r="A131" s="203" t="s">
        <v>19287</v>
      </c>
      <c r="B131" s="203" t="s">
        <v>19288</v>
      </c>
      <c r="C131" s="204" t="s">
        <v>19289</v>
      </c>
      <c r="D131" s="41">
        <v>486</v>
      </c>
    </row>
    <row r="132" spans="1:4" ht="13.35" customHeight="1" x14ac:dyDescent="0.25">
      <c r="A132" s="203" t="s">
        <v>19290</v>
      </c>
      <c r="B132" s="203" t="s">
        <v>19291</v>
      </c>
      <c r="C132" s="204" t="s">
        <v>19292</v>
      </c>
      <c r="D132" s="41">
        <v>472.66666666666669</v>
      </c>
    </row>
    <row r="133" spans="1:4" ht="15.75" customHeight="1" x14ac:dyDescent="0.3">
      <c r="A133" s="269"/>
      <c r="B133" s="263" t="s">
        <v>19293</v>
      </c>
      <c r="C133" s="209"/>
      <c r="D133" s="264"/>
    </row>
    <row r="134" spans="1:4" ht="13.35" customHeight="1" x14ac:dyDescent="0.25">
      <c r="A134" s="270" t="s">
        <v>19294</v>
      </c>
      <c r="B134" s="203" t="s">
        <v>19295</v>
      </c>
      <c r="C134" s="204" t="s">
        <v>19296</v>
      </c>
      <c r="D134" s="41">
        <v>519.33333333333337</v>
      </c>
    </row>
    <row r="135" spans="1:4" ht="13.35" customHeight="1" x14ac:dyDescent="0.25">
      <c r="A135" s="270" t="s">
        <v>19297</v>
      </c>
      <c r="B135" s="203" t="s">
        <v>19298</v>
      </c>
      <c r="C135" s="204" t="s">
        <v>19299</v>
      </c>
      <c r="D135" s="41">
        <v>572.66666666666663</v>
      </c>
    </row>
    <row r="136" spans="1:4" ht="13.35" customHeight="1" x14ac:dyDescent="0.25">
      <c r="A136" s="270" t="s">
        <v>19300</v>
      </c>
      <c r="B136" s="203" t="s">
        <v>19301</v>
      </c>
      <c r="C136" s="204" t="s">
        <v>19302</v>
      </c>
      <c r="D136" s="41">
        <v>646</v>
      </c>
    </row>
    <row r="137" spans="1:4" ht="15.75" customHeight="1" x14ac:dyDescent="0.3">
      <c r="A137" s="199"/>
      <c r="B137" s="263" t="s">
        <v>19303</v>
      </c>
      <c r="C137" s="199"/>
      <c r="D137" s="264"/>
    </row>
    <row r="138" spans="1:4" ht="13.35" customHeight="1" x14ac:dyDescent="0.25">
      <c r="A138" s="203" t="s">
        <v>19304</v>
      </c>
      <c r="B138" s="203" t="s">
        <v>19305</v>
      </c>
      <c r="C138" s="204" t="s">
        <v>19306</v>
      </c>
      <c r="D138" s="41">
        <v>739.33333333333337</v>
      </c>
    </row>
    <row r="139" spans="1:4" ht="13.35" customHeight="1" x14ac:dyDescent="0.25">
      <c r="A139" s="203" t="s">
        <v>19307</v>
      </c>
      <c r="B139" s="203" t="s">
        <v>19308</v>
      </c>
      <c r="C139" s="204" t="s">
        <v>19309</v>
      </c>
      <c r="D139" s="41">
        <v>826</v>
      </c>
    </row>
    <row r="140" spans="1:4" ht="13.35" customHeight="1" x14ac:dyDescent="0.25">
      <c r="A140" s="270" t="s">
        <v>19310</v>
      </c>
      <c r="B140" s="203" t="s">
        <v>19311</v>
      </c>
      <c r="C140" s="204" t="s">
        <v>19312</v>
      </c>
      <c r="D140" s="41">
        <v>892.66666666666663</v>
      </c>
    </row>
    <row r="141" spans="1:4" ht="15.75" customHeight="1" x14ac:dyDescent="0.3">
      <c r="A141" s="199"/>
      <c r="B141" s="263" t="s">
        <v>19313</v>
      </c>
      <c r="C141" s="199"/>
      <c r="D141" s="264"/>
    </row>
    <row r="142" spans="1:4" ht="13.35" customHeight="1" x14ac:dyDescent="0.25">
      <c r="A142" s="203" t="s">
        <v>19314</v>
      </c>
      <c r="B142" s="203" t="s">
        <v>19315</v>
      </c>
      <c r="C142" s="204" t="s">
        <v>19316</v>
      </c>
      <c r="D142" s="41">
        <v>619.33333333333337</v>
      </c>
    </row>
    <row r="143" spans="1:4" ht="13.35" customHeight="1" x14ac:dyDescent="0.25">
      <c r="A143" s="203" t="s">
        <v>19317</v>
      </c>
      <c r="B143" s="203" t="s">
        <v>19318</v>
      </c>
      <c r="C143" s="204" t="s">
        <v>19319</v>
      </c>
      <c r="D143" s="41">
        <v>632.66666666666663</v>
      </c>
    </row>
    <row r="144" spans="1:4" ht="13.35" customHeight="1" x14ac:dyDescent="0.25">
      <c r="A144" s="203" t="s">
        <v>19320</v>
      </c>
      <c r="B144" s="203" t="s">
        <v>19321</v>
      </c>
      <c r="C144" s="204" t="s">
        <v>19322</v>
      </c>
      <c r="D144" s="41">
        <v>619.33333333333337</v>
      </c>
    </row>
    <row r="145" spans="1:4" ht="15.75" customHeight="1" x14ac:dyDescent="0.3">
      <c r="A145" s="199"/>
      <c r="B145" s="263" t="s">
        <v>19323</v>
      </c>
      <c r="C145" s="199"/>
      <c r="D145" s="264"/>
    </row>
    <row r="146" spans="1:4" ht="13.35" customHeight="1" x14ac:dyDescent="0.25">
      <c r="A146" s="203" t="s">
        <v>19324</v>
      </c>
      <c r="B146" s="203" t="s">
        <v>19325</v>
      </c>
      <c r="C146" s="204" t="s">
        <v>19326</v>
      </c>
      <c r="D146" s="41">
        <v>619.33333333333337</v>
      </c>
    </row>
    <row r="147" spans="1:4" ht="13.35" customHeight="1" x14ac:dyDescent="0.25">
      <c r="A147" s="203" t="s">
        <v>19327</v>
      </c>
      <c r="B147" s="203" t="s">
        <v>19328</v>
      </c>
      <c r="C147" s="204" t="s">
        <v>19329</v>
      </c>
      <c r="D147" s="41">
        <v>692.66666666666663</v>
      </c>
    </row>
    <row r="148" spans="1:4" ht="13.35" customHeight="1" x14ac:dyDescent="0.25">
      <c r="A148" s="203" t="s">
        <v>19330</v>
      </c>
      <c r="B148" s="203" t="s">
        <v>19331</v>
      </c>
      <c r="C148" s="204" t="s">
        <v>19332</v>
      </c>
      <c r="D148" s="41">
        <v>759.33333333333337</v>
      </c>
    </row>
    <row r="149" spans="1:4" ht="15.75" customHeight="1" x14ac:dyDescent="0.3">
      <c r="A149" s="199"/>
      <c r="B149" s="263" t="s">
        <v>19333</v>
      </c>
      <c r="C149" s="199"/>
      <c r="D149" s="264"/>
    </row>
    <row r="150" spans="1:4" ht="13.35" customHeight="1" x14ac:dyDescent="0.25">
      <c r="A150" s="203" t="s">
        <v>19334</v>
      </c>
      <c r="B150" s="203" t="s">
        <v>19335</v>
      </c>
      <c r="C150" s="204" t="s">
        <v>19336</v>
      </c>
      <c r="D150" s="41">
        <v>1046</v>
      </c>
    </row>
    <row r="151" spans="1:4" ht="15.75" customHeight="1" x14ac:dyDescent="0.3">
      <c r="A151" s="199"/>
      <c r="B151" s="263" t="s">
        <v>19337</v>
      </c>
      <c r="C151" s="199"/>
      <c r="D151" s="264"/>
    </row>
    <row r="152" spans="1:4" ht="13.35" customHeight="1" x14ac:dyDescent="0.25">
      <c r="A152" s="203" t="s">
        <v>19338</v>
      </c>
      <c r="B152" s="203" t="s">
        <v>19339</v>
      </c>
      <c r="C152" s="204" t="s">
        <v>19340</v>
      </c>
      <c r="D152" s="41">
        <v>366</v>
      </c>
    </row>
    <row r="153" spans="1:4" ht="13.35" customHeight="1" x14ac:dyDescent="0.25">
      <c r="A153" s="218" t="s">
        <v>19341</v>
      </c>
      <c r="B153" s="203" t="s">
        <v>19342</v>
      </c>
      <c r="C153" s="204" t="s">
        <v>19343</v>
      </c>
      <c r="D153" s="41">
        <v>379.33333333333331</v>
      </c>
    </row>
    <row r="154" spans="1:4" ht="13.35" customHeight="1" x14ac:dyDescent="0.25">
      <c r="A154" s="218" t="s">
        <v>19344</v>
      </c>
      <c r="B154" s="203" t="s">
        <v>19345</v>
      </c>
      <c r="C154" s="204" t="s">
        <v>19346</v>
      </c>
      <c r="D154" s="41">
        <v>366</v>
      </c>
    </row>
    <row r="155" spans="1:4" ht="13.2" customHeight="1" x14ac:dyDescent="0.25">
      <c r="A155" s="203" t="s">
        <v>19347</v>
      </c>
      <c r="B155" s="203" t="s">
        <v>19348</v>
      </c>
      <c r="C155" s="204" t="s">
        <v>19349</v>
      </c>
      <c r="D155" s="41">
        <v>452.66666666666669</v>
      </c>
    </row>
    <row r="156" spans="1:4" ht="13.35" customHeight="1" x14ac:dyDescent="0.25">
      <c r="A156" s="203" t="s">
        <v>19350</v>
      </c>
      <c r="B156" s="203" t="s">
        <v>19351</v>
      </c>
      <c r="C156" s="204" t="s">
        <v>19352</v>
      </c>
      <c r="D156" s="41">
        <v>466</v>
      </c>
    </row>
    <row r="157" spans="1:4" ht="13.35" customHeight="1" x14ac:dyDescent="0.25">
      <c r="A157" s="203" t="s">
        <v>19353</v>
      </c>
      <c r="B157" s="203" t="s">
        <v>19354</v>
      </c>
      <c r="C157" s="204" t="s">
        <v>19355</v>
      </c>
      <c r="D157" s="41">
        <v>539.33333333333337</v>
      </c>
    </row>
    <row r="158" spans="1:4" ht="15.75" customHeight="1" x14ac:dyDescent="0.3">
      <c r="A158" s="199"/>
      <c r="B158" s="263" t="s">
        <v>19356</v>
      </c>
      <c r="C158" s="199"/>
      <c r="D158" s="264"/>
    </row>
    <row r="159" spans="1:4" ht="13.35" customHeight="1" x14ac:dyDescent="0.25">
      <c r="A159" s="203" t="s">
        <v>19357</v>
      </c>
      <c r="B159" s="203" t="s">
        <v>19358</v>
      </c>
      <c r="C159" s="204" t="s">
        <v>19359</v>
      </c>
      <c r="D159" s="41">
        <v>572.66666666666663</v>
      </c>
    </row>
    <row r="160" spans="1:4" ht="15.75" customHeight="1" x14ac:dyDescent="0.3">
      <c r="A160" s="267"/>
      <c r="B160" s="268" t="s">
        <v>19360</v>
      </c>
      <c r="C160" s="267"/>
      <c r="D160" s="261"/>
    </row>
    <row r="161" spans="1:4" ht="15.75" customHeight="1" x14ac:dyDescent="0.3">
      <c r="A161" s="199"/>
      <c r="B161" s="263" t="s">
        <v>19361</v>
      </c>
      <c r="C161" s="201"/>
      <c r="D161" s="264"/>
    </row>
    <row r="162" spans="1:4" ht="13.35" customHeight="1" x14ac:dyDescent="0.25">
      <c r="A162" s="203" t="s">
        <v>19362</v>
      </c>
      <c r="B162" s="203" t="s">
        <v>19363</v>
      </c>
      <c r="C162" s="204" t="s">
        <v>19364</v>
      </c>
      <c r="D162" s="41">
        <v>666</v>
      </c>
    </row>
    <row r="163" spans="1:4" ht="13.35" customHeight="1" x14ac:dyDescent="0.25">
      <c r="A163" s="203" t="s">
        <v>19365</v>
      </c>
      <c r="B163" s="203" t="s">
        <v>19366</v>
      </c>
      <c r="C163" s="204" t="s">
        <v>19367</v>
      </c>
      <c r="D163" s="41">
        <v>732.66666666666663</v>
      </c>
    </row>
    <row r="164" spans="1:4" ht="13.35" customHeight="1" x14ac:dyDescent="0.25">
      <c r="A164" s="203" t="s">
        <v>19368</v>
      </c>
      <c r="B164" s="203" t="s">
        <v>19369</v>
      </c>
      <c r="C164" s="204" t="s">
        <v>19370</v>
      </c>
      <c r="D164" s="41">
        <v>812.66666666666663</v>
      </c>
    </row>
    <row r="165" spans="1:4" ht="15.75" customHeight="1" x14ac:dyDescent="0.3">
      <c r="A165" s="199"/>
      <c r="B165" s="263" t="s">
        <v>19371</v>
      </c>
      <c r="C165" s="201"/>
      <c r="D165" s="264"/>
    </row>
    <row r="166" spans="1:4" ht="13.35" customHeight="1" x14ac:dyDescent="0.25">
      <c r="A166" s="203" t="s">
        <v>19372</v>
      </c>
      <c r="B166" s="203" t="s">
        <v>19373</v>
      </c>
      <c r="C166" s="204" t="s">
        <v>19374</v>
      </c>
      <c r="D166" s="41">
        <v>899.33333333333337</v>
      </c>
    </row>
    <row r="167" spans="1:4" ht="13.35" customHeight="1" x14ac:dyDescent="0.25">
      <c r="A167" s="203" t="s">
        <v>19375</v>
      </c>
      <c r="B167" s="203" t="s">
        <v>19376</v>
      </c>
      <c r="C167" s="204" t="s">
        <v>19377</v>
      </c>
      <c r="D167" s="41">
        <v>992.66666666666663</v>
      </c>
    </row>
    <row r="168" spans="1:4" ht="13.35" customHeight="1" x14ac:dyDescent="0.25">
      <c r="A168" s="203" t="s">
        <v>19378</v>
      </c>
      <c r="B168" s="203" t="s">
        <v>19379</v>
      </c>
      <c r="C168" s="204" t="s">
        <v>19380</v>
      </c>
      <c r="D168" s="41">
        <v>1079.3333333333333</v>
      </c>
    </row>
    <row r="169" spans="1:4" ht="15.75" customHeight="1" x14ac:dyDescent="0.3">
      <c r="A169" s="199"/>
      <c r="B169" s="263" t="s">
        <v>19381</v>
      </c>
      <c r="C169" s="201"/>
      <c r="D169" s="264"/>
    </row>
    <row r="170" spans="1:4" ht="13.35" customHeight="1" x14ac:dyDescent="0.25">
      <c r="A170" s="202" t="s">
        <v>19382</v>
      </c>
      <c r="B170" s="203" t="s">
        <v>19383</v>
      </c>
      <c r="C170" s="204" t="s">
        <v>19384</v>
      </c>
      <c r="D170" s="41">
        <v>266</v>
      </c>
    </row>
    <row r="171" spans="1:4" ht="13.35" customHeight="1" x14ac:dyDescent="0.25">
      <c r="A171" s="203" t="s">
        <v>19385</v>
      </c>
      <c r="B171" s="203" t="s">
        <v>19386</v>
      </c>
      <c r="C171" s="204" t="s">
        <v>19387</v>
      </c>
      <c r="D171" s="41">
        <v>732.66666666666663</v>
      </c>
    </row>
    <row r="172" spans="1:4" ht="13.35" customHeight="1" x14ac:dyDescent="0.25">
      <c r="A172" s="202" t="s">
        <v>19388</v>
      </c>
      <c r="B172" s="203" t="s">
        <v>19389</v>
      </c>
      <c r="C172" s="204" t="s">
        <v>19390</v>
      </c>
      <c r="D172" s="41">
        <v>732.66666666666663</v>
      </c>
    </row>
    <row r="173" spans="1:4" ht="13.35" customHeight="1" x14ac:dyDescent="0.25">
      <c r="A173" s="203" t="s">
        <v>19391</v>
      </c>
      <c r="B173" s="203" t="s">
        <v>19392</v>
      </c>
      <c r="C173" s="204" t="s">
        <v>19393</v>
      </c>
      <c r="D173" s="266">
        <v>906</v>
      </c>
    </row>
    <row r="174" spans="1:4" ht="13.35" customHeight="1" x14ac:dyDescent="0.25">
      <c r="A174" s="202" t="s">
        <v>19394</v>
      </c>
      <c r="B174" s="203" t="s">
        <v>19395</v>
      </c>
      <c r="C174" s="204" t="s">
        <v>19396</v>
      </c>
      <c r="D174" s="266">
        <v>906</v>
      </c>
    </row>
    <row r="175" spans="1:4" ht="13.35" customHeight="1" x14ac:dyDescent="0.25">
      <c r="A175" s="202" t="s">
        <v>19397</v>
      </c>
      <c r="B175" s="203" t="s">
        <v>19398</v>
      </c>
      <c r="C175" s="204" t="s">
        <v>19399</v>
      </c>
      <c r="D175" s="266">
        <v>906</v>
      </c>
    </row>
    <row r="176" spans="1:4" ht="13.35" customHeight="1" x14ac:dyDescent="0.25">
      <c r="A176" s="203" t="s">
        <v>19400</v>
      </c>
      <c r="B176" s="203" t="s">
        <v>19401</v>
      </c>
      <c r="C176" s="204" t="s">
        <v>19402</v>
      </c>
      <c r="D176" s="266">
        <v>1199.3333333333333</v>
      </c>
    </row>
    <row r="177" spans="1:4" ht="15.75" customHeight="1" x14ac:dyDescent="0.3">
      <c r="A177" s="199"/>
      <c r="B177" s="263" t="s">
        <v>19403</v>
      </c>
      <c r="C177" s="201"/>
      <c r="D177" s="264"/>
    </row>
    <row r="178" spans="1:4" ht="13.35" customHeight="1" x14ac:dyDescent="0.25">
      <c r="A178" s="203" t="s">
        <v>19404</v>
      </c>
      <c r="B178" s="203" t="s">
        <v>19405</v>
      </c>
      <c r="C178" s="204" t="s">
        <v>19406</v>
      </c>
      <c r="D178" s="41">
        <v>1466</v>
      </c>
    </row>
    <row r="179" spans="1:4" ht="15.75" customHeight="1" x14ac:dyDescent="0.3">
      <c r="A179" s="199"/>
      <c r="B179" s="263" t="s">
        <v>19407</v>
      </c>
      <c r="C179" s="201"/>
      <c r="D179" s="264"/>
    </row>
    <row r="180" spans="1:4" ht="13.35" customHeight="1" x14ac:dyDescent="0.25">
      <c r="A180" s="203" t="s">
        <v>19408</v>
      </c>
      <c r="B180" s="203" t="s">
        <v>19409</v>
      </c>
      <c r="C180" s="204" t="s">
        <v>19410</v>
      </c>
      <c r="D180" s="41">
        <v>1886</v>
      </c>
    </row>
    <row r="181" spans="1:4" ht="13.35" customHeight="1" x14ac:dyDescent="0.25">
      <c r="A181" s="203" t="s">
        <v>19411</v>
      </c>
      <c r="B181" s="203" t="s">
        <v>19412</v>
      </c>
      <c r="C181" s="204" t="s">
        <v>19413</v>
      </c>
      <c r="D181" s="41">
        <v>2252.6666666666665</v>
      </c>
    </row>
    <row r="182" spans="1:4" ht="13.35" customHeight="1" x14ac:dyDescent="0.25">
      <c r="A182" s="203" t="s">
        <v>19414</v>
      </c>
      <c r="B182" s="203" t="s">
        <v>19415</v>
      </c>
      <c r="C182" s="204" t="s">
        <v>19416</v>
      </c>
      <c r="D182" s="41">
        <v>2626</v>
      </c>
    </row>
    <row r="183" spans="1:4" ht="13.35" customHeight="1" x14ac:dyDescent="0.25">
      <c r="A183" s="203" t="s">
        <v>19417</v>
      </c>
      <c r="B183" s="203" t="s">
        <v>19418</v>
      </c>
      <c r="C183" s="204" t="s">
        <v>19419</v>
      </c>
      <c r="D183" s="41">
        <v>2999.3333333333335</v>
      </c>
    </row>
    <row r="184" spans="1:4" ht="15.75" customHeight="1" x14ac:dyDescent="0.3">
      <c r="A184" s="199"/>
      <c r="B184" s="199"/>
      <c r="C184" s="199"/>
      <c r="D184" s="264"/>
    </row>
    <row r="185" spans="1:4" ht="15.75" customHeight="1" x14ac:dyDescent="0.35">
      <c r="A185" s="261"/>
      <c r="B185" s="262" t="s">
        <v>19420</v>
      </c>
      <c r="C185" s="261"/>
      <c r="D185" s="261"/>
    </row>
    <row r="186" spans="1:4" ht="15.75" customHeight="1" x14ac:dyDescent="0.3">
      <c r="B186" s="263" t="s">
        <v>19421</v>
      </c>
      <c r="C186" s="192"/>
      <c r="D186" s="264"/>
    </row>
    <row r="187" spans="1:4" ht="13.35" customHeight="1" x14ac:dyDescent="0.25">
      <c r="A187" s="203" t="s">
        <v>19422</v>
      </c>
      <c r="B187" s="203" t="s">
        <v>19423</v>
      </c>
      <c r="C187" s="204" t="s">
        <v>19424</v>
      </c>
      <c r="D187" s="41">
        <v>146.66666666666666</v>
      </c>
    </row>
    <row r="188" spans="1:4" ht="13.35" customHeight="1" x14ac:dyDescent="0.25">
      <c r="A188" s="203" t="s">
        <v>19425</v>
      </c>
      <c r="B188" s="203" t="s">
        <v>19426</v>
      </c>
      <c r="C188" s="204" t="s">
        <v>19427</v>
      </c>
      <c r="D188" s="41">
        <v>166.66666666666666</v>
      </c>
    </row>
    <row r="189" spans="1:4" ht="13.35" customHeight="1" x14ac:dyDescent="0.25">
      <c r="A189" s="203" t="s">
        <v>19428</v>
      </c>
      <c r="B189" s="203" t="s">
        <v>19429</v>
      </c>
      <c r="C189" s="204" t="s">
        <v>19430</v>
      </c>
      <c r="D189" s="41">
        <v>180</v>
      </c>
    </row>
    <row r="190" spans="1:4" ht="13.35" customHeight="1" x14ac:dyDescent="0.25">
      <c r="A190" s="203" t="s">
        <v>19431</v>
      </c>
      <c r="B190" s="203" t="s">
        <v>13844</v>
      </c>
      <c r="C190" s="204" t="s">
        <v>19432</v>
      </c>
      <c r="D190" s="41">
        <v>213.33333333333334</v>
      </c>
    </row>
    <row r="191" spans="1:4" ht="13.35" customHeight="1" x14ac:dyDescent="0.25">
      <c r="A191" s="203" t="s">
        <v>19433</v>
      </c>
      <c r="B191" s="203" t="s">
        <v>13847</v>
      </c>
      <c r="C191" s="204" t="s">
        <v>19434</v>
      </c>
      <c r="D191" s="41">
        <v>226.66666666666666</v>
      </c>
    </row>
    <row r="192" spans="1:4" ht="13.35" customHeight="1" x14ac:dyDescent="0.25">
      <c r="A192" s="203" t="s">
        <v>19435</v>
      </c>
      <c r="B192" s="203" t="s">
        <v>19436</v>
      </c>
      <c r="C192" s="204" t="s">
        <v>19437</v>
      </c>
      <c r="D192" s="41">
        <v>233.33333333333334</v>
      </c>
    </row>
    <row r="193" spans="1:4" ht="13.35" customHeight="1" x14ac:dyDescent="0.25">
      <c r="A193" s="203" t="s">
        <v>19438</v>
      </c>
      <c r="B193" s="203" t="s">
        <v>19439</v>
      </c>
      <c r="C193" s="204" t="s">
        <v>19440</v>
      </c>
      <c r="D193" s="41">
        <v>193.33333333333334</v>
      </c>
    </row>
    <row r="194" spans="1:4" ht="13.35" customHeight="1" x14ac:dyDescent="0.25">
      <c r="A194" s="203" t="s">
        <v>19441</v>
      </c>
      <c r="B194" s="203" t="s">
        <v>19442</v>
      </c>
      <c r="C194" s="204" t="s">
        <v>19443</v>
      </c>
      <c r="D194" s="41">
        <v>200</v>
      </c>
    </row>
    <row r="195" spans="1:4" ht="13.35" customHeight="1" x14ac:dyDescent="0.25">
      <c r="A195" s="203" t="s">
        <v>19444</v>
      </c>
      <c r="B195" s="203" t="s">
        <v>19445</v>
      </c>
      <c r="C195" s="204" t="s">
        <v>19446</v>
      </c>
      <c r="D195" s="41">
        <v>206.66666666666666</v>
      </c>
    </row>
    <row r="196" spans="1:4" ht="15.75" customHeight="1" x14ac:dyDescent="0.3">
      <c r="A196" s="265"/>
      <c r="B196" s="263" t="s">
        <v>19447</v>
      </c>
      <c r="C196" s="265"/>
      <c r="D196" s="264"/>
    </row>
    <row r="197" spans="1:4" ht="13.35" customHeight="1" x14ac:dyDescent="0.25">
      <c r="A197" s="203" t="s">
        <v>19448</v>
      </c>
      <c r="B197" s="203" t="s">
        <v>595</v>
      </c>
      <c r="C197" s="204" t="s">
        <v>19449</v>
      </c>
      <c r="D197" s="41">
        <v>299.33333333333331</v>
      </c>
    </row>
    <row r="198" spans="1:4" ht="13.35" customHeight="1" x14ac:dyDescent="0.25">
      <c r="A198" s="203" t="s">
        <v>19450</v>
      </c>
      <c r="B198" s="203" t="s">
        <v>596</v>
      </c>
      <c r="C198" s="204" t="s">
        <v>19451</v>
      </c>
      <c r="D198" s="41">
        <v>326</v>
      </c>
    </row>
    <row r="199" spans="1:4" ht="13.35" customHeight="1" x14ac:dyDescent="0.25">
      <c r="A199" s="203" t="s">
        <v>19452</v>
      </c>
      <c r="B199" s="203" t="s">
        <v>597</v>
      </c>
      <c r="C199" s="204" t="s">
        <v>19453</v>
      </c>
      <c r="D199" s="41">
        <v>352.66666666666669</v>
      </c>
    </row>
    <row r="200" spans="1:4" ht="13.35" customHeight="1" x14ac:dyDescent="0.25">
      <c r="A200" s="203" t="s">
        <v>19454</v>
      </c>
      <c r="B200" s="203" t="s">
        <v>19455</v>
      </c>
      <c r="C200" s="204" t="s">
        <v>19456</v>
      </c>
      <c r="D200" s="41">
        <v>426</v>
      </c>
    </row>
    <row r="201" spans="1:4" ht="13.35" customHeight="1" x14ac:dyDescent="0.25">
      <c r="A201" s="203" t="s">
        <v>19457</v>
      </c>
      <c r="B201" s="203" t="s">
        <v>19458</v>
      </c>
      <c r="C201" s="204" t="s">
        <v>19459</v>
      </c>
      <c r="D201" s="41">
        <v>346</v>
      </c>
    </row>
    <row r="202" spans="1:4" ht="13.35" customHeight="1" x14ac:dyDescent="0.25">
      <c r="A202" s="203" t="s">
        <v>19460</v>
      </c>
      <c r="B202" s="203" t="s">
        <v>19461</v>
      </c>
      <c r="C202" s="204" t="s">
        <v>19462</v>
      </c>
      <c r="D202" s="41">
        <v>352.66666666666669</v>
      </c>
    </row>
    <row r="203" spans="1:4" ht="13.35" customHeight="1" x14ac:dyDescent="0.25">
      <c r="A203" s="203" t="s">
        <v>19463</v>
      </c>
      <c r="B203" s="203" t="s">
        <v>19464</v>
      </c>
      <c r="C203" s="204" t="s">
        <v>19465</v>
      </c>
      <c r="D203" s="41">
        <v>366</v>
      </c>
    </row>
    <row r="204" spans="1:4" ht="13.35" customHeight="1" x14ac:dyDescent="0.25">
      <c r="A204" s="203" t="s">
        <v>19466</v>
      </c>
      <c r="B204" s="203" t="s">
        <v>19467</v>
      </c>
      <c r="C204" s="204" t="s">
        <v>19468</v>
      </c>
      <c r="D204" s="41">
        <v>446</v>
      </c>
    </row>
    <row r="205" spans="1:4" ht="13.35" customHeight="1" x14ac:dyDescent="0.25">
      <c r="A205" s="203" t="s">
        <v>19469</v>
      </c>
      <c r="B205" s="203" t="s">
        <v>19470</v>
      </c>
      <c r="C205" s="204" t="s">
        <v>19471</v>
      </c>
      <c r="D205" s="41">
        <v>326</v>
      </c>
    </row>
    <row r="206" spans="1:4" ht="13.35" customHeight="1" x14ac:dyDescent="0.25">
      <c r="A206" s="203" t="s">
        <v>19472</v>
      </c>
      <c r="B206" s="203" t="s">
        <v>19473</v>
      </c>
      <c r="C206" s="204" t="s">
        <v>19474</v>
      </c>
      <c r="D206" s="41">
        <v>432.66666666666669</v>
      </c>
    </row>
    <row r="207" spans="1:4" ht="13.35" customHeight="1" x14ac:dyDescent="0.25">
      <c r="A207" s="202" t="s">
        <v>19475</v>
      </c>
      <c r="B207" s="203" t="s">
        <v>19476</v>
      </c>
      <c r="C207" s="204" t="s">
        <v>19477</v>
      </c>
      <c r="D207" s="41">
        <v>439.33333333333331</v>
      </c>
    </row>
    <row r="208" spans="1:4" ht="13.35" customHeight="1" x14ac:dyDescent="0.25">
      <c r="A208" s="203" t="s">
        <v>19478</v>
      </c>
      <c r="B208" s="203" t="s">
        <v>19479</v>
      </c>
      <c r="C208" s="204" t="s">
        <v>19480</v>
      </c>
      <c r="D208" s="41">
        <v>459.33333333333331</v>
      </c>
    </row>
    <row r="209" spans="1:4" ht="13.35" customHeight="1" x14ac:dyDescent="0.25">
      <c r="A209" s="203" t="s">
        <v>19481</v>
      </c>
      <c r="B209" s="203" t="s">
        <v>19482</v>
      </c>
      <c r="C209" s="204" t="s">
        <v>19483</v>
      </c>
      <c r="D209" s="41">
        <v>492.66666666666669</v>
      </c>
    </row>
    <row r="210" spans="1:4" ht="13.35" customHeight="1" x14ac:dyDescent="0.25">
      <c r="A210" s="203" t="s">
        <v>19484</v>
      </c>
      <c r="B210" s="203" t="s">
        <v>19485</v>
      </c>
      <c r="C210" s="204" t="s">
        <v>19486</v>
      </c>
      <c r="D210" s="41">
        <v>532.66666666666663</v>
      </c>
    </row>
    <row r="211" spans="1:4" ht="15.75" customHeight="1" x14ac:dyDescent="0.3">
      <c r="C211" s="192"/>
      <c r="D211" s="264"/>
    </row>
    <row r="212" spans="1:4" ht="15.75" customHeight="1" x14ac:dyDescent="0.35">
      <c r="A212" s="261"/>
      <c r="B212" s="262" t="s">
        <v>19487</v>
      </c>
      <c r="C212" s="261"/>
      <c r="D212" s="261"/>
    </row>
    <row r="213" spans="1:4" ht="15.75" customHeight="1" x14ac:dyDescent="0.3">
      <c r="A213" s="261"/>
      <c r="B213" s="271" t="s">
        <v>19488</v>
      </c>
      <c r="C213" s="261"/>
      <c r="D213" s="261"/>
    </row>
    <row r="214" spans="1:4" ht="13.35" customHeight="1" x14ac:dyDescent="0.25">
      <c r="A214" s="203" t="s">
        <v>19489</v>
      </c>
      <c r="B214" s="203" t="s">
        <v>19490</v>
      </c>
      <c r="C214" s="204" t="s">
        <v>19491</v>
      </c>
      <c r="D214" s="41">
        <v>46</v>
      </c>
    </row>
    <row r="215" spans="1:4" ht="13.35" customHeight="1" x14ac:dyDescent="0.25">
      <c r="A215" s="203" t="s">
        <v>19492</v>
      </c>
      <c r="B215" s="203" t="s">
        <v>19493</v>
      </c>
      <c r="C215" s="204" t="s">
        <v>19494</v>
      </c>
      <c r="D215" s="41">
        <v>52.666666666666664</v>
      </c>
    </row>
    <row r="216" spans="1:4" ht="13.35" customHeight="1" x14ac:dyDescent="0.25">
      <c r="A216" s="203" t="s">
        <v>19495</v>
      </c>
      <c r="B216" s="203" t="s">
        <v>19496</v>
      </c>
      <c r="C216" s="204" t="s">
        <v>19497</v>
      </c>
      <c r="D216" s="41">
        <v>59.333333333333336</v>
      </c>
    </row>
    <row r="217" spans="1:4" ht="13.35" customHeight="1" x14ac:dyDescent="0.25">
      <c r="A217" s="203" t="s">
        <v>19498</v>
      </c>
      <c r="B217" s="203" t="s">
        <v>19499</v>
      </c>
      <c r="C217" s="204" t="s">
        <v>19500</v>
      </c>
      <c r="D217" s="41">
        <v>66</v>
      </c>
    </row>
    <row r="218" spans="1:4" ht="13.35" customHeight="1" x14ac:dyDescent="0.25">
      <c r="A218" s="270" t="s">
        <v>19501</v>
      </c>
      <c r="B218" s="203" t="s">
        <v>19502</v>
      </c>
      <c r="C218" s="204" t="s">
        <v>19503</v>
      </c>
      <c r="D218" s="41">
        <v>72.666666666666671</v>
      </c>
    </row>
    <row r="219" spans="1:4" ht="13.35" customHeight="1" x14ac:dyDescent="0.25">
      <c r="A219" s="202" t="s">
        <v>459</v>
      </c>
      <c r="B219" s="203" t="s">
        <v>19504</v>
      </c>
      <c r="C219" s="204" t="s">
        <v>3919</v>
      </c>
      <c r="D219" s="41">
        <v>70</v>
      </c>
    </row>
    <row r="220" spans="1:4" ht="13.35" customHeight="1" x14ac:dyDescent="0.25">
      <c r="A220" s="203" t="s">
        <v>19505</v>
      </c>
      <c r="B220" s="203" t="s">
        <v>19506</v>
      </c>
      <c r="C220" s="204" t="s">
        <v>19507</v>
      </c>
      <c r="D220" s="41">
        <v>72.666666666666671</v>
      </c>
    </row>
    <row r="221" spans="1:4" ht="13.35" customHeight="1" x14ac:dyDescent="0.25">
      <c r="A221" s="202" t="s">
        <v>19508</v>
      </c>
      <c r="B221" s="203" t="s">
        <v>19509</v>
      </c>
      <c r="C221" s="204" t="s">
        <v>19510</v>
      </c>
      <c r="D221" s="41">
        <v>70</v>
      </c>
    </row>
    <row r="222" spans="1:4" ht="13.35" customHeight="1" x14ac:dyDescent="0.25">
      <c r="A222" s="203" t="s">
        <v>19511</v>
      </c>
      <c r="B222" s="203" t="s">
        <v>19512</v>
      </c>
      <c r="C222" s="204" t="s">
        <v>19513</v>
      </c>
      <c r="D222" s="41">
        <v>86</v>
      </c>
    </row>
    <row r="223" spans="1:4" ht="13.35" customHeight="1" x14ac:dyDescent="0.25">
      <c r="A223" s="203" t="s">
        <v>19514</v>
      </c>
      <c r="B223" s="203" t="s">
        <v>19515</v>
      </c>
      <c r="C223" s="204" t="s">
        <v>19516</v>
      </c>
      <c r="D223" s="41">
        <v>86</v>
      </c>
    </row>
    <row r="224" spans="1:4" ht="13.35" customHeight="1" x14ac:dyDescent="0.25">
      <c r="A224" s="202" t="s">
        <v>111</v>
      </c>
      <c r="B224" s="203" t="s">
        <v>19517</v>
      </c>
      <c r="C224" s="204" t="s">
        <v>3927</v>
      </c>
      <c r="D224" s="41">
        <v>86</v>
      </c>
    </row>
    <row r="225" spans="1:4" ht="13.35" customHeight="1" x14ac:dyDescent="0.25">
      <c r="A225" s="203" t="s">
        <v>19518</v>
      </c>
      <c r="B225" s="203" t="s">
        <v>19519</v>
      </c>
      <c r="C225" s="204" t="s">
        <v>19520</v>
      </c>
      <c r="D225" s="41">
        <v>46</v>
      </c>
    </row>
    <row r="226" spans="1:4" ht="13.35" customHeight="1" x14ac:dyDescent="0.25">
      <c r="A226" s="203" t="s">
        <v>19521</v>
      </c>
      <c r="B226" s="203" t="s">
        <v>19522</v>
      </c>
      <c r="C226" s="204" t="s">
        <v>19523</v>
      </c>
      <c r="D226" s="41">
        <v>52.666666666666664</v>
      </c>
    </row>
    <row r="227" spans="1:4" ht="13.35" customHeight="1" x14ac:dyDescent="0.25">
      <c r="A227" s="203" t="s">
        <v>19524</v>
      </c>
      <c r="B227" s="203" t="s">
        <v>19525</v>
      </c>
      <c r="C227" s="204" t="s">
        <v>19526</v>
      </c>
      <c r="D227" s="41">
        <v>66</v>
      </c>
    </row>
    <row r="228" spans="1:4" ht="13.35" customHeight="1" x14ac:dyDescent="0.25">
      <c r="A228" s="203" t="s">
        <v>19527</v>
      </c>
      <c r="B228" s="203" t="s">
        <v>19528</v>
      </c>
      <c r="C228" s="204" t="s">
        <v>19529</v>
      </c>
      <c r="D228" s="41">
        <v>79.333333333333329</v>
      </c>
    </row>
    <row r="229" spans="1:4" ht="13.35" customHeight="1" x14ac:dyDescent="0.25">
      <c r="A229" s="202" t="s">
        <v>19530</v>
      </c>
      <c r="B229" s="203" t="s">
        <v>19531</v>
      </c>
      <c r="C229" s="204" t="s">
        <v>19532</v>
      </c>
      <c r="D229" s="41">
        <v>76.666666666666671</v>
      </c>
    </row>
    <row r="230" spans="1:4" ht="13.35" customHeight="1" x14ac:dyDescent="0.25">
      <c r="A230" s="203" t="s">
        <v>19533</v>
      </c>
      <c r="B230" s="203" t="s">
        <v>19534</v>
      </c>
      <c r="C230" s="204" t="s">
        <v>19535</v>
      </c>
      <c r="D230" s="41">
        <v>86</v>
      </c>
    </row>
    <row r="231" spans="1:4" ht="15.75" customHeight="1" x14ac:dyDescent="0.3">
      <c r="A231" s="261"/>
      <c r="B231" s="271" t="s">
        <v>19536</v>
      </c>
      <c r="C231" s="261"/>
      <c r="D231" s="261"/>
    </row>
    <row r="232" spans="1:4" ht="13.35" customHeight="1" x14ac:dyDescent="0.25">
      <c r="A232" s="203" t="s">
        <v>19537</v>
      </c>
      <c r="B232" s="203" t="s">
        <v>557</v>
      </c>
      <c r="C232" s="204" t="s">
        <v>19538</v>
      </c>
      <c r="D232" s="41">
        <v>23.333333333333332</v>
      </c>
    </row>
    <row r="233" spans="1:4" ht="13.35" customHeight="1" x14ac:dyDescent="0.25">
      <c r="A233" s="203" t="s">
        <v>297</v>
      </c>
      <c r="B233" s="203" t="s">
        <v>558</v>
      </c>
      <c r="C233" s="204" t="s">
        <v>322</v>
      </c>
      <c r="D233" s="41">
        <v>23.333333333333332</v>
      </c>
    </row>
    <row r="234" spans="1:4" ht="13.35" customHeight="1" x14ac:dyDescent="0.25">
      <c r="A234" s="203" t="s">
        <v>19539</v>
      </c>
      <c r="B234" s="203" t="s">
        <v>19540</v>
      </c>
      <c r="C234" s="204" t="s">
        <v>19541</v>
      </c>
      <c r="D234" s="41">
        <v>23.333333333333332</v>
      </c>
    </row>
    <row r="235" spans="1:4" ht="13.35" customHeight="1" x14ac:dyDescent="0.25">
      <c r="A235" s="203" t="s">
        <v>482</v>
      </c>
      <c r="B235" s="203" t="s">
        <v>483</v>
      </c>
      <c r="C235" s="204" t="s">
        <v>3850</v>
      </c>
      <c r="D235" s="41">
        <v>52.666666666666664</v>
      </c>
    </row>
    <row r="236" spans="1:4" ht="13.35" customHeight="1" x14ac:dyDescent="0.25">
      <c r="A236" s="203" t="s">
        <v>484</v>
      </c>
      <c r="B236" s="203" t="s">
        <v>485</v>
      </c>
      <c r="C236" s="204" t="s">
        <v>3854</v>
      </c>
      <c r="D236" s="41">
        <v>73.333333333333329</v>
      </c>
    </row>
    <row r="237" spans="1:4" ht="13.35" customHeight="1" x14ac:dyDescent="0.25">
      <c r="A237" s="203" t="s">
        <v>19542</v>
      </c>
      <c r="B237" s="203" t="s">
        <v>19543</v>
      </c>
      <c r="C237" s="204" t="s">
        <v>19544</v>
      </c>
      <c r="D237" s="41">
        <v>73.333333333333329</v>
      </c>
    </row>
    <row r="238" spans="1:4" ht="13.35" customHeight="1" x14ac:dyDescent="0.25">
      <c r="A238" s="203" t="s">
        <v>19545</v>
      </c>
      <c r="B238" s="203" t="s">
        <v>487</v>
      </c>
      <c r="C238" s="204" t="s">
        <v>19546</v>
      </c>
      <c r="D238" s="41">
        <v>73.333333333333329</v>
      </c>
    </row>
    <row r="239" spans="1:4" ht="15.75" customHeight="1" x14ac:dyDescent="0.3">
      <c r="A239" s="261"/>
      <c r="B239" s="271" t="s">
        <v>14007</v>
      </c>
      <c r="C239" s="261"/>
      <c r="D239" s="261"/>
    </row>
    <row r="240" spans="1:4" ht="13.35" customHeight="1" x14ac:dyDescent="0.25">
      <c r="A240" s="203" t="s">
        <v>14008</v>
      </c>
      <c r="B240" s="203" t="s">
        <v>14009</v>
      </c>
      <c r="C240" s="204" t="s">
        <v>14010</v>
      </c>
      <c r="D240" s="41">
        <v>199.33333333333334</v>
      </c>
    </row>
    <row r="241" spans="1:4" ht="13.35" customHeight="1" x14ac:dyDescent="0.25">
      <c r="A241" s="203" t="s">
        <v>14011</v>
      </c>
      <c r="B241" s="203" t="s">
        <v>14012</v>
      </c>
      <c r="C241" s="204" t="s">
        <v>14013</v>
      </c>
      <c r="D241" s="41">
        <v>232.66666666666666</v>
      </c>
    </row>
    <row r="242" spans="1:4" ht="13.35" customHeight="1" x14ac:dyDescent="0.25">
      <c r="A242" s="203" t="s">
        <v>14014</v>
      </c>
      <c r="B242" s="203" t="s">
        <v>14015</v>
      </c>
      <c r="C242" s="204" t="s">
        <v>14016</v>
      </c>
      <c r="D242" s="41">
        <v>366</v>
      </c>
    </row>
    <row r="243" spans="1:4" ht="15.75" customHeight="1" x14ac:dyDescent="0.3">
      <c r="A243" s="261"/>
      <c r="B243" s="271" t="s">
        <v>19547</v>
      </c>
      <c r="C243" s="261"/>
      <c r="D243" s="261"/>
    </row>
    <row r="244" spans="1:4" ht="13.35" customHeight="1" x14ac:dyDescent="0.25">
      <c r="A244" s="202" t="s">
        <v>19548</v>
      </c>
      <c r="B244" s="203" t="s">
        <v>19549</v>
      </c>
      <c r="C244" s="204" t="s">
        <v>19550</v>
      </c>
      <c r="D244" s="41">
        <v>152.66666666666666</v>
      </c>
    </row>
    <row r="245" spans="1:4" ht="13.35" customHeight="1" x14ac:dyDescent="0.25">
      <c r="A245" s="202" t="s">
        <v>19551</v>
      </c>
      <c r="B245" s="203" t="s">
        <v>19552</v>
      </c>
      <c r="C245" s="204" t="s">
        <v>19553</v>
      </c>
      <c r="D245" s="41">
        <v>332.66666666666669</v>
      </c>
    </row>
    <row r="246" spans="1:4" ht="15.75" customHeight="1" x14ac:dyDescent="0.3">
      <c r="A246" s="261"/>
      <c r="B246" s="271" t="s">
        <v>19554</v>
      </c>
      <c r="C246" s="261"/>
      <c r="D246" s="261"/>
    </row>
    <row r="247" spans="1:4" ht="13.35" customHeight="1" x14ac:dyDescent="0.25">
      <c r="A247" s="202" t="s">
        <v>19555</v>
      </c>
      <c r="B247" s="203" t="s">
        <v>19556</v>
      </c>
      <c r="C247" s="204" t="s">
        <v>19557</v>
      </c>
      <c r="D247" s="41">
        <v>706.66666666666663</v>
      </c>
    </row>
    <row r="248" spans="1:4" ht="13.35" customHeight="1" x14ac:dyDescent="0.25">
      <c r="A248" s="203" t="s">
        <v>19558</v>
      </c>
      <c r="B248" s="203" t="s">
        <v>13314</v>
      </c>
      <c r="C248" s="204" t="s">
        <v>19559</v>
      </c>
      <c r="D248" s="41">
        <v>36.666666666666664</v>
      </c>
    </row>
    <row r="249" spans="1:4" ht="13.35" customHeight="1" x14ac:dyDescent="0.25">
      <c r="A249" s="203" t="s">
        <v>19560</v>
      </c>
      <c r="B249" s="203" t="s">
        <v>19561</v>
      </c>
      <c r="C249" s="204" t="s">
        <v>19562</v>
      </c>
      <c r="D249" s="41">
        <v>106</v>
      </c>
    </row>
    <row r="250" spans="1:4" ht="13.35" customHeight="1" x14ac:dyDescent="0.25">
      <c r="A250" s="203" t="s">
        <v>19563</v>
      </c>
      <c r="B250" s="203" t="s">
        <v>19564</v>
      </c>
      <c r="C250" s="204" t="s">
        <v>19565</v>
      </c>
      <c r="D250" s="41">
        <v>132.66666666666666</v>
      </c>
    </row>
    <row r="251" spans="1:4" ht="13.35" customHeight="1" x14ac:dyDescent="0.25">
      <c r="A251" s="203" t="s">
        <v>19566</v>
      </c>
      <c r="B251" s="203" t="s">
        <v>19567</v>
      </c>
      <c r="C251" s="204" t="s">
        <v>19568</v>
      </c>
      <c r="D251" s="41">
        <v>332.66666666666669</v>
      </c>
    </row>
    <row r="252" spans="1:4" ht="13.35" customHeight="1" x14ac:dyDescent="0.25">
      <c r="A252" s="218" t="s">
        <v>13993</v>
      </c>
      <c r="B252" s="203" t="s">
        <v>13994</v>
      </c>
      <c r="C252" s="204" t="s">
        <v>13995</v>
      </c>
      <c r="D252" s="41">
        <v>86</v>
      </c>
    </row>
    <row r="253" spans="1:4" ht="13.35" customHeight="1" x14ac:dyDescent="0.25">
      <c r="A253" s="218" t="s">
        <v>13996</v>
      </c>
      <c r="B253" s="203" t="s">
        <v>13997</v>
      </c>
      <c r="C253" s="204" t="s">
        <v>13998</v>
      </c>
      <c r="D253" s="41">
        <v>166</v>
      </c>
    </row>
    <row r="254" spans="1:4" ht="13.35" customHeight="1" x14ac:dyDescent="0.25">
      <c r="A254" s="218" t="s">
        <v>13999</v>
      </c>
      <c r="B254" s="203" t="s">
        <v>14000</v>
      </c>
      <c r="C254" s="204" t="s">
        <v>14001</v>
      </c>
      <c r="D254" s="41">
        <v>39.333333333333336</v>
      </c>
    </row>
    <row r="255" spans="1:4" ht="13.35" customHeight="1" x14ac:dyDescent="0.25">
      <c r="A255" s="210" t="s">
        <v>19569</v>
      </c>
      <c r="B255" s="203" t="s">
        <v>19570</v>
      </c>
      <c r="C255" s="204" t="s">
        <v>19571</v>
      </c>
      <c r="D255" s="41">
        <v>246</v>
      </c>
    </row>
    <row r="256" spans="1:4" ht="13.35" customHeight="1" x14ac:dyDescent="0.25">
      <c r="A256" s="210" t="s">
        <v>19572</v>
      </c>
      <c r="B256" s="203" t="s">
        <v>19573</v>
      </c>
      <c r="C256" s="204" t="s">
        <v>19574</v>
      </c>
      <c r="D256" s="41">
        <v>299.33333333333331</v>
      </c>
    </row>
    <row r="257" spans="1:4" ht="13.35" customHeight="1" x14ac:dyDescent="0.25">
      <c r="A257" s="210" t="s">
        <v>19575</v>
      </c>
      <c r="B257" s="203" t="s">
        <v>19576</v>
      </c>
      <c r="C257" s="204" t="s">
        <v>19577</v>
      </c>
      <c r="D257" s="41">
        <v>66</v>
      </c>
    </row>
    <row r="258" spans="1:4" ht="13.35" customHeight="1" x14ac:dyDescent="0.25">
      <c r="A258" s="199"/>
      <c r="B258" s="199"/>
      <c r="C258" s="201"/>
      <c r="D258" s="42"/>
    </row>
    <row r="259" spans="1:4" ht="15.75" customHeight="1" x14ac:dyDescent="0.3">
      <c r="A259" s="199"/>
      <c r="B259" s="263"/>
      <c r="C259" s="201"/>
      <c r="D259" s="264"/>
    </row>
    <row r="260" spans="1:4" x14ac:dyDescent="0.25">
      <c r="A260" s="210"/>
      <c r="B260" s="199" t="s">
        <v>14419</v>
      </c>
      <c r="C260" s="192"/>
    </row>
    <row r="261" spans="1:4" x14ac:dyDescent="0.25">
      <c r="A261" s="202"/>
      <c r="B261" s="199" t="s">
        <v>14247</v>
      </c>
    </row>
    <row r="262" spans="1:4" x14ac:dyDescent="0.25">
      <c r="A262" s="218"/>
      <c r="B262" s="199" t="s">
        <v>13958</v>
      </c>
      <c r="C262" s="192"/>
    </row>
    <row r="263" spans="1:4" x14ac:dyDescent="0.25">
      <c r="A263" s="266"/>
      <c r="B263" s="199" t="s">
        <v>19578</v>
      </c>
      <c r="C263" s="192"/>
    </row>
    <row r="264" spans="1:4" x14ac:dyDescent="0.25">
      <c r="A264" s="174"/>
      <c r="B264" s="174"/>
      <c r="C264" s="213"/>
    </row>
    <row r="265" spans="1:4" ht="13.8" x14ac:dyDescent="0.3">
      <c r="A265" s="274" t="s">
        <v>14003</v>
      </c>
      <c r="B265" s="274"/>
      <c r="C265" s="274"/>
      <c r="D265" s="274"/>
    </row>
    <row r="266" spans="1:4" ht="13.8" x14ac:dyDescent="0.3">
      <c r="A266" s="274" t="s">
        <v>14004</v>
      </c>
      <c r="B266" s="274"/>
      <c r="C266" s="274"/>
      <c r="D266" s="274"/>
    </row>
    <row r="267" spans="1:4" ht="13.8" x14ac:dyDescent="0.3">
      <c r="A267" s="273" t="s">
        <v>14005</v>
      </c>
      <c r="B267" s="273"/>
      <c r="C267" s="273"/>
      <c r="D267" s="273"/>
    </row>
    <row r="269" spans="1:4" x14ac:dyDescent="0.25">
      <c r="A269" s="180"/>
      <c r="B269" s="180"/>
      <c r="C269" s="180"/>
      <c r="D269" s="180"/>
    </row>
  </sheetData>
  <mergeCells count="3">
    <mergeCell ref="A265:D265"/>
    <mergeCell ref="A266:D266"/>
    <mergeCell ref="A267:D267"/>
  </mergeCells>
  <conditionalFormatting sqref="C7:C17">
    <cfRule type="duplicateValues" dxfId="62" priority="27"/>
  </conditionalFormatting>
  <conditionalFormatting sqref="C44">
    <cfRule type="duplicateValues" dxfId="61" priority="11"/>
  </conditionalFormatting>
  <conditionalFormatting sqref="C64">
    <cfRule type="duplicateValues" dxfId="60" priority="20"/>
  </conditionalFormatting>
  <conditionalFormatting sqref="C100">
    <cfRule type="duplicateValues" dxfId="59" priority="10"/>
  </conditionalFormatting>
  <conditionalFormatting sqref="C111">
    <cfRule type="duplicateValues" dxfId="58" priority="7"/>
  </conditionalFormatting>
  <conditionalFormatting sqref="C112">
    <cfRule type="duplicateValues" dxfId="57" priority="6"/>
  </conditionalFormatting>
  <conditionalFormatting sqref="C117">
    <cfRule type="duplicateValues" dxfId="56" priority="5"/>
  </conditionalFormatting>
  <conditionalFormatting sqref="C120:C121">
    <cfRule type="duplicateValues" dxfId="55" priority="19"/>
  </conditionalFormatting>
  <conditionalFormatting sqref="C151">
    <cfRule type="duplicateValues" dxfId="54" priority="8"/>
  </conditionalFormatting>
  <conditionalFormatting sqref="C158">
    <cfRule type="duplicateValues" dxfId="53" priority="18"/>
  </conditionalFormatting>
  <conditionalFormatting sqref="C160">
    <cfRule type="duplicateValues" dxfId="52" priority="17"/>
  </conditionalFormatting>
  <conditionalFormatting sqref="C165">
    <cfRule type="duplicateValues" dxfId="51" priority="15"/>
  </conditionalFormatting>
  <conditionalFormatting sqref="C169">
    <cfRule type="duplicateValues" dxfId="50" priority="9"/>
  </conditionalFormatting>
  <conditionalFormatting sqref="C177">
    <cfRule type="duplicateValues" dxfId="49" priority="16"/>
  </conditionalFormatting>
  <conditionalFormatting sqref="C179">
    <cfRule type="duplicateValues" dxfId="48" priority="4"/>
  </conditionalFormatting>
  <conditionalFormatting sqref="C185">
    <cfRule type="duplicateValues" dxfId="47" priority="14"/>
  </conditionalFormatting>
  <conditionalFormatting sqref="C211 C88 C32 C36 C52 C92 C108 C184 C186 C196 C97 C41 C65 C81 C122 C133 C149 C161 C25 C137 C141 C145">
    <cfRule type="duplicateValues" dxfId="46" priority="22"/>
  </conditionalFormatting>
  <conditionalFormatting sqref="C212">
    <cfRule type="duplicateValues" dxfId="45" priority="21"/>
  </conditionalFormatting>
  <conditionalFormatting sqref="C213">
    <cfRule type="duplicateValues" dxfId="44" priority="13"/>
  </conditionalFormatting>
  <conditionalFormatting sqref="C231">
    <cfRule type="duplicateValues" dxfId="43" priority="12"/>
  </conditionalFormatting>
  <conditionalFormatting sqref="C239">
    <cfRule type="duplicateValues" dxfId="42" priority="1"/>
  </conditionalFormatting>
  <conditionalFormatting sqref="C243">
    <cfRule type="duplicateValues" dxfId="41" priority="2"/>
  </conditionalFormatting>
  <conditionalFormatting sqref="C244:C245 C232:C238 C214:C230 C197:C210 C187:C195 C180:C183 C178 C170:C176 C166:C168 C162:C164 C159 C150 C146:C148 C138:C140 C134:C136 C118 C113:C116 C109 C98:C99 C93:C96 C82:C87 C77:C80 C61:C62 C59 C53:C57 C42:C43 C26:C31 C19:C24 C240:C242 C247:C258 C37:C40 C33:C35 C45:C51 C66:C75 C89:C91 C101:C107 C123:C132 C142:C144 C152:C157">
    <cfRule type="duplicateValues" dxfId="40" priority="26"/>
  </conditionalFormatting>
  <conditionalFormatting sqref="C246">
    <cfRule type="duplicateValues" dxfId="39" priority="3"/>
  </conditionalFormatting>
  <conditionalFormatting sqref="C264 C1 C18 C5:C6 C259 C270:C1048576">
    <cfRule type="duplicateValues" dxfId="38" priority="25"/>
  </conditionalFormatting>
  <conditionalFormatting sqref="D6">
    <cfRule type="cellIs" dxfId="37" priority="24" operator="greaterThan">
      <formula>#REF!</formula>
    </cfRule>
  </conditionalFormatting>
  <conditionalFormatting sqref="D18 D25 D32 D36 D41 D44 D52 D58 D60 D63 D65 D76 D81 D88 D92 D97 D100 D108 D110 D112 D117 D119 D122 D133 D137 D141 D145 D149 D151 D158 D161 D165 D169 D177 D179 D184 D186 D196 D211 D259">
    <cfRule type="cellIs" dxfId="36" priority="23" operator="greaterThan">
      <formula>#REF!</formula>
    </cfRule>
  </conditionalFormatting>
  <conditionalFormatting sqref="D64">
    <cfRule type="duplicateValues" dxfId="35" priority="28"/>
  </conditionalFormatting>
  <conditionalFormatting sqref="D111">
    <cfRule type="duplicateValues" dxfId="34" priority="29"/>
  </conditionalFormatting>
  <conditionalFormatting sqref="D120:D121">
    <cfRule type="duplicateValues" dxfId="33" priority="30"/>
  </conditionalFormatting>
  <conditionalFormatting sqref="D160">
    <cfRule type="duplicateValues" dxfId="32" priority="31"/>
  </conditionalFormatting>
  <conditionalFormatting sqref="D185">
    <cfRule type="duplicateValues" dxfId="31" priority="32"/>
  </conditionalFormatting>
  <conditionalFormatting sqref="D239 D212:D213 D231 D243 D246">
    <cfRule type="duplicateValues" dxfId="30" priority="33"/>
  </conditionalFormatting>
  <pageMargins left="0.7" right="0.7" top="0.75" bottom="0.75" header="0.3" footer="0.3"/>
  <pageSetup paperSize="9" scale="64" orientation="portrait" r:id="rId1"/>
  <rowBreaks count="3" manualBreakCount="3">
    <brk id="62" max="16383" man="1"/>
    <brk id="119" max="16383" man="1"/>
    <brk id="184"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6F43D-E191-45DE-BDB5-7EAE60315F26}">
  <dimension ref="A1:AI644"/>
  <sheetViews>
    <sheetView zoomScale="130" zoomScaleNormal="130" zoomScaleSheetLayoutView="100" workbookViewId="0"/>
  </sheetViews>
  <sheetFormatPr defaultColWidth="13.6640625" defaultRowHeight="13.2" x14ac:dyDescent="0.25"/>
  <cols>
    <col min="1" max="1" width="12.44140625" customWidth="1"/>
    <col min="2" max="2" width="45" customWidth="1"/>
    <col min="3" max="3" width="15.6640625" style="6" customWidth="1"/>
    <col min="4" max="4" width="11.44140625" bestFit="1" customWidth="1"/>
  </cols>
  <sheetData>
    <row r="1" spans="1:35" s="8" customFormat="1" ht="61.95" customHeight="1" x14ac:dyDescent="0.85">
      <c r="A1" s="149" t="s">
        <v>14248</v>
      </c>
      <c r="B1" s="150"/>
      <c r="C1" s="151"/>
      <c r="D1" s="152"/>
    </row>
    <row r="2" spans="1:35" s="8" customFormat="1" ht="21" customHeight="1" x14ac:dyDescent="0.45">
      <c r="A2" s="29"/>
      <c r="B2" s="9"/>
      <c r="C2" s="24"/>
      <c r="D2" s="131"/>
    </row>
    <row r="3" spans="1:35" ht="15" customHeight="1" x14ac:dyDescent="0.25">
      <c r="A3" s="292" t="s">
        <v>14018</v>
      </c>
      <c r="B3" s="293"/>
      <c r="C3" s="294"/>
      <c r="D3" s="156" t="s">
        <v>14006</v>
      </c>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row>
    <row r="4" spans="1:35" ht="7.5" customHeight="1" x14ac:dyDescent="0.25">
      <c r="A4" s="147"/>
      <c r="B4" s="295"/>
      <c r="C4" s="296"/>
      <c r="D4" s="159"/>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row>
    <row r="5" spans="1:35" ht="13.5" hidden="1" customHeight="1" x14ac:dyDescent="0.3">
      <c r="A5" s="25"/>
      <c r="B5" s="26"/>
      <c r="C5" s="148"/>
    </row>
    <row r="6" spans="1:35" ht="13.8" x14ac:dyDescent="0.3">
      <c r="A6" s="162"/>
      <c r="B6" s="162"/>
      <c r="C6" s="164"/>
      <c r="D6" s="166" t="s">
        <v>13991</v>
      </c>
    </row>
    <row r="7" spans="1:35" ht="13.8" x14ac:dyDescent="0.3">
      <c r="A7" s="163" t="s">
        <v>119</v>
      </c>
      <c r="B7" s="163" t="s">
        <v>262</v>
      </c>
      <c r="C7" s="165" t="s">
        <v>0</v>
      </c>
      <c r="D7" s="167" t="s">
        <v>13992</v>
      </c>
    </row>
    <row r="8" spans="1:35" ht="14.4" x14ac:dyDescent="0.3">
      <c r="A8" s="297"/>
      <c r="B8" s="297" t="s">
        <v>14249</v>
      </c>
      <c r="C8" s="21"/>
    </row>
    <row r="9" spans="1:35" x14ac:dyDescent="0.25">
      <c r="A9" s="39" t="s">
        <v>14250</v>
      </c>
      <c r="B9" s="39" t="s">
        <v>14249</v>
      </c>
      <c r="C9" s="30" t="s">
        <v>14251</v>
      </c>
      <c r="D9" s="41">
        <v>666</v>
      </c>
    </row>
    <row r="10" spans="1:35" x14ac:dyDescent="0.25">
      <c r="A10" s="161" t="s">
        <v>14252</v>
      </c>
      <c r="B10" s="70" t="s">
        <v>14253</v>
      </c>
      <c r="C10" s="30" t="s">
        <v>14254</v>
      </c>
      <c r="D10" s="41">
        <v>666</v>
      </c>
    </row>
    <row r="11" spans="1:35" s="298" customFormat="1" x14ac:dyDescent="0.25">
      <c r="A11" s="39" t="s">
        <v>14255</v>
      </c>
      <c r="B11" s="39" t="s">
        <v>14256</v>
      </c>
      <c r="C11" s="30" t="s">
        <v>14257</v>
      </c>
      <c r="D11" s="41">
        <v>692</v>
      </c>
      <c r="E11"/>
      <c r="F11"/>
      <c r="G11"/>
      <c r="H11"/>
      <c r="I11"/>
      <c r="J11"/>
      <c r="K11"/>
      <c r="L11"/>
      <c r="M11"/>
      <c r="N11"/>
      <c r="O11"/>
      <c r="P11"/>
      <c r="Q11"/>
      <c r="R11"/>
      <c r="S11"/>
      <c r="T11"/>
      <c r="U11"/>
      <c r="V11"/>
      <c r="W11"/>
      <c r="X11"/>
      <c r="Y11"/>
      <c r="Z11"/>
      <c r="AA11"/>
      <c r="AB11"/>
      <c r="AC11"/>
      <c r="AD11"/>
      <c r="AE11"/>
      <c r="AF11"/>
      <c r="AG11"/>
      <c r="AH11"/>
      <c r="AI11"/>
    </row>
    <row r="12" spans="1:35" s="1" customFormat="1" x14ac:dyDescent="0.25">
      <c r="A12" s="39" t="s">
        <v>14258</v>
      </c>
      <c r="B12" s="39" t="s">
        <v>14259</v>
      </c>
      <c r="C12" s="30" t="s">
        <v>14260</v>
      </c>
      <c r="D12" s="41">
        <v>752</v>
      </c>
      <c r="E12"/>
      <c r="F12"/>
      <c r="G12"/>
      <c r="H12"/>
      <c r="I12"/>
      <c r="J12"/>
      <c r="K12"/>
      <c r="L12"/>
      <c r="M12"/>
      <c r="N12"/>
      <c r="O12"/>
      <c r="P12"/>
      <c r="Q12"/>
      <c r="R12"/>
      <c r="S12"/>
      <c r="T12"/>
      <c r="U12"/>
      <c r="V12"/>
      <c r="W12"/>
      <c r="X12"/>
      <c r="Y12"/>
      <c r="Z12"/>
      <c r="AA12"/>
      <c r="AB12"/>
      <c r="AC12"/>
      <c r="AD12"/>
      <c r="AE12"/>
      <c r="AF12"/>
      <c r="AG12"/>
      <c r="AH12"/>
      <c r="AI12"/>
    </row>
    <row r="13" spans="1:35" s="1" customFormat="1" x14ac:dyDescent="0.25">
      <c r="A13" s="39" t="s">
        <v>14261</v>
      </c>
      <c r="B13" s="39" t="s">
        <v>14262</v>
      </c>
      <c r="C13" s="30" t="s">
        <v>14263</v>
      </c>
      <c r="D13" s="41">
        <v>951.33</v>
      </c>
      <c r="E13"/>
      <c r="F13"/>
      <c r="G13"/>
      <c r="H13"/>
      <c r="I13"/>
      <c r="J13"/>
      <c r="K13"/>
      <c r="L13"/>
      <c r="M13"/>
      <c r="N13"/>
      <c r="O13"/>
      <c r="P13"/>
      <c r="Q13"/>
      <c r="R13"/>
      <c r="S13"/>
      <c r="T13"/>
      <c r="U13"/>
      <c r="V13"/>
      <c r="W13"/>
      <c r="X13"/>
      <c r="Y13"/>
      <c r="Z13"/>
      <c r="AA13"/>
      <c r="AB13"/>
      <c r="AC13"/>
      <c r="AD13"/>
      <c r="AE13"/>
      <c r="AF13"/>
      <c r="AG13"/>
      <c r="AH13"/>
      <c r="AI13"/>
    </row>
    <row r="14" spans="1:35" s="1" customFormat="1" x14ac:dyDescent="0.25">
      <c r="A14" s="39" t="s">
        <v>14264</v>
      </c>
      <c r="B14" s="39" t="s">
        <v>14265</v>
      </c>
      <c r="C14" s="30" t="s">
        <v>14266</v>
      </c>
      <c r="D14" s="41">
        <v>818</v>
      </c>
      <c r="E14"/>
      <c r="F14"/>
      <c r="G14"/>
      <c r="H14"/>
      <c r="I14"/>
      <c r="J14"/>
      <c r="K14"/>
      <c r="L14"/>
      <c r="M14"/>
      <c r="N14"/>
      <c r="O14"/>
      <c r="P14"/>
      <c r="Q14"/>
      <c r="R14"/>
      <c r="S14"/>
      <c r="T14"/>
      <c r="U14"/>
      <c r="V14"/>
      <c r="W14"/>
      <c r="X14"/>
      <c r="Y14"/>
      <c r="Z14"/>
      <c r="AA14"/>
      <c r="AB14"/>
      <c r="AC14"/>
      <c r="AD14"/>
      <c r="AE14"/>
      <c r="AF14"/>
      <c r="AG14"/>
      <c r="AH14"/>
      <c r="AI14"/>
    </row>
    <row r="15" spans="1:35" ht="14.4" x14ac:dyDescent="0.3">
      <c r="A15" s="169"/>
      <c r="B15" s="297" t="s">
        <v>14267</v>
      </c>
      <c r="C15" s="21"/>
      <c r="D15" s="21"/>
    </row>
    <row r="16" spans="1:35" x14ac:dyDescent="0.25">
      <c r="A16" s="39" t="s">
        <v>14268</v>
      </c>
      <c r="B16" s="39" t="s">
        <v>14269</v>
      </c>
      <c r="C16" s="30" t="s">
        <v>14270</v>
      </c>
      <c r="D16" s="41">
        <v>999.33</v>
      </c>
    </row>
    <row r="17" spans="1:35" x14ac:dyDescent="0.25">
      <c r="A17" s="161" t="s">
        <v>14271</v>
      </c>
      <c r="B17" s="70" t="s">
        <v>14272</v>
      </c>
      <c r="C17" s="30" t="s">
        <v>14273</v>
      </c>
      <c r="D17" s="41">
        <v>999.33</v>
      </c>
    </row>
    <row r="18" spans="1:35" x14ac:dyDescent="0.25">
      <c r="A18" s="299" t="s">
        <v>14274</v>
      </c>
      <c r="B18" s="39" t="s">
        <v>14275</v>
      </c>
      <c r="C18" s="30" t="s">
        <v>14276</v>
      </c>
      <c r="D18" s="41">
        <v>1231.33</v>
      </c>
    </row>
    <row r="19" spans="1:35" s="298" customFormat="1" x14ac:dyDescent="0.25">
      <c r="A19" s="39" t="s">
        <v>14277</v>
      </c>
      <c r="B19" s="39" t="s">
        <v>14278</v>
      </c>
      <c r="C19" s="30" t="s">
        <v>14279</v>
      </c>
      <c r="D19" s="41">
        <v>1051.33</v>
      </c>
      <c r="E19"/>
      <c r="F19"/>
      <c r="G19"/>
      <c r="H19"/>
      <c r="I19"/>
      <c r="J19"/>
      <c r="K19"/>
      <c r="L19"/>
      <c r="M19"/>
      <c r="N19"/>
      <c r="O19"/>
      <c r="P19"/>
      <c r="Q19"/>
      <c r="R19"/>
      <c r="S19"/>
      <c r="T19"/>
      <c r="U19"/>
      <c r="V19"/>
      <c r="W19"/>
      <c r="X19"/>
      <c r="Y19"/>
      <c r="Z19"/>
      <c r="AA19"/>
      <c r="AB19"/>
      <c r="AC19"/>
      <c r="AD19"/>
      <c r="AE19"/>
      <c r="AF19"/>
      <c r="AG19"/>
      <c r="AH19"/>
      <c r="AI19"/>
    </row>
    <row r="20" spans="1:35" s="1" customFormat="1" x14ac:dyDescent="0.25">
      <c r="A20" s="39" t="s">
        <v>14280</v>
      </c>
      <c r="B20" s="39" t="s">
        <v>14281</v>
      </c>
      <c r="C20" s="30" t="s">
        <v>14282</v>
      </c>
      <c r="D20" s="41">
        <v>1044.67</v>
      </c>
      <c r="E20"/>
      <c r="F20"/>
      <c r="G20"/>
      <c r="H20"/>
      <c r="I20"/>
      <c r="J20"/>
      <c r="K20"/>
      <c r="L20"/>
      <c r="M20"/>
      <c r="N20"/>
      <c r="O20"/>
      <c r="P20"/>
      <c r="Q20"/>
      <c r="R20"/>
      <c r="S20"/>
      <c r="T20"/>
      <c r="U20"/>
      <c r="V20"/>
      <c r="W20"/>
      <c r="X20"/>
      <c r="Y20"/>
      <c r="Z20"/>
      <c r="AA20"/>
      <c r="AB20"/>
      <c r="AC20"/>
      <c r="AD20"/>
      <c r="AE20"/>
      <c r="AF20"/>
      <c r="AG20"/>
      <c r="AH20"/>
      <c r="AI20"/>
    </row>
    <row r="21" spans="1:35" s="1" customFormat="1" x14ac:dyDescent="0.25">
      <c r="A21" s="39" t="s">
        <v>14283</v>
      </c>
      <c r="B21" s="39" t="s">
        <v>14284</v>
      </c>
      <c r="C21" s="30" t="s">
        <v>14285</v>
      </c>
      <c r="D21" s="41">
        <v>1091.33</v>
      </c>
      <c r="E21"/>
      <c r="F21"/>
      <c r="G21"/>
      <c r="H21"/>
      <c r="I21"/>
      <c r="J21"/>
      <c r="K21"/>
      <c r="L21"/>
      <c r="M21"/>
      <c r="N21"/>
      <c r="O21"/>
      <c r="P21"/>
      <c r="Q21"/>
      <c r="R21"/>
      <c r="S21"/>
      <c r="T21"/>
      <c r="U21"/>
      <c r="V21"/>
      <c r="W21"/>
      <c r="X21"/>
      <c r="Y21"/>
      <c r="Z21"/>
      <c r="AA21"/>
      <c r="AB21"/>
      <c r="AC21"/>
      <c r="AD21"/>
      <c r="AE21"/>
      <c r="AF21"/>
      <c r="AG21"/>
      <c r="AH21"/>
      <c r="AI21"/>
    </row>
    <row r="22" spans="1:35" s="1" customFormat="1" x14ac:dyDescent="0.25">
      <c r="A22" s="39" t="s">
        <v>14286</v>
      </c>
      <c r="B22" s="39" t="s">
        <v>14287</v>
      </c>
      <c r="C22" s="30" t="s">
        <v>14288</v>
      </c>
      <c r="D22" s="41">
        <v>1443.33</v>
      </c>
      <c r="E22"/>
      <c r="F22"/>
      <c r="G22"/>
      <c r="H22"/>
      <c r="I22"/>
      <c r="J22"/>
      <c r="K22"/>
      <c r="L22"/>
      <c r="M22"/>
      <c r="N22"/>
      <c r="O22"/>
      <c r="P22"/>
      <c r="Q22"/>
      <c r="R22"/>
      <c r="S22"/>
      <c r="T22"/>
      <c r="U22"/>
      <c r="V22"/>
      <c r="W22"/>
      <c r="X22"/>
      <c r="Y22"/>
      <c r="Z22"/>
      <c r="AA22"/>
      <c r="AB22"/>
      <c r="AC22"/>
      <c r="AD22"/>
      <c r="AE22"/>
      <c r="AF22"/>
      <c r="AG22"/>
      <c r="AH22"/>
      <c r="AI22"/>
    </row>
    <row r="23" spans="1:35" s="1" customFormat="1" x14ac:dyDescent="0.25">
      <c r="A23" s="39" t="s">
        <v>14289</v>
      </c>
      <c r="B23" s="39" t="s">
        <v>14290</v>
      </c>
      <c r="C23" s="30" t="s">
        <v>14291</v>
      </c>
      <c r="D23" s="41">
        <v>1350.67</v>
      </c>
      <c r="E23"/>
      <c r="F23"/>
      <c r="G23"/>
      <c r="H23"/>
      <c r="I23"/>
      <c r="J23"/>
      <c r="K23"/>
      <c r="L23"/>
      <c r="M23"/>
      <c r="N23"/>
      <c r="O23"/>
      <c r="P23"/>
      <c r="Q23"/>
      <c r="R23"/>
      <c r="S23"/>
      <c r="T23"/>
      <c r="U23"/>
      <c r="V23"/>
      <c r="W23"/>
      <c r="X23"/>
      <c r="Y23"/>
      <c r="Z23"/>
      <c r="AA23"/>
      <c r="AB23"/>
      <c r="AC23"/>
      <c r="AD23"/>
      <c r="AE23"/>
      <c r="AF23"/>
      <c r="AG23"/>
      <c r="AH23"/>
      <c r="AI23"/>
    </row>
    <row r="24" spans="1:35" s="1" customFormat="1" x14ac:dyDescent="0.25">
      <c r="A24" s="39" t="s">
        <v>14292</v>
      </c>
      <c r="B24" s="39" t="s">
        <v>14293</v>
      </c>
      <c r="C24" s="30" t="s">
        <v>14294</v>
      </c>
      <c r="D24" s="41">
        <v>1250</v>
      </c>
      <c r="E24"/>
      <c r="F24"/>
      <c r="G24"/>
      <c r="H24"/>
      <c r="I24"/>
      <c r="J24"/>
      <c r="K24"/>
      <c r="L24"/>
      <c r="M24"/>
      <c r="N24"/>
      <c r="O24"/>
      <c r="P24"/>
      <c r="Q24"/>
      <c r="R24"/>
      <c r="S24"/>
      <c r="T24"/>
      <c r="U24"/>
      <c r="V24"/>
      <c r="W24"/>
      <c r="X24"/>
      <c r="Y24"/>
      <c r="Z24"/>
      <c r="AA24"/>
      <c r="AB24"/>
      <c r="AC24"/>
      <c r="AD24"/>
      <c r="AE24"/>
      <c r="AF24"/>
      <c r="AG24"/>
      <c r="AH24"/>
      <c r="AI24"/>
    </row>
    <row r="25" spans="1:35" ht="14.4" x14ac:dyDescent="0.3">
      <c r="A25" s="300"/>
      <c r="B25" s="297" t="s">
        <v>14295</v>
      </c>
      <c r="C25" s="21"/>
    </row>
    <row r="26" spans="1:35" x14ac:dyDescent="0.25">
      <c r="A26" s="39" t="s">
        <v>14296</v>
      </c>
      <c r="B26" s="39" t="s">
        <v>14297</v>
      </c>
      <c r="C26" s="30" t="s">
        <v>14298</v>
      </c>
      <c r="D26" s="41">
        <v>1166</v>
      </c>
    </row>
    <row r="27" spans="1:35" s="1" customFormat="1" x14ac:dyDescent="0.25">
      <c r="A27" s="161" t="s">
        <v>14299</v>
      </c>
      <c r="B27" s="70" t="s">
        <v>14300</v>
      </c>
      <c r="C27" s="30" t="s">
        <v>14301</v>
      </c>
      <c r="D27" s="41">
        <v>1166</v>
      </c>
      <c r="E27"/>
      <c r="F27"/>
      <c r="G27"/>
      <c r="H27"/>
      <c r="I27"/>
      <c r="J27"/>
      <c r="K27"/>
      <c r="L27"/>
      <c r="M27"/>
      <c r="N27"/>
      <c r="O27"/>
      <c r="P27"/>
      <c r="Q27"/>
      <c r="R27"/>
      <c r="S27"/>
      <c r="T27"/>
      <c r="U27"/>
      <c r="V27"/>
      <c r="W27"/>
      <c r="X27"/>
      <c r="Y27"/>
      <c r="Z27"/>
      <c r="AA27"/>
      <c r="AB27"/>
      <c r="AC27"/>
      <c r="AD27"/>
      <c r="AE27"/>
      <c r="AF27"/>
      <c r="AG27"/>
      <c r="AH27"/>
      <c r="AI27"/>
    </row>
    <row r="28" spans="1:35" x14ac:dyDescent="0.25">
      <c r="A28" s="299" t="s">
        <v>14302</v>
      </c>
      <c r="B28" s="39" t="s">
        <v>14303</v>
      </c>
      <c r="C28" s="30" t="s">
        <v>14304</v>
      </c>
      <c r="D28" s="41">
        <v>1464.67</v>
      </c>
    </row>
    <row r="29" spans="1:35" x14ac:dyDescent="0.25">
      <c r="A29" s="299" t="s">
        <v>14305</v>
      </c>
      <c r="B29" s="39" t="s">
        <v>14306</v>
      </c>
      <c r="C29" s="30" t="s">
        <v>14307</v>
      </c>
      <c r="D29" s="41">
        <v>1152</v>
      </c>
    </row>
    <row r="30" spans="1:35" s="298" customFormat="1" x14ac:dyDescent="0.25">
      <c r="A30" s="39" t="s">
        <v>14308</v>
      </c>
      <c r="B30" s="39" t="s">
        <v>14309</v>
      </c>
      <c r="C30" s="30" t="s">
        <v>14310</v>
      </c>
      <c r="D30" s="41">
        <v>1277.33</v>
      </c>
      <c r="E30"/>
      <c r="F30"/>
      <c r="G30"/>
      <c r="H30"/>
      <c r="I30"/>
      <c r="J30"/>
      <c r="K30"/>
      <c r="L30"/>
      <c r="M30"/>
      <c r="N30"/>
      <c r="O30"/>
      <c r="P30"/>
      <c r="Q30"/>
      <c r="R30"/>
      <c r="S30"/>
      <c r="T30"/>
      <c r="U30"/>
      <c r="V30"/>
      <c r="W30"/>
      <c r="X30"/>
      <c r="Y30"/>
      <c r="Z30"/>
      <c r="AA30"/>
      <c r="AB30"/>
      <c r="AC30"/>
      <c r="AD30"/>
      <c r="AE30"/>
      <c r="AF30"/>
      <c r="AG30"/>
      <c r="AH30"/>
      <c r="AI30"/>
    </row>
    <row r="31" spans="1:35" s="1" customFormat="1" x14ac:dyDescent="0.25">
      <c r="A31" s="39" t="s">
        <v>14311</v>
      </c>
      <c r="B31" s="39" t="s">
        <v>14312</v>
      </c>
      <c r="C31" s="30" t="s">
        <v>14313</v>
      </c>
      <c r="D31" s="41">
        <v>1318</v>
      </c>
      <c r="E31"/>
      <c r="F31"/>
      <c r="G31"/>
      <c r="H31"/>
      <c r="I31"/>
      <c r="J31"/>
      <c r="K31"/>
      <c r="L31"/>
      <c r="M31"/>
      <c r="N31"/>
      <c r="O31"/>
      <c r="P31"/>
      <c r="Q31"/>
      <c r="R31"/>
      <c r="S31"/>
      <c r="T31"/>
      <c r="U31"/>
      <c r="V31"/>
      <c r="W31"/>
      <c r="X31"/>
      <c r="Y31"/>
      <c r="Z31"/>
      <c r="AA31"/>
      <c r="AB31"/>
      <c r="AC31"/>
      <c r="AD31"/>
      <c r="AE31"/>
      <c r="AF31"/>
      <c r="AG31"/>
      <c r="AH31"/>
      <c r="AI31"/>
    </row>
    <row r="32" spans="1:35" s="1" customFormat="1" x14ac:dyDescent="0.25">
      <c r="A32" s="39" t="s">
        <v>14314</v>
      </c>
      <c r="B32" s="39" t="s">
        <v>14315</v>
      </c>
      <c r="C32" s="30" t="s">
        <v>14316</v>
      </c>
      <c r="D32" s="41">
        <v>1477.33</v>
      </c>
      <c r="E32"/>
      <c r="F32"/>
      <c r="G32"/>
      <c r="H32"/>
      <c r="I32"/>
      <c r="J32"/>
      <c r="K32"/>
      <c r="L32"/>
      <c r="M32"/>
      <c r="N32"/>
      <c r="O32"/>
      <c r="P32"/>
      <c r="Q32"/>
      <c r="R32"/>
      <c r="S32"/>
      <c r="T32"/>
      <c r="U32"/>
      <c r="V32"/>
      <c r="W32"/>
      <c r="X32"/>
      <c r="Y32"/>
      <c r="Z32"/>
      <c r="AA32"/>
      <c r="AB32"/>
      <c r="AC32"/>
      <c r="AD32"/>
      <c r="AE32"/>
      <c r="AF32"/>
      <c r="AG32"/>
      <c r="AH32"/>
      <c r="AI32"/>
    </row>
    <row r="33" spans="1:35" s="1" customFormat="1" x14ac:dyDescent="0.25">
      <c r="A33" s="39" t="s">
        <v>14317</v>
      </c>
      <c r="B33" s="39" t="s">
        <v>14318</v>
      </c>
      <c r="C33" s="30" t="s">
        <v>14319</v>
      </c>
      <c r="D33" s="41">
        <v>1670</v>
      </c>
      <c r="E33"/>
      <c r="F33"/>
      <c r="G33"/>
      <c r="H33"/>
      <c r="I33"/>
      <c r="J33"/>
      <c r="K33"/>
      <c r="L33"/>
      <c r="M33"/>
      <c r="N33"/>
      <c r="O33"/>
      <c r="P33"/>
      <c r="Q33"/>
      <c r="R33"/>
      <c r="S33"/>
      <c r="T33"/>
      <c r="U33"/>
      <c r="V33"/>
      <c r="W33"/>
      <c r="X33"/>
      <c r="Y33"/>
      <c r="Z33"/>
      <c r="AA33"/>
      <c r="AB33"/>
      <c r="AC33"/>
      <c r="AD33"/>
      <c r="AE33"/>
      <c r="AF33"/>
      <c r="AG33"/>
      <c r="AH33"/>
      <c r="AI33"/>
    </row>
    <row r="34" spans="1:35" s="1" customFormat="1" x14ac:dyDescent="0.25">
      <c r="A34" s="39" t="s">
        <v>14320</v>
      </c>
      <c r="B34" s="39" t="s">
        <v>14321</v>
      </c>
      <c r="C34" s="30" t="s">
        <v>14322</v>
      </c>
      <c r="D34" s="41">
        <v>1477.33</v>
      </c>
      <c r="E34"/>
      <c r="F34"/>
      <c r="G34"/>
      <c r="H34"/>
      <c r="I34"/>
      <c r="J34"/>
      <c r="K34"/>
      <c r="L34"/>
      <c r="M34"/>
      <c r="N34"/>
      <c r="O34"/>
      <c r="P34"/>
      <c r="Q34"/>
      <c r="R34"/>
      <c r="S34"/>
      <c r="T34"/>
      <c r="U34"/>
      <c r="V34"/>
      <c r="W34"/>
      <c r="X34"/>
      <c r="Y34"/>
      <c r="Z34"/>
      <c r="AA34"/>
      <c r="AB34"/>
      <c r="AC34"/>
      <c r="AD34"/>
      <c r="AE34"/>
      <c r="AF34"/>
      <c r="AG34"/>
      <c r="AH34"/>
      <c r="AI34"/>
    </row>
    <row r="35" spans="1:35" s="1" customFormat="1" x14ac:dyDescent="0.25">
      <c r="A35" s="39" t="s">
        <v>14323</v>
      </c>
      <c r="B35" s="39" t="s">
        <v>14324</v>
      </c>
      <c r="C35" s="30" t="s">
        <v>14325</v>
      </c>
      <c r="D35" s="41">
        <v>1449.33</v>
      </c>
      <c r="E35"/>
      <c r="F35"/>
      <c r="G35"/>
      <c r="H35"/>
      <c r="I35"/>
      <c r="J35"/>
      <c r="K35"/>
      <c r="L35"/>
      <c r="M35"/>
      <c r="N35"/>
      <c r="O35"/>
      <c r="P35"/>
      <c r="Q35"/>
      <c r="R35"/>
      <c r="S35"/>
      <c r="T35"/>
      <c r="U35"/>
      <c r="V35"/>
      <c r="W35"/>
      <c r="X35"/>
      <c r="Y35"/>
      <c r="Z35"/>
      <c r="AA35"/>
      <c r="AB35"/>
      <c r="AC35"/>
      <c r="AD35"/>
      <c r="AE35"/>
      <c r="AF35"/>
      <c r="AG35"/>
      <c r="AH35"/>
      <c r="AI35"/>
    </row>
    <row r="36" spans="1:35" ht="14.4" x14ac:dyDescent="0.3">
      <c r="A36" s="169"/>
      <c r="B36" s="301" t="s">
        <v>14326</v>
      </c>
      <c r="C36" s="21"/>
    </row>
    <row r="37" spans="1:35" x14ac:dyDescent="0.25">
      <c r="A37" s="39" t="s">
        <v>14327</v>
      </c>
      <c r="B37" s="39" t="s">
        <v>14326</v>
      </c>
      <c r="C37" s="30" t="s">
        <v>14328</v>
      </c>
      <c r="D37" s="41">
        <v>1332.67</v>
      </c>
    </row>
    <row r="38" spans="1:35" x14ac:dyDescent="0.25">
      <c r="A38" s="161" t="s">
        <v>14329</v>
      </c>
      <c r="B38" s="70" t="s">
        <v>14330</v>
      </c>
      <c r="C38" s="30" t="s">
        <v>14331</v>
      </c>
      <c r="D38" s="41">
        <v>1332.67</v>
      </c>
    </row>
    <row r="39" spans="1:35" s="298" customFormat="1" x14ac:dyDescent="0.25">
      <c r="A39" s="39" t="s">
        <v>14332</v>
      </c>
      <c r="B39" s="39" t="s">
        <v>14333</v>
      </c>
      <c r="C39" s="30" t="s">
        <v>14334</v>
      </c>
      <c r="D39" s="41">
        <v>1423.33</v>
      </c>
      <c r="E39"/>
      <c r="F39"/>
      <c r="G39"/>
      <c r="H39"/>
      <c r="I39"/>
      <c r="J39"/>
      <c r="K39"/>
      <c r="L39"/>
      <c r="M39"/>
      <c r="N39"/>
      <c r="O39"/>
      <c r="P39"/>
      <c r="Q39"/>
      <c r="R39"/>
      <c r="S39"/>
      <c r="T39"/>
      <c r="U39"/>
      <c r="V39"/>
      <c r="W39"/>
      <c r="X39"/>
      <c r="Y39"/>
      <c r="Z39"/>
      <c r="AA39"/>
      <c r="AB39"/>
      <c r="AC39"/>
      <c r="AD39"/>
      <c r="AE39"/>
      <c r="AF39"/>
      <c r="AG39"/>
      <c r="AH39"/>
      <c r="AI39"/>
    </row>
    <row r="40" spans="1:35" s="1" customFormat="1" x14ac:dyDescent="0.25">
      <c r="A40" s="39" t="s">
        <v>14335</v>
      </c>
      <c r="B40" s="39" t="s">
        <v>14336</v>
      </c>
      <c r="C40" s="30" t="s">
        <v>14337</v>
      </c>
      <c r="D40" s="41">
        <v>1457.33</v>
      </c>
      <c r="E40"/>
      <c r="F40"/>
      <c r="G40"/>
      <c r="H40"/>
      <c r="I40"/>
      <c r="J40"/>
      <c r="K40"/>
      <c r="L40"/>
      <c r="M40"/>
      <c r="N40"/>
      <c r="O40"/>
      <c r="P40"/>
      <c r="Q40"/>
      <c r="R40"/>
      <c r="S40"/>
      <c r="T40"/>
      <c r="U40"/>
      <c r="V40"/>
      <c r="W40"/>
      <c r="X40"/>
      <c r="Y40"/>
      <c r="Z40"/>
      <c r="AA40"/>
      <c r="AB40"/>
      <c r="AC40"/>
      <c r="AD40"/>
      <c r="AE40"/>
      <c r="AF40"/>
      <c r="AG40"/>
      <c r="AH40"/>
      <c r="AI40"/>
    </row>
    <row r="41" spans="1:35" s="1" customFormat="1" x14ac:dyDescent="0.25">
      <c r="A41" s="39" t="s">
        <v>14338</v>
      </c>
      <c r="B41" s="39" t="s">
        <v>14339</v>
      </c>
      <c r="C41" s="30" t="s">
        <v>14340</v>
      </c>
      <c r="D41" s="41">
        <v>1843.33</v>
      </c>
      <c r="E41"/>
      <c r="F41"/>
      <c r="G41"/>
      <c r="H41"/>
      <c r="I41"/>
      <c r="J41"/>
      <c r="K41"/>
      <c r="L41"/>
      <c r="M41"/>
      <c r="N41"/>
      <c r="O41"/>
      <c r="P41"/>
      <c r="Q41"/>
      <c r="R41"/>
      <c r="S41"/>
      <c r="T41"/>
      <c r="U41"/>
      <c r="V41"/>
      <c r="W41"/>
      <c r="X41"/>
      <c r="Y41"/>
      <c r="Z41"/>
      <c r="AA41"/>
      <c r="AB41"/>
      <c r="AC41"/>
      <c r="AD41"/>
      <c r="AE41"/>
      <c r="AF41"/>
      <c r="AG41"/>
      <c r="AH41"/>
      <c r="AI41"/>
    </row>
    <row r="42" spans="1:35" s="1" customFormat="1" x14ac:dyDescent="0.25">
      <c r="A42" s="39" t="s">
        <v>14341</v>
      </c>
      <c r="B42" s="39" t="s">
        <v>14342</v>
      </c>
      <c r="C42" s="30" t="s">
        <v>14343</v>
      </c>
      <c r="D42" s="41">
        <v>1995.33</v>
      </c>
      <c r="E42"/>
      <c r="F42"/>
      <c r="G42"/>
      <c r="H42"/>
      <c r="I42"/>
      <c r="J42"/>
      <c r="K42"/>
      <c r="L42"/>
      <c r="M42"/>
      <c r="N42"/>
      <c r="O42"/>
      <c r="P42"/>
      <c r="Q42"/>
      <c r="R42"/>
      <c r="S42"/>
      <c r="T42"/>
      <c r="U42"/>
      <c r="V42"/>
      <c r="W42"/>
      <c r="X42"/>
      <c r="Y42"/>
      <c r="Z42"/>
      <c r="AA42"/>
      <c r="AB42"/>
      <c r="AC42"/>
      <c r="AD42"/>
      <c r="AE42"/>
      <c r="AF42"/>
      <c r="AG42"/>
      <c r="AH42"/>
      <c r="AI42"/>
    </row>
    <row r="43" spans="1:35" s="1" customFormat="1" x14ac:dyDescent="0.25">
      <c r="A43" s="39" t="s">
        <v>14344</v>
      </c>
      <c r="B43" s="39" t="s">
        <v>14345</v>
      </c>
      <c r="C43" s="30" t="s">
        <v>14346</v>
      </c>
      <c r="D43" s="41">
        <v>1616</v>
      </c>
      <c r="E43"/>
      <c r="F43"/>
      <c r="G43"/>
      <c r="H43"/>
      <c r="I43"/>
      <c r="J43"/>
      <c r="K43"/>
      <c r="L43"/>
      <c r="M43"/>
      <c r="N43"/>
      <c r="O43"/>
      <c r="P43"/>
      <c r="Q43"/>
      <c r="R43"/>
      <c r="S43"/>
      <c r="T43"/>
      <c r="U43"/>
      <c r="V43"/>
      <c r="W43"/>
      <c r="X43"/>
      <c r="Y43"/>
      <c r="Z43"/>
      <c r="AA43"/>
      <c r="AB43"/>
      <c r="AC43"/>
      <c r="AD43"/>
      <c r="AE43"/>
      <c r="AF43"/>
      <c r="AG43"/>
      <c r="AH43"/>
      <c r="AI43"/>
    </row>
    <row r="44" spans="1:35" ht="14.4" x14ac:dyDescent="0.3">
      <c r="A44" s="169"/>
      <c r="B44" s="301" t="s">
        <v>14347</v>
      </c>
      <c r="C44" s="21"/>
    </row>
    <row r="45" spans="1:35" x14ac:dyDescent="0.25">
      <c r="A45" s="39" t="s">
        <v>14348</v>
      </c>
      <c r="B45" s="39" t="s">
        <v>14349</v>
      </c>
      <c r="C45" s="30" t="s">
        <v>14350</v>
      </c>
      <c r="D45" s="41">
        <v>266</v>
      </c>
    </row>
    <row r="46" spans="1:35" x14ac:dyDescent="0.25">
      <c r="A46" s="299" t="s">
        <v>14351</v>
      </c>
      <c r="B46" s="39" t="s">
        <v>14352</v>
      </c>
      <c r="C46" s="30" t="s">
        <v>14353</v>
      </c>
      <c r="D46" s="41">
        <v>34.67</v>
      </c>
    </row>
    <row r="47" spans="1:35" x14ac:dyDescent="0.25">
      <c r="A47" s="39" t="s">
        <v>14354</v>
      </c>
      <c r="B47" s="39" t="s">
        <v>14355</v>
      </c>
      <c r="C47" s="30" t="s">
        <v>14356</v>
      </c>
      <c r="D47" s="41">
        <v>52.67</v>
      </c>
    </row>
    <row r="48" spans="1:35" x14ac:dyDescent="0.25">
      <c r="A48" s="39" t="s">
        <v>14357</v>
      </c>
      <c r="B48" s="39" t="s">
        <v>14358</v>
      </c>
      <c r="C48" s="30" t="s">
        <v>14359</v>
      </c>
      <c r="D48" s="41">
        <v>132.66999999999999</v>
      </c>
    </row>
    <row r="49" spans="1:4" x14ac:dyDescent="0.25">
      <c r="A49" s="39" t="s">
        <v>14360</v>
      </c>
      <c r="B49" s="39" t="s">
        <v>14361</v>
      </c>
      <c r="C49" s="30" t="s">
        <v>14362</v>
      </c>
      <c r="D49" s="41">
        <v>66</v>
      </c>
    </row>
    <row r="50" spans="1:4" x14ac:dyDescent="0.25">
      <c r="A50" s="39" t="s">
        <v>14363</v>
      </c>
      <c r="B50" s="39" t="s">
        <v>14364</v>
      </c>
      <c r="C50" s="30" t="s">
        <v>14365</v>
      </c>
      <c r="D50" s="41">
        <v>99.33</v>
      </c>
    </row>
    <row r="51" spans="1:4" x14ac:dyDescent="0.25">
      <c r="A51" s="39" t="s">
        <v>14366</v>
      </c>
      <c r="B51" s="39" t="s">
        <v>14367</v>
      </c>
      <c r="C51" s="30" t="s">
        <v>14368</v>
      </c>
      <c r="D51" s="41">
        <v>132.66999999999999</v>
      </c>
    </row>
    <row r="52" spans="1:4" x14ac:dyDescent="0.25">
      <c r="A52" s="39" t="s">
        <v>14369</v>
      </c>
      <c r="B52" s="39" t="s">
        <v>14370</v>
      </c>
      <c r="C52" s="30" t="s">
        <v>14371</v>
      </c>
      <c r="D52" s="41">
        <v>26</v>
      </c>
    </row>
    <row r="53" spans="1:4" x14ac:dyDescent="0.25">
      <c r="A53" s="299" t="s">
        <v>14372</v>
      </c>
      <c r="B53" s="39" t="s">
        <v>14373</v>
      </c>
      <c r="C53" s="30" t="s">
        <v>14374</v>
      </c>
      <c r="D53" s="41">
        <v>14.67</v>
      </c>
    </row>
    <row r="54" spans="1:4" x14ac:dyDescent="0.25">
      <c r="A54" s="39" t="s">
        <v>14375</v>
      </c>
      <c r="B54" s="39" t="s">
        <v>14376</v>
      </c>
      <c r="C54" s="30" t="s">
        <v>14377</v>
      </c>
      <c r="D54" s="41">
        <v>26</v>
      </c>
    </row>
    <row r="55" spans="1:4" x14ac:dyDescent="0.25">
      <c r="A55" s="39" t="s">
        <v>14378</v>
      </c>
      <c r="B55" s="39" t="s">
        <v>14379</v>
      </c>
      <c r="C55" s="30" t="s">
        <v>14380</v>
      </c>
      <c r="D55" s="41">
        <v>86</v>
      </c>
    </row>
    <row r="56" spans="1:4" x14ac:dyDescent="0.25">
      <c r="A56" s="39" t="s">
        <v>14381</v>
      </c>
      <c r="B56" s="39" t="s">
        <v>14382</v>
      </c>
      <c r="C56" s="30" t="s">
        <v>14383</v>
      </c>
      <c r="D56" s="41">
        <v>19.329999999999998</v>
      </c>
    </row>
    <row r="57" spans="1:4" x14ac:dyDescent="0.25">
      <c r="A57" s="39" t="s">
        <v>14384</v>
      </c>
      <c r="B57" s="39" t="s">
        <v>14385</v>
      </c>
      <c r="C57" s="30" t="s">
        <v>14386</v>
      </c>
      <c r="D57" s="41">
        <v>19.329999999999998</v>
      </c>
    </row>
    <row r="58" spans="1:4" x14ac:dyDescent="0.25">
      <c r="A58" s="299" t="s">
        <v>14387</v>
      </c>
      <c r="B58" s="39" t="s">
        <v>14388</v>
      </c>
      <c r="C58" s="30" t="s">
        <v>14389</v>
      </c>
      <c r="D58" s="41">
        <v>252.67</v>
      </c>
    </row>
    <row r="59" spans="1:4" x14ac:dyDescent="0.25">
      <c r="A59" s="39" t="s">
        <v>14390</v>
      </c>
      <c r="B59" s="39" t="s">
        <v>14388</v>
      </c>
      <c r="C59" s="30" t="s">
        <v>14391</v>
      </c>
      <c r="D59" s="41">
        <v>266</v>
      </c>
    </row>
    <row r="60" spans="1:4" x14ac:dyDescent="0.25">
      <c r="A60" s="39" t="s">
        <v>14392</v>
      </c>
      <c r="B60" s="39" t="s">
        <v>14393</v>
      </c>
      <c r="C60" s="30" t="s">
        <v>14394</v>
      </c>
      <c r="D60" s="41">
        <v>146</v>
      </c>
    </row>
    <row r="61" spans="1:4" x14ac:dyDescent="0.25">
      <c r="A61" s="39" t="s">
        <v>14395</v>
      </c>
      <c r="B61" s="39" t="s">
        <v>14396</v>
      </c>
      <c r="C61" s="30" t="s">
        <v>14397</v>
      </c>
      <c r="D61" s="41">
        <v>212.67</v>
      </c>
    </row>
    <row r="62" spans="1:4" x14ac:dyDescent="0.25">
      <c r="A62" s="39" t="s">
        <v>14398</v>
      </c>
      <c r="B62" s="39" t="s">
        <v>14399</v>
      </c>
      <c r="C62" s="30" t="s">
        <v>14400</v>
      </c>
      <c r="D62" s="41">
        <v>266</v>
      </c>
    </row>
    <row r="63" spans="1:4" x14ac:dyDescent="0.25">
      <c r="A63" s="39" t="s">
        <v>14401</v>
      </c>
      <c r="B63" s="39" t="s">
        <v>14402</v>
      </c>
      <c r="C63" s="30" t="s">
        <v>14403</v>
      </c>
      <c r="D63" s="41">
        <v>86</v>
      </c>
    </row>
    <row r="64" spans="1:4" x14ac:dyDescent="0.25">
      <c r="A64" s="39" t="s">
        <v>14404</v>
      </c>
      <c r="B64" s="39" t="s">
        <v>14405</v>
      </c>
      <c r="C64" s="30" t="s">
        <v>14406</v>
      </c>
      <c r="D64" s="41">
        <v>66</v>
      </c>
    </row>
    <row r="65" spans="1:4" x14ac:dyDescent="0.25">
      <c r="A65" s="39" t="s">
        <v>14407</v>
      </c>
      <c r="B65" s="39" t="s">
        <v>14408</v>
      </c>
      <c r="C65" s="30" t="s">
        <v>14409</v>
      </c>
      <c r="D65" s="41">
        <v>66</v>
      </c>
    </row>
    <row r="66" spans="1:4" x14ac:dyDescent="0.25">
      <c r="A66" s="39" t="s">
        <v>14410</v>
      </c>
      <c r="B66" s="39" t="s">
        <v>14411</v>
      </c>
      <c r="C66" s="30" t="s">
        <v>14412</v>
      </c>
      <c r="D66" s="41">
        <v>26</v>
      </c>
    </row>
    <row r="67" spans="1:4" x14ac:dyDescent="0.25">
      <c r="A67" s="39" t="s">
        <v>14413</v>
      </c>
      <c r="B67" s="39" t="s">
        <v>14414</v>
      </c>
      <c r="C67" s="30" t="s">
        <v>14415</v>
      </c>
      <c r="D67" s="41">
        <v>19.329999999999998</v>
      </c>
    </row>
    <row r="68" spans="1:4" x14ac:dyDescent="0.25">
      <c r="A68" s="39" t="s">
        <v>14416</v>
      </c>
      <c r="B68" s="39" t="s">
        <v>14417</v>
      </c>
      <c r="C68" s="30" t="s">
        <v>14418</v>
      </c>
      <c r="D68" s="41">
        <v>86</v>
      </c>
    </row>
    <row r="69" spans="1:4" x14ac:dyDescent="0.25">
      <c r="A69" s="8"/>
      <c r="B69" s="8"/>
      <c r="C69" s="13"/>
    </row>
    <row r="70" spans="1:4" x14ac:dyDescent="0.25">
      <c r="A70" s="168"/>
      <c r="B70" s="20" t="s">
        <v>14419</v>
      </c>
      <c r="C70" s="13"/>
    </row>
    <row r="71" spans="1:4" x14ac:dyDescent="0.25">
      <c r="A71" s="299"/>
      <c r="B71" s="20" t="s">
        <v>14247</v>
      </c>
      <c r="C71" s="13"/>
    </row>
    <row r="72" spans="1:4" x14ac:dyDescent="0.25">
      <c r="A72" s="161"/>
      <c r="B72" s="20" t="s">
        <v>13958</v>
      </c>
      <c r="C72" s="13"/>
    </row>
    <row r="73" spans="1:4" x14ac:dyDescent="0.25">
      <c r="A73" s="8"/>
      <c r="B73" s="8"/>
      <c r="C73" s="13"/>
    </row>
    <row r="74" spans="1:4" s="219" customFormat="1" x14ac:dyDescent="0.25">
      <c r="A74" s="302" t="s">
        <v>14003</v>
      </c>
      <c r="B74" s="302"/>
      <c r="C74" s="302"/>
      <c r="D74" s="302"/>
    </row>
    <row r="75" spans="1:4" s="219" customFormat="1" x14ac:dyDescent="0.25">
      <c r="A75" s="302" t="s">
        <v>14004</v>
      </c>
      <c r="B75" s="302"/>
      <c r="C75" s="302"/>
      <c r="D75" s="302"/>
    </row>
    <row r="76" spans="1:4" s="219" customFormat="1" ht="13.8" x14ac:dyDescent="0.3">
      <c r="A76" s="303" t="s">
        <v>14005</v>
      </c>
      <c r="B76" s="303"/>
      <c r="C76" s="303"/>
      <c r="D76" s="303"/>
    </row>
    <row r="77" spans="1:4" s="219" customFormat="1" x14ac:dyDescent="0.25">
      <c r="A77" s="304"/>
      <c r="B77" s="304"/>
      <c r="C77" s="304"/>
      <c r="D77" s="304"/>
    </row>
    <row r="78" spans="1:4" x14ac:dyDescent="0.25">
      <c r="A78" s="8"/>
      <c r="B78" s="8"/>
      <c r="C78" s="13"/>
    </row>
    <row r="79" spans="1:4" x14ac:dyDescent="0.25">
      <c r="A79" s="8"/>
      <c r="B79" s="8"/>
      <c r="C79" s="13"/>
    </row>
    <row r="80" spans="1:4" x14ac:dyDescent="0.25">
      <c r="A80" s="8"/>
      <c r="B80" s="8"/>
      <c r="C80" s="13"/>
    </row>
    <row r="81" spans="1:3" x14ac:dyDescent="0.25">
      <c r="A81" s="8"/>
      <c r="B81" s="8"/>
      <c r="C81" s="13"/>
    </row>
    <row r="82" spans="1:3" x14ac:dyDescent="0.25">
      <c r="A82" s="8"/>
      <c r="B82" s="8"/>
      <c r="C82" s="13"/>
    </row>
    <row r="83" spans="1:3" x14ac:dyDescent="0.25">
      <c r="A83" s="8"/>
      <c r="B83" s="8"/>
      <c r="C83" s="13"/>
    </row>
    <row r="84" spans="1:3" x14ac:dyDescent="0.25">
      <c r="A84" s="8"/>
      <c r="B84" s="8"/>
      <c r="C84" s="13"/>
    </row>
    <row r="85" spans="1:3" x14ac:dyDescent="0.25">
      <c r="A85" s="8"/>
      <c r="B85" s="8"/>
      <c r="C85" s="13"/>
    </row>
    <row r="86" spans="1:3" x14ac:dyDescent="0.25">
      <c r="A86" s="8"/>
      <c r="B86" s="8"/>
      <c r="C86" s="13"/>
    </row>
    <row r="87" spans="1:3" x14ac:dyDescent="0.25">
      <c r="A87" s="8"/>
      <c r="B87" s="8"/>
      <c r="C87" s="13"/>
    </row>
    <row r="88" spans="1:3" x14ac:dyDescent="0.25">
      <c r="A88" s="8"/>
      <c r="B88" s="8"/>
      <c r="C88" s="13"/>
    </row>
    <row r="89" spans="1:3" x14ac:dyDescent="0.25">
      <c r="A89" s="8"/>
      <c r="B89" s="8"/>
      <c r="C89" s="13"/>
    </row>
    <row r="90" spans="1:3" x14ac:dyDescent="0.25">
      <c r="A90" s="8"/>
      <c r="B90" s="8"/>
      <c r="C90" s="13"/>
    </row>
    <row r="91" spans="1:3" x14ac:dyDescent="0.25">
      <c r="A91" s="8"/>
      <c r="B91" s="8"/>
      <c r="C91" s="13"/>
    </row>
    <row r="92" spans="1:3" x14ac:dyDescent="0.25">
      <c r="A92" s="8"/>
      <c r="B92" s="8"/>
      <c r="C92" s="13"/>
    </row>
    <row r="93" spans="1:3" x14ac:dyDescent="0.25">
      <c r="A93" s="8"/>
      <c r="B93" s="8"/>
      <c r="C93" s="13"/>
    </row>
    <row r="94" spans="1:3" x14ac:dyDescent="0.25">
      <c r="A94" s="8"/>
      <c r="B94" s="8"/>
      <c r="C94" s="13"/>
    </row>
    <row r="95" spans="1:3" x14ac:dyDescent="0.25">
      <c r="A95" s="8"/>
      <c r="B95" s="8"/>
      <c r="C95" s="13"/>
    </row>
    <row r="96" spans="1:3" x14ac:dyDescent="0.25">
      <c r="A96" s="8"/>
      <c r="B96" s="8"/>
      <c r="C96" s="13"/>
    </row>
    <row r="97" spans="1:3" x14ac:dyDescent="0.25">
      <c r="A97" s="8"/>
      <c r="B97" s="8"/>
      <c r="C97" s="13"/>
    </row>
    <row r="98" spans="1:3" x14ac:dyDescent="0.25">
      <c r="A98" s="8"/>
      <c r="B98" s="8"/>
      <c r="C98" s="13"/>
    </row>
    <row r="99" spans="1:3" x14ac:dyDescent="0.25">
      <c r="A99" s="8"/>
      <c r="B99" s="8"/>
      <c r="C99" s="13"/>
    </row>
    <row r="100" spans="1:3" x14ac:dyDescent="0.25">
      <c r="A100" s="8"/>
      <c r="B100" s="8"/>
      <c r="C100" s="13"/>
    </row>
    <row r="101" spans="1:3" x14ac:dyDescent="0.25">
      <c r="A101" s="8"/>
      <c r="B101" s="8"/>
      <c r="C101" s="13"/>
    </row>
    <row r="102" spans="1:3" x14ac:dyDescent="0.25">
      <c r="A102" s="8"/>
      <c r="B102" s="8"/>
      <c r="C102" s="13"/>
    </row>
    <row r="103" spans="1:3" x14ac:dyDescent="0.25">
      <c r="A103" s="8"/>
      <c r="B103" s="8"/>
      <c r="C103" s="13"/>
    </row>
    <row r="104" spans="1:3" x14ac:dyDescent="0.25">
      <c r="A104" s="8"/>
      <c r="B104" s="8"/>
      <c r="C104" s="13"/>
    </row>
    <row r="105" spans="1:3" x14ac:dyDescent="0.25">
      <c r="A105" s="8"/>
      <c r="B105" s="8"/>
      <c r="C105" s="13"/>
    </row>
    <row r="106" spans="1:3" x14ac:dyDescent="0.25">
      <c r="A106" s="8"/>
      <c r="B106" s="8"/>
      <c r="C106" s="13"/>
    </row>
    <row r="107" spans="1:3" x14ac:dyDescent="0.25">
      <c r="A107" s="8"/>
      <c r="B107" s="8"/>
      <c r="C107" s="13"/>
    </row>
    <row r="108" spans="1:3" x14ac:dyDescent="0.25">
      <c r="A108" s="8"/>
      <c r="B108" s="8"/>
      <c r="C108" s="13"/>
    </row>
    <row r="109" spans="1:3" x14ac:dyDescent="0.25">
      <c r="A109" s="8"/>
      <c r="B109" s="8"/>
      <c r="C109" s="13"/>
    </row>
    <row r="110" spans="1:3" x14ac:dyDescent="0.25">
      <c r="A110" s="8"/>
      <c r="B110" s="8"/>
      <c r="C110" s="13"/>
    </row>
    <row r="111" spans="1:3" x14ac:dyDescent="0.25">
      <c r="A111" s="8"/>
      <c r="B111" s="8"/>
      <c r="C111" s="13"/>
    </row>
    <row r="112" spans="1:3" x14ac:dyDescent="0.25">
      <c r="A112" s="8"/>
      <c r="B112" s="8"/>
      <c r="C112" s="13"/>
    </row>
    <row r="113" spans="1:3" x14ac:dyDescent="0.25">
      <c r="A113" s="8"/>
      <c r="B113" s="8"/>
      <c r="C113" s="13"/>
    </row>
    <row r="114" spans="1:3" x14ac:dyDescent="0.25">
      <c r="A114" s="8"/>
      <c r="B114" s="8"/>
      <c r="C114" s="13"/>
    </row>
    <row r="115" spans="1:3" x14ac:dyDescent="0.25">
      <c r="A115" s="8"/>
      <c r="B115" s="8"/>
      <c r="C115" s="13"/>
    </row>
    <row r="116" spans="1:3" x14ac:dyDescent="0.25">
      <c r="A116" s="8"/>
      <c r="B116" s="8"/>
      <c r="C116" s="13"/>
    </row>
    <row r="117" spans="1:3" x14ac:dyDescent="0.25">
      <c r="A117" s="8"/>
      <c r="B117" s="8"/>
      <c r="C117" s="13"/>
    </row>
    <row r="118" spans="1:3" x14ac:dyDescent="0.25">
      <c r="A118" s="8"/>
      <c r="B118" s="8"/>
      <c r="C118" s="13"/>
    </row>
    <row r="119" spans="1:3" x14ac:dyDescent="0.25">
      <c r="A119" s="8"/>
      <c r="B119" s="8"/>
      <c r="C119" s="13"/>
    </row>
    <row r="120" spans="1:3" x14ac:dyDescent="0.25">
      <c r="A120" s="8"/>
      <c r="B120" s="8"/>
      <c r="C120" s="13"/>
    </row>
    <row r="121" spans="1:3" x14ac:dyDescent="0.25">
      <c r="A121" s="8"/>
      <c r="B121" s="8"/>
      <c r="C121" s="13"/>
    </row>
    <row r="122" spans="1:3" x14ac:dyDescent="0.25">
      <c r="A122" s="8"/>
      <c r="B122" s="8"/>
      <c r="C122" s="13"/>
    </row>
    <row r="123" spans="1:3" x14ac:dyDescent="0.25">
      <c r="A123" s="8"/>
      <c r="B123" s="8"/>
      <c r="C123" s="13"/>
    </row>
    <row r="124" spans="1:3" x14ac:dyDescent="0.25">
      <c r="A124" s="8"/>
      <c r="B124" s="8"/>
      <c r="C124" s="13"/>
    </row>
    <row r="125" spans="1:3" x14ac:dyDescent="0.25">
      <c r="A125" s="8"/>
      <c r="B125" s="8"/>
      <c r="C125" s="13"/>
    </row>
    <row r="126" spans="1:3" x14ac:dyDescent="0.25">
      <c r="A126" s="8"/>
      <c r="B126" s="8"/>
      <c r="C126" s="13"/>
    </row>
    <row r="127" spans="1:3" x14ac:dyDescent="0.25">
      <c r="A127" s="8"/>
      <c r="B127" s="8"/>
      <c r="C127" s="13"/>
    </row>
    <row r="128" spans="1:3" x14ac:dyDescent="0.25">
      <c r="A128" s="8"/>
      <c r="B128" s="8"/>
      <c r="C128" s="13"/>
    </row>
    <row r="129" spans="1:3" x14ac:dyDescent="0.25">
      <c r="A129" s="8"/>
      <c r="B129" s="8"/>
      <c r="C129" s="13"/>
    </row>
    <row r="130" spans="1:3" x14ac:dyDescent="0.25">
      <c r="A130" s="8"/>
      <c r="B130" s="8"/>
      <c r="C130" s="13"/>
    </row>
    <row r="131" spans="1:3" x14ac:dyDescent="0.25">
      <c r="A131" s="8"/>
      <c r="B131" s="8"/>
      <c r="C131" s="13"/>
    </row>
    <row r="132" spans="1:3" x14ac:dyDescent="0.25">
      <c r="A132" s="8"/>
      <c r="B132" s="8"/>
      <c r="C132" s="13"/>
    </row>
    <row r="133" spans="1:3" x14ac:dyDescent="0.25">
      <c r="A133" s="8"/>
      <c r="B133" s="8"/>
      <c r="C133" s="13"/>
    </row>
    <row r="134" spans="1:3" x14ac:dyDescent="0.25">
      <c r="A134" s="8"/>
      <c r="B134" s="8"/>
      <c r="C134" s="13"/>
    </row>
    <row r="135" spans="1:3" x14ac:dyDescent="0.25">
      <c r="A135" s="8"/>
      <c r="B135" s="8"/>
      <c r="C135" s="13"/>
    </row>
    <row r="136" spans="1:3" x14ac:dyDescent="0.25">
      <c r="A136" s="8"/>
      <c r="B136" s="8"/>
      <c r="C136" s="13"/>
    </row>
    <row r="137" spans="1:3" x14ac:dyDescent="0.25">
      <c r="A137" s="8"/>
      <c r="B137" s="8"/>
      <c r="C137" s="13"/>
    </row>
    <row r="138" spans="1:3" x14ac:dyDescent="0.25">
      <c r="A138" s="8"/>
      <c r="B138" s="8"/>
      <c r="C138" s="13"/>
    </row>
    <row r="139" spans="1:3" x14ac:dyDescent="0.25">
      <c r="A139" s="8"/>
      <c r="B139" s="8"/>
      <c r="C139" s="13"/>
    </row>
    <row r="140" spans="1:3" x14ac:dyDescent="0.25">
      <c r="A140" s="8"/>
      <c r="B140" s="8"/>
      <c r="C140" s="13"/>
    </row>
    <row r="141" spans="1:3" x14ac:dyDescent="0.25">
      <c r="A141" s="8"/>
      <c r="B141" s="8"/>
      <c r="C141" s="13"/>
    </row>
    <row r="142" spans="1:3" x14ac:dyDescent="0.25">
      <c r="A142" s="8"/>
      <c r="B142" s="8"/>
      <c r="C142" s="13"/>
    </row>
    <row r="143" spans="1:3" x14ac:dyDescent="0.25">
      <c r="A143" s="8"/>
      <c r="B143" s="8"/>
      <c r="C143" s="13"/>
    </row>
    <row r="144" spans="1:3" x14ac:dyDescent="0.25">
      <c r="A144" s="8"/>
      <c r="B144" s="8"/>
      <c r="C144" s="13"/>
    </row>
    <row r="145" spans="1:3" x14ac:dyDescent="0.25">
      <c r="A145" s="8"/>
      <c r="B145" s="8"/>
      <c r="C145" s="13"/>
    </row>
    <row r="146" spans="1:3" x14ac:dyDescent="0.25">
      <c r="A146" s="8"/>
      <c r="B146" s="8"/>
      <c r="C146" s="13"/>
    </row>
    <row r="147" spans="1:3" x14ac:dyDescent="0.25">
      <c r="A147" s="8"/>
      <c r="B147" s="8"/>
      <c r="C147" s="13"/>
    </row>
    <row r="148" spans="1:3" x14ac:dyDescent="0.25">
      <c r="A148" s="8"/>
      <c r="B148" s="8"/>
      <c r="C148" s="13"/>
    </row>
    <row r="149" spans="1:3" x14ac:dyDescent="0.25">
      <c r="A149" s="8"/>
      <c r="B149" s="8"/>
      <c r="C149" s="13"/>
    </row>
    <row r="150" spans="1:3" x14ac:dyDescent="0.25">
      <c r="A150" s="8"/>
      <c r="B150" s="8"/>
      <c r="C150" s="13"/>
    </row>
    <row r="151" spans="1:3" x14ac:dyDescent="0.25">
      <c r="A151" s="8"/>
      <c r="B151" s="8"/>
      <c r="C151" s="13"/>
    </row>
    <row r="152" spans="1:3" x14ac:dyDescent="0.25">
      <c r="A152" s="8"/>
      <c r="B152" s="8"/>
      <c r="C152" s="13"/>
    </row>
    <row r="153" spans="1:3" x14ac:dyDescent="0.25">
      <c r="A153" s="8"/>
      <c r="B153" s="8"/>
      <c r="C153" s="13"/>
    </row>
    <row r="154" spans="1:3" x14ac:dyDescent="0.25">
      <c r="A154" s="8"/>
      <c r="B154" s="8"/>
      <c r="C154" s="13"/>
    </row>
    <row r="155" spans="1:3" x14ac:dyDescent="0.25">
      <c r="A155" s="8"/>
      <c r="B155" s="8"/>
      <c r="C155" s="13"/>
    </row>
    <row r="156" spans="1:3" x14ac:dyDescent="0.25">
      <c r="A156" s="8"/>
      <c r="B156" s="8"/>
      <c r="C156" s="13"/>
    </row>
    <row r="157" spans="1:3" x14ac:dyDescent="0.25">
      <c r="A157" s="8"/>
      <c r="B157" s="8"/>
      <c r="C157" s="13"/>
    </row>
    <row r="158" spans="1:3" x14ac:dyDescent="0.25">
      <c r="A158" s="8"/>
      <c r="B158" s="8"/>
      <c r="C158" s="13"/>
    </row>
    <row r="159" spans="1:3" x14ac:dyDescent="0.25">
      <c r="A159" s="8"/>
      <c r="B159" s="8"/>
      <c r="C159" s="13"/>
    </row>
    <row r="160" spans="1:3" x14ac:dyDescent="0.25">
      <c r="A160" s="8"/>
      <c r="B160" s="8"/>
      <c r="C160" s="13"/>
    </row>
    <row r="161" spans="1:3" x14ac:dyDescent="0.25">
      <c r="A161" s="8"/>
      <c r="B161" s="8"/>
      <c r="C161" s="13"/>
    </row>
    <row r="162" spans="1:3" x14ac:dyDescent="0.25">
      <c r="A162" s="8"/>
      <c r="B162" s="8"/>
      <c r="C162" s="13"/>
    </row>
    <row r="163" spans="1:3" x14ac:dyDescent="0.25">
      <c r="A163" s="8"/>
      <c r="B163" s="8"/>
      <c r="C163" s="13"/>
    </row>
    <row r="164" spans="1:3" x14ac:dyDescent="0.25">
      <c r="A164" s="8"/>
      <c r="B164" s="8"/>
      <c r="C164" s="13"/>
    </row>
    <row r="165" spans="1:3" x14ac:dyDescent="0.25">
      <c r="A165" s="8"/>
      <c r="B165" s="8"/>
      <c r="C165" s="13"/>
    </row>
    <row r="166" spans="1:3" x14ac:dyDescent="0.25">
      <c r="A166" s="8"/>
      <c r="B166" s="8"/>
      <c r="C166" s="13"/>
    </row>
    <row r="167" spans="1:3" x14ac:dyDescent="0.25">
      <c r="A167" s="8"/>
      <c r="B167" s="8"/>
      <c r="C167" s="13"/>
    </row>
    <row r="168" spans="1:3" x14ac:dyDescent="0.25">
      <c r="A168" s="8"/>
      <c r="B168" s="8"/>
      <c r="C168" s="13"/>
    </row>
    <row r="169" spans="1:3" x14ac:dyDescent="0.25">
      <c r="A169" s="8"/>
      <c r="B169" s="8"/>
      <c r="C169" s="13"/>
    </row>
    <row r="170" spans="1:3" x14ac:dyDescent="0.25">
      <c r="A170" s="8"/>
      <c r="B170" s="8"/>
      <c r="C170" s="13"/>
    </row>
    <row r="171" spans="1:3" x14ac:dyDescent="0.25">
      <c r="A171" s="8"/>
      <c r="B171" s="8"/>
      <c r="C171" s="13"/>
    </row>
    <row r="172" spans="1:3" x14ac:dyDescent="0.25">
      <c r="A172" s="8"/>
      <c r="B172" s="8"/>
      <c r="C172" s="13"/>
    </row>
    <row r="173" spans="1:3" x14ac:dyDescent="0.25">
      <c r="A173" s="8"/>
      <c r="B173" s="8"/>
      <c r="C173" s="13"/>
    </row>
    <row r="174" spans="1:3" x14ac:dyDescent="0.25">
      <c r="A174" s="8"/>
      <c r="B174" s="8"/>
      <c r="C174" s="13"/>
    </row>
    <row r="175" spans="1:3" x14ac:dyDescent="0.25">
      <c r="A175" s="8"/>
      <c r="B175" s="8"/>
      <c r="C175" s="13"/>
    </row>
    <row r="176" spans="1:3" x14ac:dyDescent="0.25">
      <c r="A176" s="8"/>
      <c r="B176" s="8"/>
      <c r="C176" s="13"/>
    </row>
    <row r="177" spans="1:3" x14ac:dyDescent="0.25">
      <c r="A177" s="8"/>
      <c r="B177" s="8"/>
      <c r="C177" s="13"/>
    </row>
    <row r="178" spans="1:3" x14ac:dyDescent="0.25">
      <c r="A178" s="8"/>
      <c r="B178" s="8"/>
      <c r="C178" s="13"/>
    </row>
    <row r="179" spans="1:3" x14ac:dyDescent="0.25">
      <c r="A179" s="8"/>
      <c r="B179" s="8"/>
      <c r="C179" s="13"/>
    </row>
    <row r="180" spans="1:3" x14ac:dyDescent="0.25">
      <c r="A180" s="8"/>
      <c r="B180" s="8"/>
      <c r="C180" s="13"/>
    </row>
    <row r="181" spans="1:3" x14ac:dyDescent="0.25">
      <c r="A181" s="8"/>
      <c r="B181" s="8"/>
      <c r="C181" s="13"/>
    </row>
    <row r="182" spans="1:3" x14ac:dyDescent="0.25">
      <c r="A182" s="8"/>
      <c r="B182" s="8"/>
      <c r="C182" s="13"/>
    </row>
    <row r="183" spans="1:3" x14ac:dyDescent="0.25">
      <c r="A183" s="8"/>
      <c r="B183" s="8"/>
      <c r="C183" s="13"/>
    </row>
    <row r="184" spans="1:3" x14ac:dyDescent="0.25">
      <c r="A184" s="8"/>
      <c r="B184" s="8"/>
      <c r="C184" s="13"/>
    </row>
    <row r="185" spans="1:3" x14ac:dyDescent="0.25">
      <c r="A185" s="8"/>
      <c r="B185" s="8"/>
      <c r="C185" s="13"/>
    </row>
    <row r="186" spans="1:3" x14ac:dyDescent="0.25">
      <c r="A186" s="8"/>
      <c r="B186" s="8"/>
      <c r="C186" s="13"/>
    </row>
    <row r="187" spans="1:3" x14ac:dyDescent="0.25">
      <c r="A187" s="8"/>
      <c r="B187" s="8"/>
      <c r="C187" s="13"/>
    </row>
    <row r="188" spans="1:3" x14ac:dyDescent="0.25">
      <c r="A188" s="8"/>
      <c r="B188" s="8"/>
      <c r="C188" s="13"/>
    </row>
    <row r="189" spans="1:3" x14ac:dyDescent="0.25">
      <c r="A189" s="8"/>
      <c r="B189" s="8"/>
      <c r="C189" s="13"/>
    </row>
    <row r="190" spans="1:3" x14ac:dyDescent="0.25">
      <c r="A190" s="8"/>
      <c r="B190" s="8"/>
      <c r="C190" s="13"/>
    </row>
    <row r="191" spans="1:3" x14ac:dyDescent="0.25">
      <c r="A191" s="8"/>
      <c r="B191" s="8"/>
      <c r="C191" s="13"/>
    </row>
    <row r="192" spans="1:3" x14ac:dyDescent="0.25">
      <c r="A192" s="8"/>
      <c r="B192" s="8"/>
      <c r="C192" s="13"/>
    </row>
    <row r="193" spans="1:3" x14ac:dyDescent="0.25">
      <c r="A193" s="8"/>
      <c r="B193" s="8"/>
      <c r="C193" s="13"/>
    </row>
    <row r="194" spans="1:3" x14ac:dyDescent="0.25">
      <c r="A194" s="8"/>
      <c r="B194" s="8"/>
      <c r="C194" s="13"/>
    </row>
    <row r="195" spans="1:3" x14ac:dyDescent="0.25">
      <c r="A195" s="8"/>
      <c r="B195" s="8"/>
      <c r="C195" s="13"/>
    </row>
    <row r="196" spans="1:3" x14ac:dyDescent="0.25">
      <c r="A196" s="8"/>
      <c r="B196" s="8"/>
      <c r="C196" s="13"/>
    </row>
    <row r="197" spans="1:3" x14ac:dyDescent="0.25">
      <c r="A197" s="8"/>
      <c r="B197" s="8"/>
      <c r="C197" s="13"/>
    </row>
    <row r="198" spans="1:3" x14ac:dyDescent="0.25">
      <c r="A198" s="8"/>
      <c r="B198" s="8"/>
      <c r="C198" s="13"/>
    </row>
    <row r="199" spans="1:3" x14ac:dyDescent="0.25">
      <c r="A199" s="8"/>
      <c r="B199" s="8"/>
      <c r="C199" s="13"/>
    </row>
    <row r="200" spans="1:3" x14ac:dyDescent="0.25">
      <c r="A200" s="8"/>
      <c r="B200" s="8"/>
      <c r="C200" s="13"/>
    </row>
    <row r="201" spans="1:3" x14ac:dyDescent="0.25">
      <c r="A201" s="8"/>
      <c r="B201" s="8"/>
      <c r="C201" s="13"/>
    </row>
    <row r="202" spans="1:3" x14ac:dyDescent="0.25">
      <c r="A202" s="8"/>
      <c r="B202" s="8"/>
      <c r="C202" s="13"/>
    </row>
    <row r="203" spans="1:3" x14ac:dyDescent="0.25">
      <c r="A203" s="8"/>
      <c r="B203" s="8"/>
      <c r="C203" s="13"/>
    </row>
    <row r="204" spans="1:3" x14ac:dyDescent="0.25">
      <c r="A204" s="8"/>
      <c r="B204" s="8"/>
      <c r="C204" s="13"/>
    </row>
    <row r="205" spans="1:3" x14ac:dyDescent="0.25">
      <c r="A205" s="8"/>
      <c r="B205" s="8"/>
      <c r="C205" s="13"/>
    </row>
    <row r="206" spans="1:3" x14ac:dyDescent="0.25">
      <c r="A206" s="8"/>
      <c r="B206" s="8"/>
      <c r="C206" s="13"/>
    </row>
    <row r="207" spans="1:3" x14ac:dyDescent="0.25">
      <c r="A207" s="8"/>
      <c r="B207" s="8"/>
      <c r="C207" s="13"/>
    </row>
    <row r="208" spans="1:3" x14ac:dyDescent="0.25">
      <c r="A208" s="8"/>
      <c r="B208" s="8"/>
      <c r="C208" s="13"/>
    </row>
    <row r="209" spans="1:3" x14ac:dyDescent="0.25">
      <c r="A209" s="8"/>
      <c r="B209" s="8"/>
      <c r="C209" s="13"/>
    </row>
    <row r="210" spans="1:3" x14ac:dyDescent="0.25">
      <c r="A210" s="8"/>
      <c r="B210" s="8"/>
      <c r="C210" s="13"/>
    </row>
    <row r="211" spans="1:3" x14ac:dyDescent="0.25">
      <c r="A211" s="8"/>
      <c r="B211" s="8"/>
      <c r="C211" s="13"/>
    </row>
    <row r="212" spans="1:3" x14ac:dyDescent="0.25">
      <c r="A212" s="8"/>
      <c r="B212" s="8"/>
      <c r="C212" s="13"/>
    </row>
    <row r="213" spans="1:3" x14ac:dyDescent="0.25">
      <c r="A213" s="8"/>
      <c r="B213" s="8"/>
      <c r="C213" s="13"/>
    </row>
    <row r="214" spans="1:3" x14ac:dyDescent="0.25">
      <c r="A214" s="8"/>
      <c r="B214" s="8"/>
      <c r="C214" s="13"/>
    </row>
    <row r="215" spans="1:3" x14ac:dyDescent="0.25">
      <c r="A215" s="8"/>
      <c r="B215" s="8"/>
      <c r="C215" s="13"/>
    </row>
    <row r="216" spans="1:3" x14ac:dyDescent="0.25">
      <c r="A216" s="8"/>
      <c r="B216" s="8"/>
      <c r="C216" s="13"/>
    </row>
    <row r="217" spans="1:3" x14ac:dyDescent="0.25">
      <c r="A217" s="8"/>
      <c r="B217" s="8"/>
      <c r="C217" s="13"/>
    </row>
    <row r="218" spans="1:3" x14ac:dyDescent="0.25">
      <c r="A218" s="8"/>
      <c r="B218" s="8"/>
      <c r="C218" s="13"/>
    </row>
    <row r="219" spans="1:3" x14ac:dyDescent="0.25">
      <c r="A219" s="8"/>
      <c r="B219" s="8"/>
      <c r="C219" s="13"/>
    </row>
    <row r="220" spans="1:3" x14ac:dyDescent="0.25">
      <c r="A220" s="8"/>
      <c r="B220" s="8"/>
      <c r="C220" s="13"/>
    </row>
    <row r="221" spans="1:3" x14ac:dyDescent="0.25">
      <c r="A221" s="8"/>
      <c r="B221" s="8"/>
      <c r="C221" s="13"/>
    </row>
    <row r="222" spans="1:3" x14ac:dyDescent="0.25">
      <c r="A222" s="8"/>
      <c r="B222" s="8"/>
      <c r="C222" s="13"/>
    </row>
    <row r="223" spans="1:3" x14ac:dyDescent="0.25">
      <c r="A223" s="8"/>
      <c r="B223" s="8"/>
      <c r="C223" s="13"/>
    </row>
    <row r="224" spans="1:3" x14ac:dyDescent="0.25">
      <c r="A224" s="8"/>
      <c r="B224" s="8"/>
      <c r="C224" s="13"/>
    </row>
    <row r="225" spans="1:3" x14ac:dyDescent="0.25">
      <c r="A225" s="8"/>
      <c r="B225" s="8"/>
      <c r="C225" s="13"/>
    </row>
    <row r="226" spans="1:3" x14ac:dyDescent="0.25">
      <c r="A226" s="8"/>
      <c r="B226" s="8"/>
      <c r="C226" s="13"/>
    </row>
    <row r="227" spans="1:3" x14ac:dyDescent="0.25">
      <c r="A227" s="8"/>
      <c r="B227" s="8"/>
      <c r="C227" s="13"/>
    </row>
    <row r="228" spans="1:3" x14ac:dyDescent="0.25">
      <c r="A228" s="8"/>
      <c r="B228" s="8"/>
      <c r="C228" s="13"/>
    </row>
    <row r="229" spans="1:3" x14ac:dyDescent="0.25">
      <c r="A229" s="8"/>
      <c r="B229" s="8"/>
      <c r="C229" s="13"/>
    </row>
    <row r="230" spans="1:3" x14ac:dyDescent="0.25">
      <c r="A230" s="8"/>
      <c r="B230" s="8"/>
      <c r="C230" s="13"/>
    </row>
    <row r="231" spans="1:3" x14ac:dyDescent="0.25">
      <c r="A231" s="8"/>
      <c r="B231" s="8"/>
      <c r="C231" s="13"/>
    </row>
    <row r="232" spans="1:3" x14ac:dyDescent="0.25">
      <c r="A232" s="8"/>
      <c r="B232" s="8"/>
      <c r="C232" s="13"/>
    </row>
    <row r="233" spans="1:3" x14ac:dyDescent="0.25">
      <c r="A233" s="8"/>
      <c r="B233" s="8"/>
      <c r="C233" s="13"/>
    </row>
    <row r="234" spans="1:3" x14ac:dyDescent="0.25">
      <c r="A234" s="8"/>
      <c r="B234" s="8"/>
      <c r="C234" s="13"/>
    </row>
    <row r="235" spans="1:3" x14ac:dyDescent="0.25">
      <c r="A235" s="8"/>
      <c r="B235" s="8"/>
      <c r="C235" s="13"/>
    </row>
    <row r="236" spans="1:3" x14ac:dyDescent="0.25">
      <c r="A236" s="8"/>
      <c r="B236" s="8"/>
      <c r="C236" s="13"/>
    </row>
    <row r="237" spans="1:3" x14ac:dyDescent="0.25">
      <c r="A237" s="8"/>
      <c r="B237" s="8"/>
      <c r="C237" s="13"/>
    </row>
    <row r="238" spans="1:3" x14ac:dyDescent="0.25">
      <c r="A238" s="8"/>
      <c r="B238" s="8"/>
      <c r="C238" s="13"/>
    </row>
    <row r="239" spans="1:3" x14ac:dyDescent="0.25">
      <c r="A239" s="8"/>
      <c r="B239" s="8"/>
      <c r="C239" s="13"/>
    </row>
    <row r="240" spans="1:3" x14ac:dyDescent="0.25">
      <c r="A240" s="8"/>
      <c r="B240" s="8"/>
      <c r="C240" s="13"/>
    </row>
    <row r="241" spans="1:3" x14ac:dyDescent="0.25">
      <c r="A241" s="8"/>
      <c r="B241" s="8"/>
      <c r="C241" s="13"/>
    </row>
    <row r="242" spans="1:3" x14ac:dyDescent="0.25">
      <c r="A242" s="8"/>
      <c r="B242" s="8"/>
      <c r="C242" s="13"/>
    </row>
    <row r="243" spans="1:3" x14ac:dyDescent="0.25">
      <c r="A243" s="8"/>
      <c r="B243" s="8"/>
      <c r="C243" s="13"/>
    </row>
    <row r="244" spans="1:3" x14ac:dyDescent="0.25">
      <c r="A244" s="8"/>
      <c r="B244" s="8"/>
      <c r="C244" s="13"/>
    </row>
    <row r="245" spans="1:3" x14ac:dyDescent="0.25">
      <c r="A245" s="8"/>
      <c r="B245" s="8"/>
      <c r="C245" s="13"/>
    </row>
    <row r="246" spans="1:3" x14ac:dyDescent="0.25">
      <c r="A246" s="8"/>
      <c r="B246" s="8"/>
      <c r="C246" s="13"/>
    </row>
    <row r="247" spans="1:3" x14ac:dyDescent="0.25">
      <c r="A247" s="8"/>
      <c r="B247" s="8"/>
      <c r="C247" s="13"/>
    </row>
    <row r="248" spans="1:3" x14ac:dyDescent="0.25">
      <c r="A248" s="8"/>
      <c r="B248" s="8"/>
      <c r="C248" s="13"/>
    </row>
    <row r="249" spans="1:3" x14ac:dyDescent="0.25">
      <c r="A249" s="8"/>
      <c r="B249" s="8"/>
      <c r="C249" s="13"/>
    </row>
    <row r="250" spans="1:3" x14ac:dyDescent="0.25">
      <c r="A250" s="8"/>
      <c r="B250" s="8"/>
      <c r="C250" s="13"/>
    </row>
    <row r="251" spans="1:3" x14ac:dyDescent="0.25">
      <c r="A251" s="8"/>
      <c r="B251" s="8"/>
      <c r="C251" s="13"/>
    </row>
    <row r="252" spans="1:3" x14ac:dyDescent="0.25">
      <c r="A252" s="8"/>
      <c r="B252" s="8"/>
      <c r="C252" s="13"/>
    </row>
    <row r="253" spans="1:3" x14ac:dyDescent="0.25">
      <c r="A253" s="8"/>
      <c r="B253" s="8"/>
      <c r="C253" s="13"/>
    </row>
    <row r="254" spans="1:3" x14ac:dyDescent="0.25">
      <c r="A254" s="8"/>
      <c r="B254" s="8"/>
      <c r="C254" s="13"/>
    </row>
    <row r="255" spans="1:3" x14ac:dyDescent="0.25">
      <c r="A255" s="8"/>
      <c r="B255" s="8"/>
      <c r="C255" s="13"/>
    </row>
    <row r="256" spans="1:3" x14ac:dyDescent="0.25">
      <c r="A256" s="8"/>
      <c r="B256" s="8"/>
      <c r="C256" s="13"/>
    </row>
    <row r="257" spans="1:3" x14ac:dyDescent="0.25">
      <c r="A257" s="8"/>
      <c r="B257" s="8"/>
      <c r="C257" s="13"/>
    </row>
    <row r="258" spans="1:3" x14ac:dyDescent="0.25">
      <c r="A258" s="8"/>
      <c r="B258" s="8"/>
      <c r="C258" s="13"/>
    </row>
    <row r="259" spans="1:3" x14ac:dyDescent="0.25">
      <c r="A259" s="8"/>
      <c r="B259" s="8"/>
      <c r="C259" s="13"/>
    </row>
    <row r="260" spans="1:3" x14ac:dyDescent="0.25">
      <c r="A260" s="8"/>
      <c r="B260" s="8"/>
      <c r="C260" s="13"/>
    </row>
    <row r="261" spans="1:3" x14ac:dyDescent="0.25">
      <c r="A261" s="8"/>
      <c r="B261" s="8"/>
      <c r="C261" s="13"/>
    </row>
    <row r="262" spans="1:3" x14ac:dyDescent="0.25">
      <c r="A262" s="8"/>
      <c r="B262" s="8"/>
      <c r="C262" s="13"/>
    </row>
    <row r="263" spans="1:3" x14ac:dyDescent="0.25">
      <c r="A263" s="8"/>
      <c r="B263" s="8"/>
      <c r="C263" s="13"/>
    </row>
    <row r="264" spans="1:3" x14ac:dyDescent="0.25">
      <c r="A264" s="8"/>
      <c r="B264" s="8"/>
      <c r="C264" s="13"/>
    </row>
    <row r="265" spans="1:3" x14ac:dyDescent="0.25">
      <c r="A265" s="8"/>
      <c r="B265" s="8"/>
      <c r="C265" s="13"/>
    </row>
    <row r="266" spans="1:3" x14ac:dyDescent="0.25">
      <c r="A266" s="8"/>
      <c r="B266" s="8"/>
      <c r="C266" s="13"/>
    </row>
    <row r="267" spans="1:3" x14ac:dyDescent="0.25">
      <c r="A267" s="8"/>
      <c r="B267" s="8"/>
      <c r="C267" s="13"/>
    </row>
    <row r="268" spans="1:3" x14ac:dyDescent="0.25">
      <c r="A268" s="8"/>
      <c r="B268" s="8"/>
      <c r="C268" s="13"/>
    </row>
    <row r="269" spans="1:3" x14ac:dyDescent="0.25">
      <c r="A269" s="8"/>
      <c r="B269" s="8"/>
      <c r="C269" s="13"/>
    </row>
    <row r="270" spans="1:3" x14ac:dyDescent="0.25">
      <c r="A270" s="8"/>
      <c r="B270" s="8"/>
      <c r="C270" s="13"/>
    </row>
    <row r="271" spans="1:3" x14ac:dyDescent="0.25">
      <c r="A271" s="8"/>
      <c r="B271" s="8"/>
      <c r="C271" s="13"/>
    </row>
    <row r="272" spans="1:3" x14ac:dyDescent="0.25">
      <c r="A272" s="8"/>
      <c r="B272" s="8"/>
      <c r="C272" s="13"/>
    </row>
    <row r="273" spans="1:3" x14ac:dyDescent="0.25">
      <c r="A273" s="8"/>
      <c r="B273" s="8"/>
      <c r="C273" s="13"/>
    </row>
    <row r="274" spans="1:3" x14ac:dyDescent="0.25">
      <c r="A274" s="8"/>
      <c r="B274" s="8"/>
      <c r="C274" s="13"/>
    </row>
    <row r="275" spans="1:3" x14ac:dyDescent="0.25">
      <c r="A275" s="8"/>
      <c r="B275" s="8"/>
      <c r="C275" s="13"/>
    </row>
    <row r="276" spans="1:3" x14ac:dyDescent="0.25">
      <c r="A276" s="8"/>
      <c r="B276" s="8"/>
      <c r="C276" s="13"/>
    </row>
    <row r="277" spans="1:3" x14ac:dyDescent="0.25">
      <c r="A277" s="8"/>
      <c r="B277" s="8"/>
      <c r="C277" s="13"/>
    </row>
    <row r="278" spans="1:3" x14ac:dyDescent="0.25">
      <c r="A278" s="8"/>
      <c r="B278" s="8"/>
      <c r="C278" s="13"/>
    </row>
    <row r="279" spans="1:3" x14ac:dyDescent="0.25">
      <c r="A279" s="8"/>
      <c r="B279" s="8"/>
      <c r="C279" s="13"/>
    </row>
    <row r="280" spans="1:3" x14ac:dyDescent="0.25">
      <c r="A280" s="8"/>
      <c r="B280" s="8"/>
      <c r="C280" s="13"/>
    </row>
    <row r="281" spans="1:3" x14ac:dyDescent="0.25">
      <c r="A281" s="8"/>
      <c r="B281" s="8"/>
      <c r="C281" s="13"/>
    </row>
    <row r="282" spans="1:3" x14ac:dyDescent="0.25">
      <c r="A282" s="8"/>
      <c r="B282" s="8"/>
      <c r="C282" s="13"/>
    </row>
    <row r="283" spans="1:3" x14ac:dyDescent="0.25">
      <c r="A283" s="8"/>
      <c r="B283" s="8"/>
      <c r="C283" s="13"/>
    </row>
    <row r="284" spans="1:3" x14ac:dyDescent="0.25">
      <c r="A284" s="8"/>
      <c r="B284" s="8"/>
      <c r="C284" s="13"/>
    </row>
    <row r="285" spans="1:3" x14ac:dyDescent="0.25">
      <c r="A285" s="8"/>
      <c r="B285" s="8"/>
      <c r="C285" s="13"/>
    </row>
    <row r="286" spans="1:3" x14ac:dyDescent="0.25">
      <c r="A286" s="8"/>
      <c r="B286" s="8"/>
      <c r="C286" s="13"/>
    </row>
    <row r="287" spans="1:3" x14ac:dyDescent="0.25">
      <c r="A287" s="8"/>
      <c r="B287" s="8"/>
      <c r="C287" s="13"/>
    </row>
    <row r="288" spans="1:3" x14ac:dyDescent="0.25">
      <c r="A288" s="8"/>
      <c r="B288" s="8"/>
      <c r="C288" s="13"/>
    </row>
    <row r="289" spans="1:3" x14ac:dyDescent="0.25">
      <c r="A289" s="8"/>
      <c r="B289" s="8"/>
      <c r="C289" s="13"/>
    </row>
    <row r="290" spans="1:3" x14ac:dyDescent="0.25">
      <c r="A290" s="8"/>
      <c r="B290" s="8"/>
      <c r="C290" s="13"/>
    </row>
    <row r="291" spans="1:3" x14ac:dyDescent="0.25">
      <c r="A291" s="8"/>
      <c r="B291" s="8"/>
      <c r="C291" s="13"/>
    </row>
    <row r="292" spans="1:3" x14ac:dyDescent="0.25">
      <c r="A292" s="8"/>
      <c r="B292" s="8"/>
      <c r="C292" s="13"/>
    </row>
    <row r="293" spans="1:3" x14ac:dyDescent="0.25">
      <c r="A293" s="8"/>
      <c r="B293" s="8"/>
      <c r="C293" s="13"/>
    </row>
    <row r="294" spans="1:3" x14ac:dyDescent="0.25">
      <c r="A294" s="8"/>
      <c r="B294" s="8"/>
      <c r="C294" s="13"/>
    </row>
    <row r="295" spans="1:3" x14ac:dyDescent="0.25">
      <c r="A295" s="8"/>
      <c r="B295" s="8"/>
      <c r="C295" s="13"/>
    </row>
    <row r="296" spans="1:3" x14ac:dyDescent="0.25">
      <c r="A296" s="8"/>
      <c r="B296" s="8"/>
      <c r="C296" s="13"/>
    </row>
    <row r="297" spans="1:3" x14ac:dyDescent="0.25">
      <c r="A297" s="8"/>
      <c r="B297" s="8"/>
      <c r="C297" s="13"/>
    </row>
    <row r="298" spans="1:3" x14ac:dyDescent="0.25">
      <c r="A298" s="8"/>
      <c r="B298" s="8"/>
      <c r="C298" s="13"/>
    </row>
    <row r="299" spans="1:3" x14ac:dyDescent="0.25">
      <c r="A299" s="8"/>
      <c r="B299" s="8"/>
      <c r="C299" s="13"/>
    </row>
    <row r="300" spans="1:3" x14ac:dyDescent="0.25">
      <c r="A300" s="8"/>
      <c r="B300" s="8"/>
      <c r="C300" s="13"/>
    </row>
    <row r="301" spans="1:3" x14ac:dyDescent="0.25">
      <c r="A301" s="8"/>
      <c r="B301" s="8"/>
      <c r="C301" s="13"/>
    </row>
    <row r="302" spans="1:3" x14ac:dyDescent="0.25">
      <c r="A302" s="8"/>
      <c r="B302" s="8"/>
      <c r="C302" s="13"/>
    </row>
    <row r="303" spans="1:3" x14ac:dyDescent="0.25">
      <c r="A303" s="8"/>
      <c r="B303" s="8"/>
      <c r="C303" s="13"/>
    </row>
    <row r="304" spans="1:3" x14ac:dyDescent="0.25">
      <c r="A304" s="8"/>
      <c r="B304" s="8"/>
      <c r="C304" s="13"/>
    </row>
    <row r="305" spans="1:3" x14ac:dyDescent="0.25">
      <c r="A305" s="8"/>
      <c r="B305" s="8"/>
      <c r="C305" s="13"/>
    </row>
    <row r="306" spans="1:3" x14ac:dyDescent="0.25">
      <c r="A306" s="8"/>
      <c r="B306" s="8"/>
      <c r="C306" s="13"/>
    </row>
    <row r="307" spans="1:3" x14ac:dyDescent="0.25">
      <c r="A307" s="8"/>
      <c r="B307" s="8"/>
      <c r="C307" s="13"/>
    </row>
    <row r="308" spans="1:3" x14ac:dyDescent="0.25">
      <c r="A308" s="8"/>
      <c r="B308" s="8"/>
      <c r="C308" s="13"/>
    </row>
    <row r="309" spans="1:3" x14ac:dyDescent="0.25">
      <c r="A309" s="8"/>
      <c r="B309" s="8"/>
      <c r="C309" s="13"/>
    </row>
    <row r="310" spans="1:3" x14ac:dyDescent="0.25">
      <c r="A310" s="8"/>
      <c r="B310" s="8"/>
      <c r="C310" s="13"/>
    </row>
    <row r="311" spans="1:3" x14ac:dyDescent="0.25">
      <c r="A311" s="8"/>
      <c r="B311" s="8"/>
      <c r="C311" s="13"/>
    </row>
    <row r="312" spans="1:3" x14ac:dyDescent="0.25">
      <c r="A312" s="8"/>
      <c r="B312" s="8"/>
      <c r="C312" s="13"/>
    </row>
    <row r="313" spans="1:3" x14ac:dyDescent="0.25">
      <c r="A313" s="8"/>
      <c r="B313" s="8"/>
      <c r="C313" s="13"/>
    </row>
    <row r="314" spans="1:3" x14ac:dyDescent="0.25">
      <c r="A314" s="8"/>
      <c r="B314" s="8"/>
      <c r="C314" s="13"/>
    </row>
    <row r="315" spans="1:3" x14ac:dyDescent="0.25">
      <c r="A315" s="8"/>
      <c r="B315" s="8"/>
      <c r="C315" s="13"/>
    </row>
    <row r="316" spans="1:3" x14ac:dyDescent="0.25">
      <c r="A316" s="8"/>
      <c r="B316" s="8"/>
      <c r="C316" s="13"/>
    </row>
    <row r="317" spans="1:3" x14ac:dyDescent="0.25">
      <c r="A317" s="8"/>
      <c r="B317" s="8"/>
      <c r="C317" s="13"/>
    </row>
    <row r="318" spans="1:3" x14ac:dyDescent="0.25">
      <c r="A318" s="8"/>
      <c r="B318" s="8"/>
      <c r="C318" s="13"/>
    </row>
    <row r="319" spans="1:3" x14ac:dyDescent="0.25">
      <c r="A319" s="8"/>
      <c r="B319" s="8"/>
      <c r="C319" s="13"/>
    </row>
    <row r="320" spans="1:3" x14ac:dyDescent="0.25">
      <c r="A320" s="8"/>
      <c r="B320" s="8"/>
      <c r="C320" s="13"/>
    </row>
    <row r="321" spans="1:3" x14ac:dyDescent="0.25">
      <c r="A321" s="8"/>
      <c r="B321" s="8"/>
      <c r="C321" s="13"/>
    </row>
    <row r="322" spans="1:3" x14ac:dyDescent="0.25">
      <c r="A322" s="8"/>
      <c r="B322" s="8"/>
      <c r="C322" s="13"/>
    </row>
    <row r="323" spans="1:3" x14ac:dyDescent="0.25">
      <c r="A323" s="8"/>
      <c r="B323" s="8"/>
      <c r="C323" s="13"/>
    </row>
    <row r="324" spans="1:3" x14ac:dyDescent="0.25">
      <c r="A324" s="8"/>
      <c r="B324" s="8"/>
      <c r="C324" s="13"/>
    </row>
    <row r="325" spans="1:3" x14ac:dyDescent="0.25">
      <c r="A325" s="8"/>
      <c r="B325" s="8"/>
      <c r="C325" s="13"/>
    </row>
    <row r="326" spans="1:3" x14ac:dyDescent="0.25">
      <c r="A326" s="8"/>
      <c r="B326" s="8"/>
      <c r="C326" s="13"/>
    </row>
    <row r="327" spans="1:3" x14ac:dyDescent="0.25">
      <c r="A327" s="8"/>
      <c r="B327" s="8"/>
      <c r="C327" s="13"/>
    </row>
    <row r="328" spans="1:3" x14ac:dyDescent="0.25">
      <c r="A328" s="8"/>
      <c r="B328" s="8"/>
      <c r="C328" s="13"/>
    </row>
    <row r="329" spans="1:3" x14ac:dyDescent="0.25">
      <c r="A329" s="8"/>
      <c r="B329" s="8"/>
      <c r="C329" s="13"/>
    </row>
    <row r="330" spans="1:3" x14ac:dyDescent="0.25">
      <c r="A330" s="8"/>
      <c r="B330" s="8"/>
      <c r="C330" s="13"/>
    </row>
    <row r="331" spans="1:3" x14ac:dyDescent="0.25">
      <c r="A331" s="8"/>
      <c r="B331" s="8"/>
      <c r="C331" s="13"/>
    </row>
    <row r="332" spans="1:3" x14ac:dyDescent="0.25">
      <c r="A332" s="8"/>
      <c r="B332" s="8"/>
      <c r="C332" s="13"/>
    </row>
    <row r="333" spans="1:3" x14ac:dyDescent="0.25">
      <c r="A333" s="8"/>
      <c r="B333" s="8"/>
      <c r="C333" s="13"/>
    </row>
    <row r="334" spans="1:3" x14ac:dyDescent="0.25">
      <c r="A334" s="8"/>
      <c r="B334" s="8"/>
      <c r="C334" s="13"/>
    </row>
    <row r="335" spans="1:3" x14ac:dyDescent="0.25">
      <c r="A335" s="8"/>
      <c r="B335" s="8"/>
      <c r="C335" s="13"/>
    </row>
    <row r="336" spans="1:3" x14ac:dyDescent="0.25">
      <c r="A336" s="8"/>
      <c r="B336" s="8"/>
      <c r="C336" s="13"/>
    </row>
    <row r="337" spans="1:3" x14ac:dyDescent="0.25">
      <c r="A337" s="8"/>
      <c r="B337" s="8"/>
      <c r="C337" s="13"/>
    </row>
    <row r="338" spans="1:3" x14ac:dyDescent="0.25">
      <c r="A338" s="8"/>
      <c r="B338" s="8"/>
      <c r="C338" s="13"/>
    </row>
    <row r="339" spans="1:3" x14ac:dyDescent="0.25">
      <c r="A339" s="8"/>
      <c r="B339" s="8"/>
      <c r="C339" s="13"/>
    </row>
    <row r="340" spans="1:3" x14ac:dyDescent="0.25">
      <c r="A340" s="8"/>
      <c r="B340" s="8"/>
      <c r="C340" s="13"/>
    </row>
    <row r="341" spans="1:3" x14ac:dyDescent="0.25">
      <c r="A341" s="8"/>
      <c r="B341" s="8"/>
      <c r="C341" s="13"/>
    </row>
    <row r="342" spans="1:3" x14ac:dyDescent="0.25">
      <c r="A342" s="8"/>
      <c r="B342" s="8"/>
      <c r="C342" s="13"/>
    </row>
    <row r="343" spans="1:3" x14ac:dyDescent="0.25">
      <c r="A343" s="8"/>
      <c r="B343" s="8"/>
      <c r="C343" s="13"/>
    </row>
    <row r="344" spans="1:3" x14ac:dyDescent="0.25">
      <c r="A344" s="8"/>
      <c r="B344" s="8"/>
      <c r="C344" s="13"/>
    </row>
    <row r="345" spans="1:3" x14ac:dyDescent="0.25">
      <c r="A345" s="8"/>
      <c r="B345" s="8"/>
      <c r="C345" s="13"/>
    </row>
    <row r="346" spans="1:3" x14ac:dyDescent="0.25">
      <c r="A346" s="8"/>
      <c r="B346" s="8"/>
      <c r="C346" s="13"/>
    </row>
    <row r="347" spans="1:3" x14ac:dyDescent="0.25">
      <c r="A347" s="8"/>
      <c r="B347" s="8"/>
      <c r="C347" s="13"/>
    </row>
    <row r="348" spans="1:3" x14ac:dyDescent="0.25">
      <c r="A348" s="8"/>
      <c r="B348" s="8"/>
      <c r="C348" s="13"/>
    </row>
    <row r="349" spans="1:3" x14ac:dyDescent="0.25">
      <c r="A349" s="8"/>
      <c r="B349" s="8"/>
      <c r="C349" s="13"/>
    </row>
    <row r="350" spans="1:3" x14ac:dyDescent="0.25">
      <c r="A350" s="8"/>
      <c r="B350" s="8"/>
      <c r="C350" s="13"/>
    </row>
    <row r="351" spans="1:3" x14ac:dyDescent="0.25">
      <c r="A351" s="8"/>
      <c r="B351" s="8"/>
      <c r="C351" s="13"/>
    </row>
    <row r="352" spans="1:3" x14ac:dyDescent="0.25">
      <c r="A352" s="8"/>
      <c r="B352" s="8"/>
      <c r="C352" s="13"/>
    </row>
    <row r="353" spans="1:3" x14ac:dyDescent="0.25">
      <c r="A353" s="8"/>
      <c r="B353" s="8"/>
      <c r="C353" s="13"/>
    </row>
    <row r="354" spans="1:3" x14ac:dyDescent="0.25">
      <c r="A354" s="8"/>
      <c r="B354" s="8"/>
      <c r="C354" s="13"/>
    </row>
    <row r="355" spans="1:3" x14ac:dyDescent="0.25">
      <c r="A355" s="8"/>
      <c r="B355" s="8"/>
      <c r="C355" s="13"/>
    </row>
    <row r="356" spans="1:3" x14ac:dyDescent="0.25">
      <c r="A356" s="8"/>
      <c r="B356" s="8"/>
      <c r="C356" s="13"/>
    </row>
    <row r="357" spans="1:3" x14ac:dyDescent="0.25">
      <c r="A357" s="8"/>
      <c r="B357" s="8"/>
      <c r="C357" s="13"/>
    </row>
    <row r="358" spans="1:3" x14ac:dyDescent="0.25">
      <c r="A358" s="8"/>
      <c r="B358" s="8"/>
      <c r="C358" s="13"/>
    </row>
    <row r="359" spans="1:3" x14ac:dyDescent="0.25">
      <c r="A359" s="8"/>
      <c r="B359" s="8"/>
      <c r="C359" s="13"/>
    </row>
    <row r="360" spans="1:3" x14ac:dyDescent="0.25">
      <c r="A360" s="8"/>
      <c r="B360" s="8"/>
      <c r="C360" s="13"/>
    </row>
    <row r="361" spans="1:3" x14ac:dyDescent="0.25">
      <c r="A361" s="8"/>
      <c r="B361" s="8"/>
      <c r="C361" s="13"/>
    </row>
    <row r="362" spans="1:3" x14ac:dyDescent="0.25">
      <c r="A362" s="8"/>
      <c r="B362" s="8"/>
      <c r="C362" s="13"/>
    </row>
    <row r="363" spans="1:3" x14ac:dyDescent="0.25">
      <c r="A363" s="8"/>
      <c r="B363" s="8"/>
      <c r="C363" s="13"/>
    </row>
    <row r="364" spans="1:3" x14ac:dyDescent="0.25">
      <c r="A364" s="8"/>
      <c r="B364" s="8"/>
      <c r="C364" s="13"/>
    </row>
    <row r="365" spans="1:3" x14ac:dyDescent="0.25">
      <c r="A365" s="8"/>
      <c r="B365" s="8"/>
      <c r="C365" s="13"/>
    </row>
    <row r="366" spans="1:3" x14ac:dyDescent="0.25">
      <c r="A366" s="8"/>
      <c r="B366" s="8"/>
      <c r="C366" s="13"/>
    </row>
    <row r="367" spans="1:3" x14ac:dyDescent="0.25">
      <c r="A367" s="8"/>
      <c r="B367" s="8"/>
      <c r="C367" s="13"/>
    </row>
    <row r="368" spans="1:3" x14ac:dyDescent="0.25">
      <c r="A368" s="8"/>
      <c r="B368" s="8"/>
      <c r="C368" s="13"/>
    </row>
    <row r="369" spans="1:3" x14ac:dyDescent="0.25">
      <c r="A369" s="8"/>
      <c r="B369" s="8"/>
      <c r="C369" s="13"/>
    </row>
    <row r="370" spans="1:3" x14ac:dyDescent="0.25">
      <c r="A370" s="8"/>
      <c r="B370" s="8"/>
      <c r="C370" s="13"/>
    </row>
    <row r="371" spans="1:3" x14ac:dyDescent="0.25">
      <c r="A371" s="8"/>
      <c r="B371" s="8"/>
      <c r="C371" s="13"/>
    </row>
    <row r="372" spans="1:3" x14ac:dyDescent="0.25">
      <c r="A372" s="8"/>
      <c r="B372" s="8"/>
      <c r="C372" s="13"/>
    </row>
    <row r="373" spans="1:3" x14ac:dyDescent="0.25">
      <c r="A373" s="8"/>
      <c r="B373" s="8"/>
      <c r="C373" s="13"/>
    </row>
    <row r="374" spans="1:3" x14ac:dyDescent="0.25">
      <c r="A374" s="8"/>
      <c r="B374" s="8"/>
      <c r="C374" s="13"/>
    </row>
    <row r="375" spans="1:3" x14ac:dyDescent="0.25">
      <c r="A375" s="8"/>
      <c r="B375" s="8"/>
      <c r="C375" s="13"/>
    </row>
    <row r="376" spans="1:3" x14ac:dyDescent="0.25">
      <c r="A376" s="8"/>
      <c r="B376" s="8"/>
      <c r="C376" s="13"/>
    </row>
    <row r="377" spans="1:3" x14ac:dyDescent="0.25">
      <c r="A377" s="8"/>
      <c r="B377" s="8"/>
      <c r="C377" s="13"/>
    </row>
    <row r="378" spans="1:3" x14ac:dyDescent="0.25">
      <c r="A378" s="8"/>
      <c r="B378" s="8"/>
      <c r="C378" s="13"/>
    </row>
    <row r="379" spans="1:3" x14ac:dyDescent="0.25">
      <c r="A379" s="8"/>
      <c r="B379" s="8"/>
      <c r="C379" s="13"/>
    </row>
    <row r="380" spans="1:3" x14ac:dyDescent="0.25">
      <c r="A380" s="8"/>
      <c r="B380" s="8"/>
      <c r="C380" s="13"/>
    </row>
    <row r="381" spans="1:3" x14ac:dyDescent="0.25">
      <c r="A381" s="8"/>
      <c r="B381" s="8"/>
      <c r="C381" s="13"/>
    </row>
    <row r="382" spans="1:3" x14ac:dyDescent="0.25">
      <c r="A382" s="8"/>
      <c r="B382" s="8"/>
      <c r="C382" s="13"/>
    </row>
    <row r="383" spans="1:3" x14ac:dyDescent="0.25">
      <c r="A383" s="8"/>
      <c r="B383" s="8"/>
      <c r="C383" s="13"/>
    </row>
    <row r="384" spans="1:3" x14ac:dyDescent="0.25">
      <c r="A384" s="8"/>
      <c r="B384" s="8"/>
      <c r="C384" s="13"/>
    </row>
    <row r="385" spans="1:3" x14ac:dyDescent="0.25">
      <c r="A385" s="8"/>
      <c r="B385" s="8"/>
      <c r="C385" s="13"/>
    </row>
    <row r="386" spans="1:3" x14ac:dyDescent="0.25">
      <c r="A386" s="8"/>
      <c r="B386" s="8"/>
      <c r="C386" s="13"/>
    </row>
    <row r="387" spans="1:3" x14ac:dyDescent="0.25">
      <c r="A387" s="8"/>
      <c r="B387" s="8"/>
      <c r="C387" s="13"/>
    </row>
    <row r="388" spans="1:3" x14ac:dyDescent="0.25">
      <c r="A388" s="8"/>
      <c r="B388" s="8"/>
      <c r="C388" s="13"/>
    </row>
    <row r="389" spans="1:3" x14ac:dyDescent="0.25">
      <c r="A389" s="8"/>
      <c r="B389" s="8"/>
      <c r="C389" s="13"/>
    </row>
    <row r="390" spans="1:3" x14ac:dyDescent="0.25">
      <c r="A390" s="8"/>
      <c r="B390" s="8"/>
      <c r="C390" s="13"/>
    </row>
    <row r="391" spans="1:3" x14ac:dyDescent="0.25">
      <c r="A391" s="8"/>
      <c r="B391" s="8"/>
      <c r="C391" s="13"/>
    </row>
    <row r="392" spans="1:3" x14ac:dyDescent="0.25">
      <c r="A392" s="8"/>
      <c r="B392" s="8"/>
      <c r="C392" s="13"/>
    </row>
    <row r="393" spans="1:3" x14ac:dyDescent="0.25">
      <c r="A393" s="8"/>
      <c r="B393" s="8"/>
      <c r="C393" s="13"/>
    </row>
    <row r="394" spans="1:3" x14ac:dyDescent="0.25">
      <c r="A394" s="8"/>
      <c r="B394" s="8"/>
      <c r="C394" s="13"/>
    </row>
    <row r="395" spans="1:3" x14ac:dyDescent="0.25">
      <c r="A395" s="8"/>
      <c r="B395" s="8"/>
      <c r="C395" s="13"/>
    </row>
    <row r="396" spans="1:3" x14ac:dyDescent="0.25">
      <c r="A396" s="8"/>
      <c r="B396" s="8"/>
      <c r="C396" s="13"/>
    </row>
    <row r="397" spans="1:3" x14ac:dyDescent="0.25">
      <c r="A397" s="8"/>
      <c r="B397" s="8"/>
      <c r="C397" s="13"/>
    </row>
    <row r="398" spans="1:3" x14ac:dyDescent="0.25">
      <c r="A398" s="8"/>
      <c r="B398" s="8"/>
      <c r="C398" s="13"/>
    </row>
    <row r="399" spans="1:3" x14ac:dyDescent="0.25">
      <c r="A399" s="8"/>
      <c r="B399" s="8"/>
      <c r="C399" s="13"/>
    </row>
    <row r="400" spans="1:3" x14ac:dyDescent="0.25">
      <c r="A400" s="8"/>
      <c r="B400" s="8"/>
      <c r="C400" s="13"/>
    </row>
    <row r="401" spans="1:3" x14ac:dyDescent="0.25">
      <c r="A401" s="8"/>
      <c r="B401" s="8"/>
      <c r="C401" s="13"/>
    </row>
    <row r="402" spans="1:3" x14ac:dyDescent="0.25">
      <c r="A402" s="8"/>
      <c r="B402" s="8"/>
      <c r="C402" s="13"/>
    </row>
    <row r="403" spans="1:3" x14ac:dyDescent="0.25">
      <c r="A403" s="8"/>
      <c r="B403" s="8"/>
      <c r="C403" s="13"/>
    </row>
    <row r="404" spans="1:3" x14ac:dyDescent="0.25">
      <c r="A404" s="8"/>
      <c r="B404" s="8"/>
      <c r="C404" s="13"/>
    </row>
    <row r="405" spans="1:3" x14ac:dyDescent="0.25">
      <c r="A405" s="8"/>
      <c r="B405" s="8"/>
      <c r="C405" s="13"/>
    </row>
    <row r="406" spans="1:3" x14ac:dyDescent="0.25">
      <c r="A406" s="8"/>
      <c r="B406" s="8"/>
      <c r="C406" s="13"/>
    </row>
    <row r="407" spans="1:3" x14ac:dyDescent="0.25">
      <c r="A407" s="8"/>
      <c r="B407" s="8"/>
      <c r="C407" s="13"/>
    </row>
    <row r="408" spans="1:3" x14ac:dyDescent="0.25">
      <c r="A408" s="8"/>
      <c r="B408" s="8"/>
      <c r="C408" s="13"/>
    </row>
    <row r="409" spans="1:3" x14ac:dyDescent="0.25">
      <c r="A409" s="8"/>
      <c r="B409" s="8"/>
      <c r="C409" s="13"/>
    </row>
    <row r="410" spans="1:3" x14ac:dyDescent="0.25">
      <c r="A410" s="8"/>
      <c r="B410" s="8"/>
      <c r="C410" s="13"/>
    </row>
    <row r="411" spans="1:3" x14ac:dyDescent="0.25">
      <c r="A411" s="8"/>
      <c r="B411" s="8"/>
      <c r="C411" s="13"/>
    </row>
    <row r="412" spans="1:3" x14ac:dyDescent="0.25">
      <c r="A412" s="8"/>
      <c r="B412" s="8"/>
      <c r="C412" s="13"/>
    </row>
    <row r="413" spans="1:3" x14ac:dyDescent="0.25">
      <c r="A413" s="8"/>
      <c r="B413" s="8"/>
      <c r="C413" s="13"/>
    </row>
    <row r="414" spans="1:3" x14ac:dyDescent="0.25">
      <c r="A414" s="8"/>
      <c r="B414" s="8"/>
      <c r="C414" s="13"/>
    </row>
    <row r="415" spans="1:3" x14ac:dyDescent="0.25">
      <c r="A415" s="8"/>
      <c r="B415" s="8"/>
      <c r="C415" s="13"/>
    </row>
    <row r="416" spans="1:3" x14ac:dyDescent="0.25">
      <c r="A416" s="8"/>
      <c r="B416" s="8"/>
      <c r="C416" s="13"/>
    </row>
    <row r="417" spans="1:3" x14ac:dyDescent="0.25">
      <c r="A417" s="8"/>
      <c r="B417" s="8"/>
      <c r="C417" s="13"/>
    </row>
    <row r="418" spans="1:3" x14ac:dyDescent="0.25">
      <c r="A418" s="8"/>
      <c r="B418" s="8"/>
      <c r="C418" s="13"/>
    </row>
    <row r="419" spans="1:3" x14ac:dyDescent="0.25">
      <c r="A419" s="8"/>
      <c r="B419" s="8"/>
      <c r="C419" s="13"/>
    </row>
    <row r="420" spans="1:3" x14ac:dyDescent="0.25">
      <c r="A420" s="8"/>
      <c r="B420" s="8"/>
      <c r="C420" s="13"/>
    </row>
    <row r="421" spans="1:3" x14ac:dyDescent="0.25">
      <c r="A421" s="8"/>
      <c r="B421" s="8"/>
      <c r="C421" s="13"/>
    </row>
    <row r="422" spans="1:3" x14ac:dyDescent="0.25">
      <c r="A422" s="8"/>
      <c r="B422" s="8"/>
      <c r="C422" s="13"/>
    </row>
    <row r="423" spans="1:3" x14ac:dyDescent="0.25">
      <c r="A423" s="8"/>
      <c r="B423" s="8"/>
      <c r="C423" s="13"/>
    </row>
    <row r="424" spans="1:3" x14ac:dyDescent="0.25">
      <c r="A424" s="8"/>
      <c r="B424" s="8"/>
      <c r="C424" s="13"/>
    </row>
    <row r="425" spans="1:3" x14ac:dyDescent="0.25">
      <c r="A425" s="8"/>
      <c r="B425" s="8"/>
      <c r="C425" s="13"/>
    </row>
    <row r="426" spans="1:3" x14ac:dyDescent="0.25">
      <c r="A426" s="8"/>
      <c r="B426" s="8"/>
      <c r="C426" s="13"/>
    </row>
    <row r="427" spans="1:3" x14ac:dyDescent="0.25">
      <c r="A427" s="8"/>
      <c r="B427" s="8"/>
      <c r="C427" s="13"/>
    </row>
    <row r="428" spans="1:3" x14ac:dyDescent="0.25">
      <c r="A428" s="8"/>
      <c r="B428" s="8"/>
      <c r="C428" s="13"/>
    </row>
    <row r="429" spans="1:3" x14ac:dyDescent="0.25">
      <c r="A429" s="8"/>
      <c r="B429" s="8"/>
      <c r="C429" s="13"/>
    </row>
    <row r="430" spans="1:3" x14ac:dyDescent="0.25">
      <c r="A430" s="8"/>
      <c r="B430" s="8"/>
      <c r="C430" s="13"/>
    </row>
    <row r="431" spans="1:3" x14ac:dyDescent="0.25">
      <c r="A431" s="8"/>
      <c r="B431" s="8"/>
      <c r="C431" s="13"/>
    </row>
    <row r="432" spans="1:3" x14ac:dyDescent="0.25">
      <c r="A432" s="8"/>
      <c r="B432" s="8"/>
      <c r="C432" s="13"/>
    </row>
    <row r="433" spans="1:3" x14ac:dyDescent="0.25">
      <c r="A433" s="8"/>
      <c r="B433" s="8"/>
      <c r="C433" s="13"/>
    </row>
    <row r="434" spans="1:3" x14ac:dyDescent="0.25">
      <c r="A434" s="8"/>
      <c r="B434" s="8"/>
      <c r="C434" s="13"/>
    </row>
    <row r="435" spans="1:3" x14ac:dyDescent="0.25">
      <c r="A435" s="8"/>
      <c r="B435" s="8"/>
      <c r="C435" s="13"/>
    </row>
    <row r="436" spans="1:3" x14ac:dyDescent="0.25">
      <c r="A436" s="8"/>
      <c r="B436" s="8"/>
      <c r="C436" s="13"/>
    </row>
    <row r="437" spans="1:3" x14ac:dyDescent="0.25">
      <c r="A437" s="8"/>
      <c r="B437" s="8"/>
      <c r="C437" s="13"/>
    </row>
    <row r="438" spans="1:3" x14ac:dyDescent="0.25">
      <c r="A438" s="8"/>
      <c r="B438" s="8"/>
      <c r="C438" s="13"/>
    </row>
    <row r="439" spans="1:3" x14ac:dyDescent="0.25">
      <c r="A439" s="8"/>
      <c r="B439" s="8"/>
      <c r="C439" s="13"/>
    </row>
    <row r="440" spans="1:3" x14ac:dyDescent="0.25">
      <c r="A440" s="8"/>
      <c r="B440" s="8"/>
      <c r="C440" s="13"/>
    </row>
    <row r="441" spans="1:3" x14ac:dyDescent="0.25">
      <c r="A441" s="8"/>
      <c r="B441" s="8"/>
      <c r="C441" s="13"/>
    </row>
    <row r="442" spans="1:3" x14ac:dyDescent="0.25">
      <c r="A442" s="8"/>
      <c r="B442" s="8"/>
      <c r="C442" s="13"/>
    </row>
    <row r="443" spans="1:3" x14ac:dyDescent="0.25">
      <c r="A443" s="8"/>
      <c r="B443" s="8"/>
      <c r="C443" s="13"/>
    </row>
    <row r="444" spans="1:3" x14ac:dyDescent="0.25">
      <c r="A444" s="8"/>
      <c r="B444" s="8"/>
      <c r="C444" s="13"/>
    </row>
    <row r="445" spans="1:3" x14ac:dyDescent="0.25">
      <c r="A445" s="8"/>
      <c r="B445" s="8"/>
      <c r="C445" s="13"/>
    </row>
    <row r="446" spans="1:3" x14ac:dyDescent="0.25">
      <c r="A446" s="8"/>
      <c r="B446" s="8"/>
      <c r="C446" s="13"/>
    </row>
    <row r="447" spans="1:3" x14ac:dyDescent="0.25">
      <c r="A447" s="8"/>
      <c r="B447" s="8"/>
      <c r="C447" s="13"/>
    </row>
    <row r="448" spans="1:3" x14ac:dyDescent="0.25">
      <c r="A448" s="8"/>
      <c r="B448" s="8"/>
      <c r="C448" s="13"/>
    </row>
    <row r="449" spans="1:3" x14ac:dyDescent="0.25">
      <c r="A449" s="8"/>
      <c r="B449" s="8"/>
      <c r="C449" s="13"/>
    </row>
    <row r="450" spans="1:3" x14ac:dyDescent="0.25">
      <c r="A450" s="8"/>
      <c r="B450" s="8"/>
      <c r="C450" s="13"/>
    </row>
    <row r="451" spans="1:3" x14ac:dyDescent="0.25">
      <c r="A451" s="8"/>
      <c r="B451" s="8"/>
      <c r="C451" s="13"/>
    </row>
    <row r="452" spans="1:3" x14ac:dyDescent="0.25">
      <c r="A452" s="8"/>
      <c r="B452" s="8"/>
      <c r="C452" s="13"/>
    </row>
    <row r="453" spans="1:3" x14ac:dyDescent="0.25">
      <c r="A453" s="8"/>
      <c r="B453" s="8"/>
      <c r="C453" s="13"/>
    </row>
    <row r="454" spans="1:3" x14ac:dyDescent="0.25">
      <c r="A454" s="8"/>
      <c r="B454" s="8"/>
      <c r="C454" s="13"/>
    </row>
    <row r="455" spans="1:3" x14ac:dyDescent="0.25">
      <c r="A455" s="8"/>
      <c r="B455" s="8"/>
      <c r="C455" s="13"/>
    </row>
    <row r="456" spans="1:3" x14ac:dyDescent="0.25">
      <c r="A456" s="8"/>
      <c r="B456" s="8"/>
      <c r="C456" s="13"/>
    </row>
    <row r="457" spans="1:3" x14ac:dyDescent="0.25">
      <c r="A457" s="8"/>
      <c r="B457" s="8"/>
      <c r="C457" s="13"/>
    </row>
    <row r="458" spans="1:3" x14ac:dyDescent="0.25">
      <c r="A458" s="8"/>
      <c r="B458" s="8"/>
      <c r="C458" s="13"/>
    </row>
    <row r="459" spans="1:3" x14ac:dyDescent="0.25">
      <c r="A459" s="8"/>
      <c r="B459" s="8"/>
      <c r="C459" s="13"/>
    </row>
    <row r="460" spans="1:3" x14ac:dyDescent="0.25">
      <c r="A460" s="8"/>
      <c r="B460" s="8"/>
      <c r="C460" s="13"/>
    </row>
    <row r="461" spans="1:3" x14ac:dyDescent="0.25">
      <c r="A461" s="8"/>
      <c r="B461" s="8"/>
      <c r="C461" s="13"/>
    </row>
    <row r="462" spans="1:3" x14ac:dyDescent="0.25">
      <c r="A462" s="8"/>
      <c r="B462" s="8"/>
      <c r="C462" s="13"/>
    </row>
    <row r="463" spans="1:3" x14ac:dyDescent="0.25">
      <c r="A463" s="8"/>
      <c r="B463" s="8"/>
      <c r="C463" s="13"/>
    </row>
    <row r="464" spans="1:3" x14ac:dyDescent="0.25">
      <c r="A464" s="8"/>
      <c r="B464" s="8"/>
      <c r="C464" s="13"/>
    </row>
    <row r="465" spans="1:3" x14ac:dyDescent="0.25">
      <c r="A465" s="8"/>
      <c r="B465" s="8"/>
      <c r="C465" s="13"/>
    </row>
    <row r="466" spans="1:3" x14ac:dyDescent="0.25">
      <c r="A466" s="8"/>
      <c r="B466" s="8"/>
      <c r="C466" s="13"/>
    </row>
    <row r="467" spans="1:3" x14ac:dyDescent="0.25">
      <c r="A467" s="8"/>
      <c r="B467" s="8"/>
      <c r="C467" s="13"/>
    </row>
    <row r="468" spans="1:3" x14ac:dyDescent="0.25">
      <c r="A468" s="8"/>
      <c r="B468" s="8"/>
      <c r="C468" s="13"/>
    </row>
    <row r="469" spans="1:3" x14ac:dyDescent="0.25">
      <c r="A469" s="8"/>
      <c r="B469" s="8"/>
      <c r="C469" s="13"/>
    </row>
    <row r="470" spans="1:3" x14ac:dyDescent="0.25">
      <c r="A470" s="8"/>
      <c r="B470" s="8"/>
      <c r="C470" s="13"/>
    </row>
    <row r="471" spans="1:3" x14ac:dyDescent="0.25">
      <c r="A471" s="8"/>
      <c r="B471" s="8"/>
      <c r="C471" s="13"/>
    </row>
    <row r="472" spans="1:3" x14ac:dyDescent="0.25">
      <c r="A472" s="8"/>
      <c r="B472" s="8"/>
      <c r="C472" s="13"/>
    </row>
    <row r="473" spans="1:3" x14ac:dyDescent="0.25">
      <c r="A473" s="8"/>
      <c r="B473" s="8"/>
      <c r="C473" s="13"/>
    </row>
    <row r="474" spans="1:3" x14ac:dyDescent="0.25">
      <c r="A474" s="8"/>
      <c r="B474" s="8"/>
      <c r="C474" s="13"/>
    </row>
    <row r="475" spans="1:3" x14ac:dyDescent="0.25">
      <c r="A475" s="8"/>
      <c r="B475" s="8"/>
      <c r="C475" s="13"/>
    </row>
    <row r="476" spans="1:3" x14ac:dyDescent="0.25">
      <c r="A476" s="8"/>
      <c r="B476" s="8"/>
      <c r="C476" s="13"/>
    </row>
    <row r="477" spans="1:3" x14ac:dyDescent="0.25">
      <c r="A477" s="8"/>
      <c r="B477" s="8"/>
      <c r="C477" s="13"/>
    </row>
    <row r="478" spans="1:3" x14ac:dyDescent="0.25">
      <c r="A478" s="8"/>
      <c r="B478" s="8"/>
      <c r="C478" s="13"/>
    </row>
    <row r="479" spans="1:3" x14ac:dyDescent="0.25">
      <c r="A479" s="8"/>
      <c r="B479" s="8"/>
      <c r="C479" s="13"/>
    </row>
    <row r="480" spans="1:3" x14ac:dyDescent="0.25">
      <c r="A480" s="8"/>
      <c r="B480" s="8"/>
      <c r="C480" s="13"/>
    </row>
    <row r="481" spans="1:3" x14ac:dyDescent="0.25">
      <c r="A481" s="8"/>
      <c r="B481" s="8"/>
      <c r="C481" s="13"/>
    </row>
    <row r="482" spans="1:3" x14ac:dyDescent="0.25">
      <c r="A482" s="8"/>
      <c r="B482" s="8"/>
      <c r="C482" s="13"/>
    </row>
    <row r="483" spans="1:3" x14ac:dyDescent="0.25">
      <c r="A483" s="8"/>
      <c r="B483" s="8"/>
      <c r="C483" s="13"/>
    </row>
    <row r="484" spans="1:3" x14ac:dyDescent="0.25">
      <c r="A484" s="8"/>
      <c r="B484" s="8"/>
      <c r="C484" s="13"/>
    </row>
    <row r="485" spans="1:3" x14ac:dyDescent="0.25">
      <c r="A485" s="8"/>
      <c r="B485" s="8"/>
      <c r="C485" s="13"/>
    </row>
    <row r="486" spans="1:3" x14ac:dyDescent="0.25">
      <c r="A486" s="8"/>
      <c r="B486" s="8"/>
      <c r="C486" s="13"/>
    </row>
    <row r="487" spans="1:3" x14ac:dyDescent="0.25">
      <c r="A487" s="8"/>
      <c r="B487" s="8"/>
      <c r="C487" s="13"/>
    </row>
    <row r="488" spans="1:3" x14ac:dyDescent="0.25">
      <c r="A488" s="8"/>
      <c r="B488" s="8"/>
      <c r="C488" s="13"/>
    </row>
    <row r="489" spans="1:3" x14ac:dyDescent="0.25">
      <c r="A489" s="8"/>
      <c r="B489" s="8"/>
      <c r="C489" s="13"/>
    </row>
    <row r="490" spans="1:3" x14ac:dyDescent="0.25">
      <c r="A490" s="8"/>
      <c r="B490" s="8"/>
      <c r="C490" s="13"/>
    </row>
    <row r="491" spans="1:3" x14ac:dyDescent="0.25">
      <c r="A491" s="8"/>
      <c r="B491" s="8"/>
      <c r="C491" s="13"/>
    </row>
    <row r="492" spans="1:3" x14ac:dyDescent="0.25">
      <c r="A492" s="8"/>
      <c r="B492" s="8"/>
      <c r="C492" s="13"/>
    </row>
    <row r="493" spans="1:3" x14ac:dyDescent="0.25">
      <c r="A493" s="8"/>
      <c r="B493" s="8"/>
      <c r="C493" s="13"/>
    </row>
    <row r="494" spans="1:3" x14ac:dyDescent="0.25">
      <c r="A494" s="8"/>
      <c r="B494" s="8"/>
      <c r="C494" s="13"/>
    </row>
    <row r="495" spans="1:3" x14ac:dyDescent="0.25">
      <c r="A495" s="8"/>
      <c r="B495" s="8"/>
      <c r="C495" s="13"/>
    </row>
    <row r="496" spans="1:3" x14ac:dyDescent="0.25">
      <c r="A496" s="8"/>
      <c r="B496" s="8"/>
      <c r="C496" s="13"/>
    </row>
    <row r="497" spans="1:3" x14ac:dyDescent="0.25">
      <c r="A497" s="8"/>
      <c r="B497" s="8"/>
      <c r="C497" s="13"/>
    </row>
    <row r="498" spans="1:3" x14ac:dyDescent="0.25">
      <c r="A498" s="8"/>
      <c r="B498" s="8"/>
      <c r="C498" s="13"/>
    </row>
    <row r="499" spans="1:3" x14ac:dyDescent="0.25">
      <c r="A499" s="8"/>
      <c r="B499" s="8"/>
      <c r="C499" s="13"/>
    </row>
    <row r="500" spans="1:3" x14ac:dyDescent="0.25">
      <c r="A500" s="8"/>
      <c r="B500" s="8"/>
      <c r="C500" s="13"/>
    </row>
    <row r="501" spans="1:3" x14ac:dyDescent="0.25">
      <c r="A501" s="8"/>
      <c r="B501" s="8"/>
      <c r="C501" s="13"/>
    </row>
    <row r="502" spans="1:3" x14ac:dyDescent="0.25">
      <c r="A502" s="8"/>
      <c r="B502" s="8"/>
      <c r="C502" s="13"/>
    </row>
    <row r="503" spans="1:3" x14ac:dyDescent="0.25">
      <c r="A503" s="8"/>
      <c r="B503" s="8"/>
      <c r="C503" s="13"/>
    </row>
    <row r="504" spans="1:3" x14ac:dyDescent="0.25">
      <c r="A504" s="8"/>
      <c r="B504" s="8"/>
      <c r="C504" s="13"/>
    </row>
    <row r="505" spans="1:3" x14ac:dyDescent="0.25">
      <c r="A505" s="8"/>
      <c r="B505" s="8"/>
      <c r="C505" s="13"/>
    </row>
    <row r="506" spans="1:3" x14ac:dyDescent="0.25">
      <c r="A506" s="8"/>
      <c r="B506" s="8"/>
      <c r="C506" s="13"/>
    </row>
    <row r="507" spans="1:3" x14ac:dyDescent="0.25">
      <c r="A507" s="8"/>
      <c r="B507" s="8"/>
      <c r="C507" s="13"/>
    </row>
    <row r="508" spans="1:3" x14ac:dyDescent="0.25">
      <c r="A508" s="8"/>
      <c r="B508" s="8"/>
      <c r="C508" s="13"/>
    </row>
    <row r="509" spans="1:3" x14ac:dyDescent="0.25">
      <c r="A509" s="8"/>
      <c r="B509" s="8"/>
      <c r="C509" s="13"/>
    </row>
    <row r="510" spans="1:3" x14ac:dyDescent="0.25">
      <c r="A510" s="8"/>
      <c r="B510" s="8"/>
      <c r="C510" s="13"/>
    </row>
    <row r="511" spans="1:3" x14ac:dyDescent="0.25">
      <c r="A511" s="8"/>
      <c r="B511" s="8"/>
      <c r="C511" s="13"/>
    </row>
    <row r="512" spans="1:3" x14ac:dyDescent="0.25">
      <c r="A512" s="8"/>
      <c r="B512" s="8"/>
      <c r="C512" s="13"/>
    </row>
    <row r="513" spans="1:3" x14ac:dyDescent="0.25">
      <c r="A513" s="8"/>
      <c r="B513" s="8"/>
      <c r="C513" s="13"/>
    </row>
    <row r="514" spans="1:3" x14ac:dyDescent="0.25">
      <c r="A514" s="8"/>
      <c r="B514" s="8"/>
      <c r="C514" s="13"/>
    </row>
    <row r="515" spans="1:3" x14ac:dyDescent="0.25">
      <c r="A515" s="8"/>
      <c r="B515" s="8"/>
      <c r="C515" s="13"/>
    </row>
    <row r="516" spans="1:3" x14ac:dyDescent="0.25">
      <c r="A516" s="8"/>
      <c r="B516" s="8"/>
      <c r="C516" s="13"/>
    </row>
    <row r="517" spans="1:3" x14ac:dyDescent="0.25">
      <c r="A517" s="8"/>
      <c r="B517" s="8"/>
      <c r="C517" s="13"/>
    </row>
    <row r="518" spans="1:3" x14ac:dyDescent="0.25">
      <c r="A518" s="8"/>
      <c r="B518" s="8"/>
      <c r="C518" s="13"/>
    </row>
    <row r="519" spans="1:3" x14ac:dyDescent="0.25">
      <c r="A519" s="8"/>
      <c r="B519" s="8"/>
      <c r="C519" s="13"/>
    </row>
    <row r="520" spans="1:3" x14ac:dyDescent="0.25">
      <c r="A520" s="8"/>
      <c r="B520" s="8"/>
      <c r="C520" s="13"/>
    </row>
    <row r="521" spans="1:3" x14ac:dyDescent="0.25">
      <c r="A521" s="8"/>
      <c r="B521" s="8"/>
      <c r="C521" s="13"/>
    </row>
    <row r="522" spans="1:3" x14ac:dyDescent="0.25">
      <c r="A522" s="8"/>
      <c r="B522" s="8"/>
      <c r="C522" s="13"/>
    </row>
    <row r="523" spans="1:3" x14ac:dyDescent="0.25">
      <c r="A523" s="8"/>
      <c r="B523" s="8"/>
      <c r="C523" s="13"/>
    </row>
    <row r="524" spans="1:3" x14ac:dyDescent="0.25">
      <c r="A524" s="8"/>
      <c r="B524" s="8"/>
      <c r="C524" s="13"/>
    </row>
    <row r="525" spans="1:3" x14ac:dyDescent="0.25">
      <c r="A525" s="8"/>
      <c r="B525" s="8"/>
      <c r="C525" s="13"/>
    </row>
    <row r="526" spans="1:3" x14ac:dyDescent="0.25">
      <c r="A526" s="8"/>
      <c r="B526" s="8"/>
      <c r="C526" s="13"/>
    </row>
    <row r="527" spans="1:3" x14ac:dyDescent="0.25">
      <c r="A527" s="8"/>
      <c r="B527" s="8"/>
      <c r="C527" s="13"/>
    </row>
    <row r="528" spans="1:3" x14ac:dyDescent="0.25">
      <c r="A528" s="8"/>
      <c r="B528" s="8"/>
      <c r="C528" s="13"/>
    </row>
    <row r="529" spans="1:3" x14ac:dyDescent="0.25">
      <c r="A529" s="8"/>
      <c r="B529" s="8"/>
      <c r="C529" s="13"/>
    </row>
    <row r="530" spans="1:3" x14ac:dyDescent="0.25">
      <c r="A530" s="8"/>
      <c r="B530" s="8"/>
      <c r="C530" s="13"/>
    </row>
    <row r="531" spans="1:3" x14ac:dyDescent="0.25">
      <c r="A531" s="8"/>
      <c r="B531" s="8"/>
      <c r="C531" s="13"/>
    </row>
    <row r="532" spans="1:3" x14ac:dyDescent="0.25">
      <c r="A532" s="8"/>
      <c r="B532" s="8"/>
      <c r="C532" s="13"/>
    </row>
    <row r="533" spans="1:3" x14ac:dyDescent="0.25">
      <c r="A533" s="8"/>
      <c r="B533" s="8"/>
      <c r="C533" s="13"/>
    </row>
    <row r="534" spans="1:3" x14ac:dyDescent="0.25">
      <c r="A534" s="8"/>
      <c r="B534" s="8"/>
      <c r="C534" s="13"/>
    </row>
    <row r="535" spans="1:3" x14ac:dyDescent="0.25">
      <c r="A535" s="8"/>
      <c r="B535" s="8"/>
      <c r="C535" s="13"/>
    </row>
    <row r="536" spans="1:3" x14ac:dyDescent="0.25">
      <c r="A536" s="8"/>
      <c r="B536" s="8"/>
      <c r="C536" s="13"/>
    </row>
    <row r="537" spans="1:3" x14ac:dyDescent="0.25">
      <c r="A537" s="8"/>
      <c r="B537" s="8"/>
      <c r="C537" s="13"/>
    </row>
    <row r="538" spans="1:3" x14ac:dyDescent="0.25">
      <c r="A538" s="8"/>
      <c r="B538" s="8"/>
      <c r="C538" s="13"/>
    </row>
    <row r="539" spans="1:3" x14ac:dyDescent="0.25">
      <c r="A539" s="8"/>
      <c r="B539" s="8"/>
      <c r="C539" s="13"/>
    </row>
    <row r="540" spans="1:3" x14ac:dyDescent="0.25">
      <c r="A540" s="8"/>
      <c r="B540" s="8"/>
      <c r="C540" s="13"/>
    </row>
    <row r="541" spans="1:3" x14ac:dyDescent="0.25">
      <c r="A541" s="8"/>
      <c r="B541" s="8"/>
      <c r="C541" s="13"/>
    </row>
    <row r="542" spans="1:3" x14ac:dyDescent="0.25">
      <c r="A542" s="8"/>
      <c r="B542" s="8"/>
      <c r="C542" s="13"/>
    </row>
    <row r="543" spans="1:3" x14ac:dyDescent="0.25">
      <c r="A543" s="8"/>
      <c r="B543" s="8"/>
      <c r="C543" s="13"/>
    </row>
    <row r="544" spans="1:3" x14ac:dyDescent="0.25">
      <c r="A544" s="8"/>
      <c r="B544" s="8"/>
      <c r="C544" s="13"/>
    </row>
    <row r="545" spans="1:3" x14ac:dyDescent="0.25">
      <c r="A545" s="8"/>
      <c r="B545" s="8"/>
      <c r="C545" s="13"/>
    </row>
    <row r="546" spans="1:3" x14ac:dyDescent="0.25">
      <c r="A546" s="8"/>
      <c r="B546" s="8"/>
      <c r="C546" s="13"/>
    </row>
    <row r="547" spans="1:3" x14ac:dyDescent="0.25">
      <c r="A547" s="8"/>
      <c r="B547" s="8"/>
      <c r="C547" s="13"/>
    </row>
    <row r="548" spans="1:3" x14ac:dyDescent="0.25">
      <c r="A548" s="8"/>
      <c r="B548" s="8"/>
      <c r="C548" s="13"/>
    </row>
    <row r="549" spans="1:3" x14ac:dyDescent="0.25">
      <c r="A549" s="8"/>
      <c r="B549" s="8"/>
      <c r="C549" s="13"/>
    </row>
    <row r="550" spans="1:3" x14ac:dyDescent="0.25">
      <c r="A550" s="8"/>
      <c r="B550" s="8"/>
      <c r="C550" s="13"/>
    </row>
    <row r="551" spans="1:3" x14ac:dyDescent="0.25">
      <c r="A551" s="8"/>
      <c r="B551" s="8"/>
      <c r="C551" s="13"/>
    </row>
    <row r="552" spans="1:3" x14ac:dyDescent="0.25">
      <c r="A552" s="8"/>
      <c r="B552" s="8"/>
      <c r="C552" s="13"/>
    </row>
    <row r="553" spans="1:3" x14ac:dyDescent="0.25">
      <c r="A553" s="8"/>
      <c r="B553" s="8"/>
      <c r="C553" s="13"/>
    </row>
    <row r="554" spans="1:3" x14ac:dyDescent="0.25">
      <c r="A554" s="8"/>
      <c r="B554" s="8"/>
      <c r="C554" s="13"/>
    </row>
    <row r="555" spans="1:3" x14ac:dyDescent="0.25">
      <c r="A555" s="8"/>
      <c r="B555" s="8"/>
      <c r="C555" s="13"/>
    </row>
    <row r="556" spans="1:3" x14ac:dyDescent="0.25">
      <c r="A556" s="8"/>
      <c r="B556" s="8"/>
      <c r="C556" s="13"/>
    </row>
    <row r="557" spans="1:3" x14ac:dyDescent="0.25">
      <c r="A557" s="8"/>
      <c r="B557" s="8"/>
      <c r="C557" s="13"/>
    </row>
    <row r="558" spans="1:3" x14ac:dyDescent="0.25">
      <c r="A558" s="8"/>
      <c r="B558" s="8"/>
      <c r="C558" s="13"/>
    </row>
    <row r="559" spans="1:3" x14ac:dyDescent="0.25">
      <c r="A559" s="8"/>
      <c r="B559" s="8"/>
      <c r="C559" s="13"/>
    </row>
    <row r="560" spans="1:3" x14ac:dyDescent="0.25">
      <c r="A560" s="8"/>
      <c r="B560" s="8"/>
      <c r="C560" s="13"/>
    </row>
    <row r="561" spans="1:3" x14ac:dyDescent="0.25">
      <c r="A561" s="8"/>
      <c r="B561" s="8"/>
      <c r="C561" s="13"/>
    </row>
    <row r="562" spans="1:3" x14ac:dyDescent="0.25">
      <c r="A562" s="8"/>
      <c r="B562" s="8"/>
      <c r="C562" s="13"/>
    </row>
    <row r="563" spans="1:3" x14ac:dyDescent="0.25">
      <c r="A563" s="8"/>
      <c r="B563" s="8"/>
      <c r="C563" s="13"/>
    </row>
    <row r="564" spans="1:3" x14ac:dyDescent="0.25">
      <c r="A564" s="8"/>
      <c r="B564" s="8"/>
      <c r="C564" s="13"/>
    </row>
    <row r="565" spans="1:3" x14ac:dyDescent="0.25">
      <c r="A565" s="8"/>
      <c r="B565" s="8"/>
      <c r="C565" s="13"/>
    </row>
    <row r="566" spans="1:3" x14ac:dyDescent="0.25">
      <c r="A566" s="8"/>
      <c r="B566" s="8"/>
      <c r="C566" s="13"/>
    </row>
    <row r="567" spans="1:3" x14ac:dyDescent="0.25">
      <c r="A567" s="8"/>
      <c r="B567" s="8"/>
      <c r="C567" s="13"/>
    </row>
    <row r="568" spans="1:3" x14ac:dyDescent="0.25">
      <c r="A568" s="8"/>
      <c r="B568" s="8"/>
      <c r="C568" s="13"/>
    </row>
    <row r="569" spans="1:3" x14ac:dyDescent="0.25">
      <c r="A569" s="8"/>
      <c r="B569" s="8"/>
      <c r="C569" s="13"/>
    </row>
    <row r="570" spans="1:3" x14ac:dyDescent="0.25">
      <c r="A570" s="8"/>
      <c r="B570" s="8"/>
      <c r="C570" s="13"/>
    </row>
    <row r="571" spans="1:3" x14ac:dyDescent="0.25">
      <c r="A571" s="8"/>
      <c r="B571" s="8"/>
      <c r="C571" s="13"/>
    </row>
    <row r="572" spans="1:3" x14ac:dyDescent="0.25">
      <c r="A572" s="8"/>
      <c r="B572" s="8"/>
      <c r="C572" s="13"/>
    </row>
    <row r="573" spans="1:3" x14ac:dyDescent="0.25">
      <c r="A573" s="8"/>
      <c r="B573" s="8"/>
      <c r="C573" s="13"/>
    </row>
    <row r="574" spans="1:3" x14ac:dyDescent="0.25">
      <c r="A574" s="8"/>
      <c r="B574" s="8"/>
      <c r="C574" s="13"/>
    </row>
    <row r="575" spans="1:3" x14ac:dyDescent="0.25">
      <c r="A575" s="8"/>
      <c r="B575" s="8"/>
      <c r="C575" s="13"/>
    </row>
    <row r="576" spans="1:3" x14ac:dyDescent="0.25">
      <c r="A576" s="8"/>
      <c r="B576" s="8"/>
      <c r="C576" s="13"/>
    </row>
    <row r="577" spans="1:3" x14ac:dyDescent="0.25">
      <c r="A577" s="8"/>
      <c r="B577" s="8"/>
      <c r="C577" s="13"/>
    </row>
    <row r="578" spans="1:3" x14ac:dyDescent="0.25">
      <c r="A578" s="8"/>
      <c r="B578" s="8"/>
      <c r="C578" s="13"/>
    </row>
    <row r="579" spans="1:3" x14ac:dyDescent="0.25">
      <c r="A579" s="8"/>
      <c r="B579" s="8"/>
      <c r="C579" s="13"/>
    </row>
    <row r="580" spans="1:3" x14ac:dyDescent="0.25">
      <c r="A580" s="8"/>
      <c r="B580" s="8"/>
      <c r="C580" s="13"/>
    </row>
    <row r="581" spans="1:3" x14ac:dyDescent="0.25">
      <c r="A581" s="8"/>
      <c r="B581" s="8"/>
      <c r="C581" s="13"/>
    </row>
    <row r="582" spans="1:3" x14ac:dyDescent="0.25">
      <c r="A582" s="8"/>
      <c r="B582" s="8"/>
      <c r="C582" s="13"/>
    </row>
    <row r="583" spans="1:3" x14ac:dyDescent="0.25">
      <c r="A583" s="8"/>
      <c r="B583" s="8"/>
      <c r="C583" s="13"/>
    </row>
    <row r="584" spans="1:3" x14ac:dyDescent="0.25">
      <c r="A584" s="8"/>
      <c r="B584" s="8"/>
      <c r="C584" s="13"/>
    </row>
    <row r="585" spans="1:3" x14ac:dyDescent="0.25">
      <c r="A585" s="8"/>
      <c r="B585" s="8"/>
      <c r="C585" s="13"/>
    </row>
    <row r="586" spans="1:3" x14ac:dyDescent="0.25">
      <c r="A586" s="8"/>
      <c r="B586" s="8"/>
      <c r="C586" s="13"/>
    </row>
    <row r="587" spans="1:3" x14ac:dyDescent="0.25">
      <c r="A587" s="8"/>
      <c r="B587" s="8"/>
      <c r="C587" s="13"/>
    </row>
    <row r="588" spans="1:3" x14ac:dyDescent="0.25">
      <c r="A588" s="8"/>
      <c r="B588" s="8"/>
      <c r="C588" s="13"/>
    </row>
    <row r="589" spans="1:3" x14ac:dyDescent="0.25">
      <c r="A589" s="8"/>
      <c r="B589" s="8"/>
      <c r="C589" s="13"/>
    </row>
    <row r="590" spans="1:3" x14ac:dyDescent="0.25">
      <c r="A590" s="8"/>
      <c r="B590" s="8"/>
      <c r="C590" s="13"/>
    </row>
    <row r="591" spans="1:3" x14ac:dyDescent="0.25">
      <c r="A591" s="8"/>
      <c r="B591" s="8"/>
      <c r="C591" s="13"/>
    </row>
    <row r="592" spans="1:3" x14ac:dyDescent="0.25">
      <c r="A592" s="8"/>
      <c r="B592" s="8"/>
      <c r="C592" s="13"/>
    </row>
    <row r="593" spans="1:3" x14ac:dyDescent="0.25">
      <c r="A593" s="8"/>
      <c r="B593" s="8"/>
      <c r="C593" s="13"/>
    </row>
    <row r="594" spans="1:3" x14ac:dyDescent="0.25">
      <c r="A594" s="8"/>
      <c r="B594" s="8"/>
      <c r="C594" s="13"/>
    </row>
    <row r="595" spans="1:3" x14ac:dyDescent="0.25">
      <c r="A595" s="8"/>
      <c r="B595" s="8"/>
      <c r="C595" s="13"/>
    </row>
    <row r="596" spans="1:3" x14ac:dyDescent="0.25">
      <c r="A596" s="8"/>
      <c r="B596" s="8"/>
      <c r="C596" s="13"/>
    </row>
    <row r="597" spans="1:3" x14ac:dyDescent="0.25">
      <c r="A597" s="8"/>
      <c r="B597" s="8"/>
      <c r="C597" s="13"/>
    </row>
    <row r="598" spans="1:3" x14ac:dyDescent="0.25">
      <c r="A598" s="8"/>
      <c r="B598" s="8"/>
      <c r="C598" s="13"/>
    </row>
    <row r="599" spans="1:3" x14ac:dyDescent="0.25">
      <c r="A599" s="8"/>
      <c r="B599" s="8"/>
      <c r="C599" s="13"/>
    </row>
    <row r="600" spans="1:3" x14ac:dyDescent="0.25">
      <c r="A600" s="8"/>
      <c r="B600" s="8"/>
      <c r="C600" s="13"/>
    </row>
    <row r="601" spans="1:3" x14ac:dyDescent="0.25">
      <c r="A601" s="8"/>
      <c r="B601" s="8"/>
      <c r="C601" s="13"/>
    </row>
    <row r="602" spans="1:3" x14ac:dyDescent="0.25">
      <c r="A602" s="8"/>
      <c r="B602" s="8"/>
      <c r="C602" s="13"/>
    </row>
    <row r="603" spans="1:3" x14ac:dyDescent="0.25">
      <c r="A603" s="8"/>
      <c r="B603" s="8"/>
      <c r="C603" s="13"/>
    </row>
    <row r="604" spans="1:3" x14ac:dyDescent="0.25">
      <c r="A604" s="8"/>
      <c r="B604" s="8"/>
      <c r="C604" s="13"/>
    </row>
    <row r="605" spans="1:3" x14ac:dyDescent="0.25">
      <c r="A605" s="8"/>
      <c r="B605" s="8"/>
      <c r="C605" s="13"/>
    </row>
    <row r="606" spans="1:3" x14ac:dyDescent="0.25">
      <c r="A606" s="8"/>
      <c r="B606" s="8"/>
      <c r="C606" s="13"/>
    </row>
    <row r="607" spans="1:3" x14ac:dyDescent="0.25">
      <c r="A607" s="8"/>
      <c r="B607" s="8"/>
      <c r="C607" s="13"/>
    </row>
    <row r="608" spans="1:3" x14ac:dyDescent="0.25">
      <c r="A608" s="8"/>
      <c r="B608" s="8"/>
      <c r="C608" s="13"/>
    </row>
    <row r="609" spans="1:3" x14ac:dyDescent="0.25">
      <c r="A609" s="8"/>
      <c r="B609" s="8"/>
      <c r="C609" s="13"/>
    </row>
    <row r="610" spans="1:3" x14ac:dyDescent="0.25">
      <c r="A610" s="8"/>
      <c r="B610" s="8"/>
      <c r="C610" s="13"/>
    </row>
    <row r="611" spans="1:3" x14ac:dyDescent="0.25">
      <c r="A611" s="8"/>
      <c r="B611" s="8"/>
      <c r="C611" s="13"/>
    </row>
    <row r="612" spans="1:3" x14ac:dyDescent="0.25">
      <c r="A612" s="8"/>
      <c r="B612" s="8"/>
      <c r="C612" s="13"/>
    </row>
    <row r="613" spans="1:3" x14ac:dyDescent="0.25">
      <c r="A613" s="8"/>
      <c r="B613" s="8"/>
      <c r="C613" s="13"/>
    </row>
    <row r="614" spans="1:3" x14ac:dyDescent="0.25">
      <c r="A614" s="8"/>
      <c r="B614" s="8"/>
      <c r="C614" s="13"/>
    </row>
    <row r="615" spans="1:3" x14ac:dyDescent="0.25">
      <c r="A615" s="8"/>
      <c r="B615" s="8"/>
      <c r="C615" s="13"/>
    </row>
    <row r="616" spans="1:3" x14ac:dyDescent="0.25">
      <c r="A616" s="8"/>
      <c r="B616" s="8"/>
      <c r="C616" s="13"/>
    </row>
    <row r="617" spans="1:3" x14ac:dyDescent="0.25">
      <c r="A617" s="8"/>
      <c r="B617" s="8"/>
      <c r="C617" s="13"/>
    </row>
    <row r="618" spans="1:3" x14ac:dyDescent="0.25">
      <c r="A618" s="8"/>
      <c r="B618" s="8"/>
      <c r="C618" s="13"/>
    </row>
    <row r="619" spans="1:3" x14ac:dyDescent="0.25">
      <c r="A619" s="8"/>
      <c r="B619" s="8"/>
      <c r="C619" s="13"/>
    </row>
    <row r="620" spans="1:3" x14ac:dyDescent="0.25">
      <c r="A620" s="8"/>
      <c r="B620" s="8"/>
      <c r="C620" s="13"/>
    </row>
    <row r="621" spans="1:3" x14ac:dyDescent="0.25">
      <c r="A621" s="8"/>
      <c r="B621" s="8"/>
      <c r="C621" s="13"/>
    </row>
    <row r="622" spans="1:3" x14ac:dyDescent="0.25">
      <c r="A622" s="8"/>
      <c r="B622" s="8"/>
      <c r="C622" s="13"/>
    </row>
    <row r="623" spans="1:3" x14ac:dyDescent="0.25">
      <c r="A623" s="8"/>
      <c r="B623" s="8"/>
      <c r="C623" s="13"/>
    </row>
    <row r="624" spans="1:3" x14ac:dyDescent="0.25">
      <c r="A624" s="8"/>
      <c r="B624" s="8"/>
      <c r="C624" s="13"/>
    </row>
    <row r="625" spans="1:3" x14ac:dyDescent="0.25">
      <c r="A625" s="8"/>
      <c r="B625" s="8"/>
      <c r="C625" s="13"/>
    </row>
    <row r="626" spans="1:3" x14ac:dyDescent="0.25">
      <c r="A626" s="8"/>
      <c r="B626" s="8"/>
      <c r="C626" s="13"/>
    </row>
    <row r="627" spans="1:3" x14ac:dyDescent="0.25">
      <c r="A627" s="8"/>
      <c r="B627" s="8"/>
      <c r="C627" s="13"/>
    </row>
    <row r="628" spans="1:3" x14ac:dyDescent="0.25">
      <c r="A628" s="8"/>
      <c r="B628" s="8"/>
      <c r="C628" s="13"/>
    </row>
    <row r="629" spans="1:3" x14ac:dyDescent="0.25">
      <c r="A629" s="8"/>
      <c r="B629" s="8"/>
      <c r="C629" s="13"/>
    </row>
    <row r="630" spans="1:3" x14ac:dyDescent="0.25">
      <c r="A630" s="8"/>
      <c r="B630" s="8"/>
      <c r="C630" s="13"/>
    </row>
    <row r="631" spans="1:3" x14ac:dyDescent="0.25">
      <c r="A631" s="8"/>
      <c r="B631" s="8"/>
      <c r="C631" s="13"/>
    </row>
    <row r="632" spans="1:3" x14ac:dyDescent="0.25">
      <c r="A632" s="8"/>
      <c r="B632" s="8"/>
      <c r="C632" s="13"/>
    </row>
    <row r="633" spans="1:3" x14ac:dyDescent="0.25">
      <c r="A633" s="8"/>
      <c r="B633" s="8"/>
      <c r="C633" s="13"/>
    </row>
    <row r="634" spans="1:3" x14ac:dyDescent="0.25">
      <c r="A634" s="8"/>
      <c r="B634" s="8"/>
      <c r="C634" s="13"/>
    </row>
    <row r="635" spans="1:3" x14ac:dyDescent="0.25">
      <c r="A635" s="8"/>
      <c r="B635" s="8"/>
      <c r="C635" s="15"/>
    </row>
    <row r="644" spans="1:1" x14ac:dyDescent="0.25">
      <c r="A644" s="2" t="s">
        <v>1</v>
      </c>
    </row>
  </sheetData>
  <mergeCells count="3">
    <mergeCell ref="A74:D74"/>
    <mergeCell ref="A75:D75"/>
    <mergeCell ref="A76:D76"/>
  </mergeCells>
  <conditionalFormatting sqref="C9:C14">
    <cfRule type="duplicateValues" dxfId="9" priority="5"/>
  </conditionalFormatting>
  <conditionalFormatting sqref="C17">
    <cfRule type="duplicateValues" dxfId="8" priority="1"/>
  </conditionalFormatting>
  <conditionalFormatting sqref="C18:C24 C16">
    <cfRule type="duplicateValues" dxfId="7" priority="7"/>
  </conditionalFormatting>
  <conditionalFormatting sqref="C25 C15">
    <cfRule type="duplicateValues" dxfId="6" priority="6"/>
  </conditionalFormatting>
  <conditionalFormatting sqref="C30:C35">
    <cfRule type="duplicateValues" dxfId="5" priority="4"/>
  </conditionalFormatting>
  <conditionalFormatting sqref="C38">
    <cfRule type="duplicateValues" dxfId="4" priority="8"/>
  </conditionalFormatting>
  <conditionalFormatting sqref="C39:C43">
    <cfRule type="duplicateValues" dxfId="3" priority="3"/>
  </conditionalFormatting>
  <conditionalFormatting sqref="C45:C68 C37 C26:C29">
    <cfRule type="duplicateValues" dxfId="2" priority="9"/>
  </conditionalFormatting>
  <conditionalFormatting sqref="C78:C1048576 C1:C73">
    <cfRule type="duplicateValues" dxfId="1" priority="2"/>
  </conditionalFormatting>
  <conditionalFormatting sqref="D15">
    <cfRule type="duplicateValues" dxfId="0" priority="10"/>
  </conditionalFormatting>
  <pageMargins left="0.25" right="0.25" top="0.75" bottom="0.75" header="0.3" footer="0.3"/>
  <pageSetup paperSize="9" scale="72" orientation="portrait" r:id="rId1"/>
  <rowBreaks count="2" manualBreakCount="2">
    <brk id="78" max="4" man="1"/>
    <brk id="465" max="4"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77207-5F2B-41DD-AB62-531D3BB908E0}">
  <dimension ref="A1:AB607"/>
  <sheetViews>
    <sheetView zoomScale="115" zoomScaleNormal="115" zoomScaleSheetLayoutView="130" workbookViewId="0"/>
  </sheetViews>
  <sheetFormatPr defaultColWidth="13.6640625" defaultRowHeight="13.2" x14ac:dyDescent="0.25"/>
  <cols>
    <col min="1" max="1" width="10.5546875" bestFit="1" customWidth="1"/>
    <col min="2" max="2" width="42.44140625" customWidth="1"/>
    <col min="3" max="3" width="15.6640625" style="6" customWidth="1"/>
    <col min="4" max="4" width="11.44140625" bestFit="1" customWidth="1"/>
  </cols>
  <sheetData>
    <row r="1" spans="1:28" s="8" customFormat="1" ht="61.95" customHeight="1" x14ac:dyDescent="0.85">
      <c r="A1" s="149" t="s">
        <v>14017</v>
      </c>
      <c r="B1" s="150"/>
      <c r="C1" s="151"/>
      <c r="D1" s="152"/>
    </row>
    <row r="2" spans="1:28" s="8" customFormat="1" ht="21" customHeight="1" x14ac:dyDescent="0.45">
      <c r="A2" s="29"/>
      <c r="B2" s="9"/>
      <c r="C2" s="24"/>
      <c r="D2" s="131"/>
    </row>
    <row r="3" spans="1:28" ht="15" customHeight="1" x14ac:dyDescent="0.25">
      <c r="A3" s="145"/>
      <c r="B3" s="154"/>
      <c r="C3" s="155"/>
      <c r="D3" s="156" t="s">
        <v>14006</v>
      </c>
      <c r="E3" s="8"/>
      <c r="F3" s="8"/>
      <c r="G3" s="8"/>
      <c r="H3" s="8"/>
      <c r="I3" s="8"/>
      <c r="J3" s="8"/>
      <c r="K3" s="8"/>
      <c r="L3" s="8"/>
      <c r="M3" s="8"/>
      <c r="N3" s="8"/>
      <c r="O3" s="8"/>
      <c r="P3" s="8"/>
      <c r="Q3" s="8"/>
      <c r="R3" s="8"/>
      <c r="S3" s="8"/>
      <c r="T3" s="8"/>
      <c r="U3" s="8"/>
      <c r="V3" s="8"/>
      <c r="W3" s="8"/>
      <c r="X3" s="8"/>
      <c r="Y3" s="8"/>
      <c r="Z3" s="8"/>
      <c r="AA3" s="8"/>
      <c r="AB3" s="8"/>
    </row>
    <row r="4" spans="1:28" ht="7.5" customHeight="1" x14ac:dyDescent="0.25">
      <c r="A4" s="147"/>
      <c r="B4" s="157"/>
      <c r="C4" s="158"/>
      <c r="D4" s="159"/>
      <c r="E4" s="8"/>
      <c r="F4" s="8"/>
      <c r="G4" s="8"/>
      <c r="H4" s="8"/>
      <c r="I4" s="8"/>
      <c r="J4" s="8"/>
      <c r="K4" s="8"/>
      <c r="L4" s="8"/>
      <c r="M4" s="8"/>
      <c r="N4" s="8"/>
      <c r="O4" s="8"/>
      <c r="P4" s="8"/>
      <c r="Q4" s="8"/>
      <c r="R4" s="8"/>
      <c r="S4" s="8"/>
      <c r="T4" s="8"/>
      <c r="U4" s="8"/>
      <c r="V4" s="8"/>
      <c r="W4" s="8"/>
      <c r="X4" s="8"/>
      <c r="Y4" s="8"/>
      <c r="Z4" s="8"/>
      <c r="AA4" s="8"/>
      <c r="AB4" s="8"/>
    </row>
    <row r="5" spans="1:28" ht="13.5" hidden="1" customHeight="1" x14ac:dyDescent="0.3">
      <c r="A5" s="25"/>
      <c r="B5" s="26"/>
      <c r="C5" s="148"/>
      <c r="D5" s="144" t="s">
        <v>114</v>
      </c>
    </row>
    <row r="6" spans="1:28" ht="13.8" x14ac:dyDescent="0.3">
      <c r="A6" s="162"/>
      <c r="B6" s="162"/>
      <c r="C6" s="164"/>
      <c r="D6" s="166" t="s">
        <v>13991</v>
      </c>
    </row>
    <row r="7" spans="1:28" ht="13.8" x14ac:dyDescent="0.3">
      <c r="A7" s="163" t="s">
        <v>119</v>
      </c>
      <c r="B7" s="163" t="s">
        <v>118</v>
      </c>
      <c r="C7" s="165" t="s">
        <v>0</v>
      </c>
      <c r="D7" s="167" t="s">
        <v>13992</v>
      </c>
    </row>
    <row r="8" spans="1:28" ht="14.4" x14ac:dyDescent="0.3">
      <c r="A8" s="169"/>
      <c r="B8" s="170" t="s">
        <v>13959</v>
      </c>
      <c r="C8" s="31"/>
      <c r="D8" s="31"/>
    </row>
    <row r="9" spans="1:28" x14ac:dyDescent="0.25">
      <c r="A9" s="39" t="s">
        <v>13960</v>
      </c>
      <c r="B9" s="39" t="s">
        <v>13977</v>
      </c>
      <c r="C9" s="30" t="s">
        <v>13963</v>
      </c>
      <c r="D9" s="41">
        <v>112.67</v>
      </c>
    </row>
    <row r="10" spans="1:28" x14ac:dyDescent="0.25">
      <c r="A10" s="39" t="s">
        <v>13961</v>
      </c>
      <c r="B10" s="39" t="s">
        <v>13978</v>
      </c>
      <c r="C10" s="30" t="s">
        <v>13964</v>
      </c>
      <c r="D10" s="41">
        <v>146</v>
      </c>
    </row>
    <row r="11" spans="1:28" x14ac:dyDescent="0.25">
      <c r="A11" s="39" t="s">
        <v>13962</v>
      </c>
      <c r="B11" s="39" t="s">
        <v>13979</v>
      </c>
      <c r="C11" s="30" t="s">
        <v>13965</v>
      </c>
      <c r="D11" s="41">
        <v>199.33</v>
      </c>
    </row>
    <row r="12" spans="1:28" x14ac:dyDescent="0.25">
      <c r="A12" s="39" t="s">
        <v>13966</v>
      </c>
      <c r="B12" s="39" t="s">
        <v>13967</v>
      </c>
      <c r="C12" s="30" t="s">
        <v>13972</v>
      </c>
      <c r="D12" s="41">
        <v>26</v>
      </c>
    </row>
    <row r="13" spans="1:28" x14ac:dyDescent="0.25">
      <c r="A13" s="39" t="s">
        <v>13968</v>
      </c>
      <c r="B13" s="39" t="s">
        <v>13969</v>
      </c>
      <c r="C13" s="30" t="s">
        <v>13973</v>
      </c>
      <c r="D13" s="41">
        <v>32.67</v>
      </c>
    </row>
    <row r="14" spans="1:28" x14ac:dyDescent="0.25">
      <c r="A14" s="39" t="s">
        <v>13970</v>
      </c>
      <c r="B14" s="39" t="s">
        <v>13971</v>
      </c>
      <c r="C14" s="30" t="s">
        <v>13974</v>
      </c>
      <c r="D14" s="41">
        <v>39.33</v>
      </c>
    </row>
    <row r="15" spans="1:28" x14ac:dyDescent="0.25">
      <c r="A15" s="39" t="s">
        <v>13975</v>
      </c>
      <c r="B15" s="39" t="s">
        <v>13980</v>
      </c>
      <c r="C15" s="30" t="s">
        <v>13976</v>
      </c>
      <c r="D15" s="41">
        <v>19.329999999999998</v>
      </c>
    </row>
    <row r="16" spans="1:28" ht="14.4" x14ac:dyDescent="0.3">
      <c r="A16" s="169"/>
      <c r="B16" s="170" t="s">
        <v>13981</v>
      </c>
      <c r="C16" s="31"/>
      <c r="D16" s="31"/>
    </row>
    <row r="17" spans="1:4" x14ac:dyDescent="0.25">
      <c r="A17" s="39" t="s">
        <v>13982</v>
      </c>
      <c r="B17" s="39" t="s">
        <v>13985</v>
      </c>
      <c r="C17" s="30" t="s">
        <v>13988</v>
      </c>
      <c r="D17" s="41">
        <v>132.66999999999999</v>
      </c>
    </row>
    <row r="18" spans="1:4" x14ac:dyDescent="0.25">
      <c r="A18" s="39" t="s">
        <v>13983</v>
      </c>
      <c r="B18" s="39" t="s">
        <v>13986</v>
      </c>
      <c r="C18" s="30" t="s">
        <v>13989</v>
      </c>
      <c r="D18" s="41">
        <v>172.67</v>
      </c>
    </row>
    <row r="19" spans="1:4" x14ac:dyDescent="0.25">
      <c r="A19" s="39" t="s">
        <v>13984</v>
      </c>
      <c r="B19" s="39" t="s">
        <v>13987</v>
      </c>
      <c r="C19" s="30" t="s">
        <v>13990</v>
      </c>
      <c r="D19" s="41">
        <v>232.67</v>
      </c>
    </row>
    <row r="20" spans="1:4" x14ac:dyDescent="0.25">
      <c r="A20" s="8"/>
      <c r="B20" s="8"/>
      <c r="C20" s="13"/>
    </row>
    <row r="21" spans="1:4" ht="15.75" customHeight="1" x14ac:dyDescent="0.3">
      <c r="A21" s="31"/>
      <c r="B21" s="160" t="s">
        <v>14007</v>
      </c>
      <c r="C21" s="31"/>
      <c r="D21" s="31"/>
    </row>
    <row r="22" spans="1:4" ht="13.35" customHeight="1" x14ac:dyDescent="0.25">
      <c r="A22" s="39" t="s">
        <v>14008</v>
      </c>
      <c r="B22" s="39" t="s">
        <v>14009</v>
      </c>
      <c r="C22" s="30" t="s">
        <v>14010</v>
      </c>
      <c r="D22" s="41">
        <v>199.33333333333334</v>
      </c>
    </row>
    <row r="23" spans="1:4" ht="13.35" customHeight="1" x14ac:dyDescent="0.25">
      <c r="A23" s="39" t="s">
        <v>14011</v>
      </c>
      <c r="B23" s="39" t="s">
        <v>14012</v>
      </c>
      <c r="C23" s="30" t="s">
        <v>14013</v>
      </c>
      <c r="D23" s="41">
        <v>232.66666666666666</v>
      </c>
    </row>
    <row r="24" spans="1:4" ht="13.35" customHeight="1" x14ac:dyDescent="0.25">
      <c r="A24" s="39" t="s">
        <v>14014</v>
      </c>
      <c r="B24" s="39" t="s">
        <v>14015</v>
      </c>
      <c r="C24" s="30" t="s">
        <v>14016</v>
      </c>
      <c r="D24" s="41">
        <v>366</v>
      </c>
    </row>
    <row r="25" spans="1:4" ht="13.35" customHeight="1" x14ac:dyDescent="0.25">
      <c r="A25" s="20"/>
      <c r="B25" s="20"/>
      <c r="C25" s="21"/>
      <c r="D25" s="42"/>
    </row>
    <row r="26" spans="1:4" ht="15.75" customHeight="1" x14ac:dyDescent="0.3">
      <c r="A26" s="31"/>
      <c r="B26" s="160" t="s">
        <v>14002</v>
      </c>
      <c r="C26" s="31"/>
      <c r="D26" s="31"/>
    </row>
    <row r="27" spans="1:4" ht="13.35" customHeight="1" x14ac:dyDescent="0.25">
      <c r="A27" s="161" t="s">
        <v>13993</v>
      </c>
      <c r="B27" s="39" t="s">
        <v>13994</v>
      </c>
      <c r="C27" s="30" t="s">
        <v>13995</v>
      </c>
      <c r="D27" s="41">
        <v>86</v>
      </c>
    </row>
    <row r="28" spans="1:4" ht="13.35" customHeight="1" x14ac:dyDescent="0.25">
      <c r="A28" s="161" t="s">
        <v>13996</v>
      </c>
      <c r="B28" s="39" t="s">
        <v>13997</v>
      </c>
      <c r="C28" s="30" t="s">
        <v>13998</v>
      </c>
      <c r="D28" s="41">
        <v>166</v>
      </c>
    </row>
    <row r="29" spans="1:4" ht="13.35" customHeight="1" x14ac:dyDescent="0.25">
      <c r="A29" s="161" t="s">
        <v>13999</v>
      </c>
      <c r="B29" s="39" t="s">
        <v>14000</v>
      </c>
      <c r="C29" s="30" t="s">
        <v>14001</v>
      </c>
      <c r="D29" s="41">
        <v>39.333333333333336</v>
      </c>
    </row>
    <row r="30" spans="1:4" x14ac:dyDescent="0.25">
      <c r="A30" s="8"/>
      <c r="B30" s="8"/>
      <c r="C30" s="13"/>
    </row>
    <row r="31" spans="1:4" s="8" customFormat="1" ht="12.6" x14ac:dyDescent="0.2"/>
    <row r="32" spans="1:4" x14ac:dyDescent="0.25">
      <c r="A32" s="168"/>
      <c r="B32" s="20" t="s">
        <v>14018</v>
      </c>
      <c r="C32" s="13"/>
    </row>
    <row r="33" spans="1:4" x14ac:dyDescent="0.25">
      <c r="A33" s="153"/>
      <c r="B33" s="20" t="s">
        <v>13958</v>
      </c>
      <c r="C33" s="13"/>
    </row>
    <row r="34" spans="1:4" x14ac:dyDescent="0.25">
      <c r="A34" s="8"/>
      <c r="B34" s="8"/>
      <c r="C34" s="13"/>
    </row>
    <row r="35" spans="1:4" x14ac:dyDescent="0.25">
      <c r="A35" s="8"/>
      <c r="B35" s="8"/>
      <c r="C35" s="13"/>
    </row>
    <row r="36" spans="1:4" x14ac:dyDescent="0.25">
      <c r="A36" s="8"/>
      <c r="B36" s="8"/>
      <c r="C36" s="13"/>
    </row>
    <row r="37" spans="1:4" x14ac:dyDescent="0.25">
      <c r="A37" s="275" t="s">
        <v>14003</v>
      </c>
      <c r="B37" s="275"/>
      <c r="C37" s="275"/>
      <c r="D37" s="275"/>
    </row>
    <row r="38" spans="1:4" x14ac:dyDescent="0.25">
      <c r="A38" s="275" t="s">
        <v>14004</v>
      </c>
      <c r="B38" s="275"/>
      <c r="C38" s="275"/>
      <c r="D38" s="275"/>
    </row>
    <row r="39" spans="1:4" ht="13.8" x14ac:dyDescent="0.3">
      <c r="A39" s="276" t="s">
        <v>14005</v>
      </c>
      <c r="B39" s="276"/>
      <c r="C39" s="276"/>
      <c r="D39" s="276"/>
    </row>
    <row r="41" spans="1:4" x14ac:dyDescent="0.25">
      <c r="A41" s="146"/>
      <c r="B41" s="146"/>
      <c r="C41" s="146"/>
      <c r="D41" s="146"/>
    </row>
    <row r="42" spans="1:4" x14ac:dyDescent="0.25">
      <c r="A42" s="8"/>
      <c r="B42" s="8"/>
      <c r="C42" s="13"/>
    </row>
    <row r="43" spans="1:4" x14ac:dyDescent="0.25">
      <c r="A43" s="8"/>
      <c r="B43" s="8"/>
      <c r="C43" s="13"/>
    </row>
    <row r="44" spans="1:4" x14ac:dyDescent="0.25">
      <c r="A44" s="8"/>
      <c r="B44" s="8"/>
      <c r="C44" s="13"/>
    </row>
    <row r="45" spans="1:4" x14ac:dyDescent="0.25">
      <c r="A45" s="8"/>
      <c r="B45" s="8"/>
      <c r="C45" s="13"/>
    </row>
    <row r="46" spans="1:4" x14ac:dyDescent="0.25">
      <c r="A46" s="8"/>
      <c r="B46" s="8"/>
      <c r="C46" s="13"/>
    </row>
    <row r="47" spans="1:4" x14ac:dyDescent="0.25">
      <c r="A47" s="8"/>
      <c r="B47" s="8"/>
      <c r="C47" s="13"/>
    </row>
    <row r="48" spans="1:4" x14ac:dyDescent="0.25">
      <c r="A48" s="8"/>
      <c r="B48" s="8"/>
      <c r="C48" s="13"/>
    </row>
    <row r="49" spans="1:3" x14ac:dyDescent="0.25">
      <c r="A49" s="8"/>
      <c r="B49" s="8"/>
      <c r="C49" s="13"/>
    </row>
    <row r="50" spans="1:3" x14ac:dyDescent="0.25">
      <c r="A50" s="8"/>
      <c r="B50" s="8"/>
      <c r="C50" s="13"/>
    </row>
    <row r="51" spans="1:3" x14ac:dyDescent="0.25">
      <c r="A51" s="8"/>
      <c r="B51" s="8"/>
      <c r="C51" s="13"/>
    </row>
    <row r="52" spans="1:3" x14ac:dyDescent="0.25">
      <c r="A52" s="8"/>
      <c r="B52" s="8"/>
      <c r="C52" s="13"/>
    </row>
    <row r="53" spans="1:3" x14ac:dyDescent="0.25">
      <c r="A53" s="8"/>
      <c r="B53" s="8"/>
      <c r="C53" s="13"/>
    </row>
    <row r="54" spans="1:3" x14ac:dyDescent="0.25">
      <c r="A54" s="8"/>
      <c r="B54" s="8"/>
      <c r="C54" s="13"/>
    </row>
    <row r="55" spans="1:3" x14ac:dyDescent="0.25">
      <c r="A55" s="8"/>
      <c r="B55" s="8"/>
      <c r="C55" s="13"/>
    </row>
    <row r="56" spans="1:3" x14ac:dyDescent="0.25">
      <c r="A56" s="8"/>
      <c r="B56" s="8"/>
      <c r="C56" s="13"/>
    </row>
    <row r="57" spans="1:3" x14ac:dyDescent="0.25">
      <c r="A57" s="8"/>
      <c r="B57" s="8"/>
      <c r="C57" s="13"/>
    </row>
    <row r="58" spans="1:3" x14ac:dyDescent="0.25">
      <c r="A58" s="8"/>
      <c r="B58" s="8"/>
      <c r="C58" s="13"/>
    </row>
    <row r="59" spans="1:3" x14ac:dyDescent="0.25">
      <c r="A59" s="8"/>
      <c r="B59" s="8"/>
      <c r="C59" s="13"/>
    </row>
    <row r="60" spans="1:3" x14ac:dyDescent="0.25">
      <c r="A60" s="8"/>
      <c r="B60" s="8"/>
      <c r="C60" s="13"/>
    </row>
    <row r="61" spans="1:3" x14ac:dyDescent="0.25">
      <c r="A61" s="8"/>
      <c r="B61" s="8"/>
      <c r="C61" s="13"/>
    </row>
    <row r="62" spans="1:3" x14ac:dyDescent="0.25">
      <c r="A62" s="8"/>
      <c r="B62" s="8"/>
      <c r="C62" s="13"/>
    </row>
    <row r="63" spans="1:3" x14ac:dyDescent="0.25">
      <c r="A63" s="8"/>
      <c r="B63" s="8"/>
      <c r="C63" s="13"/>
    </row>
    <row r="64" spans="1:3" x14ac:dyDescent="0.25">
      <c r="A64" s="8"/>
      <c r="B64" s="8"/>
      <c r="C64" s="13"/>
    </row>
    <row r="65" spans="1:3" x14ac:dyDescent="0.25">
      <c r="A65" s="8"/>
      <c r="B65" s="8"/>
      <c r="C65" s="13"/>
    </row>
    <row r="66" spans="1:3" x14ac:dyDescent="0.25">
      <c r="A66" s="8"/>
      <c r="B66" s="8"/>
      <c r="C66" s="13"/>
    </row>
    <row r="67" spans="1:3" x14ac:dyDescent="0.25">
      <c r="A67" s="8"/>
      <c r="B67" s="8"/>
      <c r="C67" s="13"/>
    </row>
    <row r="68" spans="1:3" x14ac:dyDescent="0.25">
      <c r="A68" s="8"/>
      <c r="B68" s="8"/>
      <c r="C68" s="13"/>
    </row>
    <row r="69" spans="1:3" x14ac:dyDescent="0.25">
      <c r="A69" s="8"/>
      <c r="B69" s="8"/>
      <c r="C69" s="13"/>
    </row>
    <row r="70" spans="1:3" x14ac:dyDescent="0.25">
      <c r="A70" s="8"/>
      <c r="B70" s="8"/>
      <c r="C70" s="13"/>
    </row>
    <row r="71" spans="1:3" x14ac:dyDescent="0.25">
      <c r="A71" s="8"/>
      <c r="B71" s="8"/>
      <c r="C71" s="13"/>
    </row>
    <row r="72" spans="1:3" x14ac:dyDescent="0.25">
      <c r="A72" s="8"/>
      <c r="B72" s="8"/>
      <c r="C72" s="13"/>
    </row>
    <row r="73" spans="1:3" x14ac:dyDescent="0.25">
      <c r="A73" s="8"/>
      <c r="B73" s="8"/>
      <c r="C73" s="13"/>
    </row>
    <row r="74" spans="1:3" x14ac:dyDescent="0.25">
      <c r="A74" s="8"/>
      <c r="B74" s="8"/>
      <c r="C74" s="13"/>
    </row>
    <row r="75" spans="1:3" x14ac:dyDescent="0.25">
      <c r="A75" s="8"/>
      <c r="B75" s="8"/>
      <c r="C75" s="13"/>
    </row>
    <row r="76" spans="1:3" x14ac:dyDescent="0.25">
      <c r="A76" s="8"/>
      <c r="B76" s="8"/>
      <c r="C76" s="13"/>
    </row>
    <row r="77" spans="1:3" x14ac:dyDescent="0.25">
      <c r="A77" s="8"/>
      <c r="B77" s="8"/>
      <c r="C77" s="13"/>
    </row>
    <row r="78" spans="1:3" x14ac:dyDescent="0.25">
      <c r="A78" s="8"/>
      <c r="B78" s="8"/>
      <c r="C78" s="13"/>
    </row>
    <row r="79" spans="1:3" x14ac:dyDescent="0.25">
      <c r="A79" s="8"/>
      <c r="B79" s="8"/>
      <c r="C79" s="13"/>
    </row>
    <row r="80" spans="1:3" x14ac:dyDescent="0.25">
      <c r="A80" s="8"/>
      <c r="B80" s="8"/>
      <c r="C80" s="13"/>
    </row>
    <row r="81" spans="1:3" x14ac:dyDescent="0.25">
      <c r="A81" s="8"/>
      <c r="B81" s="8"/>
      <c r="C81" s="13"/>
    </row>
    <row r="82" spans="1:3" x14ac:dyDescent="0.25">
      <c r="A82" s="8"/>
      <c r="B82" s="8"/>
      <c r="C82" s="13"/>
    </row>
    <row r="83" spans="1:3" x14ac:dyDescent="0.25">
      <c r="A83" s="8"/>
      <c r="B83" s="8"/>
      <c r="C83" s="13"/>
    </row>
    <row r="84" spans="1:3" x14ac:dyDescent="0.25">
      <c r="A84" s="8"/>
      <c r="B84" s="8"/>
      <c r="C84" s="13"/>
    </row>
    <row r="85" spans="1:3" x14ac:dyDescent="0.25">
      <c r="A85" s="8"/>
      <c r="B85" s="8"/>
      <c r="C85" s="13"/>
    </row>
    <row r="86" spans="1:3" x14ac:dyDescent="0.25">
      <c r="A86" s="8"/>
      <c r="B86" s="8"/>
      <c r="C86" s="13"/>
    </row>
    <row r="87" spans="1:3" x14ac:dyDescent="0.25">
      <c r="A87" s="8"/>
      <c r="B87" s="8"/>
      <c r="C87" s="13"/>
    </row>
    <row r="88" spans="1:3" x14ac:dyDescent="0.25">
      <c r="A88" s="8"/>
      <c r="B88" s="8"/>
      <c r="C88" s="13"/>
    </row>
    <row r="89" spans="1:3" x14ac:dyDescent="0.25">
      <c r="A89" s="8"/>
      <c r="B89" s="8"/>
      <c r="C89" s="13"/>
    </row>
    <row r="90" spans="1:3" x14ac:dyDescent="0.25">
      <c r="A90" s="8"/>
      <c r="B90" s="8"/>
      <c r="C90" s="13"/>
    </row>
    <row r="91" spans="1:3" x14ac:dyDescent="0.25">
      <c r="A91" s="8"/>
      <c r="B91" s="8"/>
      <c r="C91" s="13"/>
    </row>
    <row r="92" spans="1:3" x14ac:dyDescent="0.25">
      <c r="A92" s="8"/>
      <c r="B92" s="8"/>
      <c r="C92" s="13"/>
    </row>
    <row r="93" spans="1:3" x14ac:dyDescent="0.25">
      <c r="A93" s="8"/>
      <c r="B93" s="8"/>
      <c r="C93" s="13"/>
    </row>
    <row r="94" spans="1:3" x14ac:dyDescent="0.25">
      <c r="A94" s="8"/>
      <c r="B94" s="8"/>
      <c r="C94" s="13"/>
    </row>
    <row r="95" spans="1:3" x14ac:dyDescent="0.25">
      <c r="A95" s="8"/>
      <c r="B95" s="8"/>
      <c r="C95" s="13"/>
    </row>
    <row r="96" spans="1:3" x14ac:dyDescent="0.25">
      <c r="A96" s="8"/>
      <c r="B96" s="8"/>
      <c r="C96" s="13"/>
    </row>
    <row r="97" spans="1:3" x14ac:dyDescent="0.25">
      <c r="A97" s="8"/>
      <c r="B97" s="8"/>
      <c r="C97" s="13"/>
    </row>
    <row r="98" spans="1:3" x14ac:dyDescent="0.25">
      <c r="A98" s="8"/>
      <c r="B98" s="8"/>
      <c r="C98" s="13"/>
    </row>
    <row r="99" spans="1:3" x14ac:dyDescent="0.25">
      <c r="A99" s="8"/>
      <c r="B99" s="8"/>
      <c r="C99" s="13"/>
    </row>
    <row r="100" spans="1:3" x14ac:dyDescent="0.25">
      <c r="A100" s="8"/>
      <c r="B100" s="8"/>
      <c r="C100" s="13"/>
    </row>
    <row r="101" spans="1:3" x14ac:dyDescent="0.25">
      <c r="A101" s="8"/>
      <c r="B101" s="8"/>
      <c r="C101" s="13"/>
    </row>
    <row r="102" spans="1:3" x14ac:dyDescent="0.25">
      <c r="A102" s="8"/>
      <c r="B102" s="8"/>
      <c r="C102" s="13"/>
    </row>
    <row r="103" spans="1:3" x14ac:dyDescent="0.25">
      <c r="A103" s="8"/>
      <c r="B103" s="8"/>
      <c r="C103" s="13"/>
    </row>
    <row r="104" spans="1:3" x14ac:dyDescent="0.25">
      <c r="A104" s="8"/>
      <c r="B104" s="8"/>
      <c r="C104" s="13"/>
    </row>
    <row r="105" spans="1:3" x14ac:dyDescent="0.25">
      <c r="A105" s="8"/>
      <c r="B105" s="8"/>
      <c r="C105" s="13"/>
    </row>
    <row r="106" spans="1:3" x14ac:dyDescent="0.25">
      <c r="A106" s="8"/>
      <c r="B106" s="8"/>
      <c r="C106" s="13"/>
    </row>
    <row r="107" spans="1:3" x14ac:dyDescent="0.25">
      <c r="A107" s="8"/>
      <c r="B107" s="8"/>
      <c r="C107" s="13"/>
    </row>
    <row r="108" spans="1:3" x14ac:dyDescent="0.25">
      <c r="A108" s="8"/>
      <c r="B108" s="8"/>
      <c r="C108" s="13"/>
    </row>
    <row r="109" spans="1:3" x14ac:dyDescent="0.25">
      <c r="A109" s="8"/>
      <c r="B109" s="8"/>
      <c r="C109" s="13"/>
    </row>
    <row r="110" spans="1:3" x14ac:dyDescent="0.25">
      <c r="A110" s="8"/>
      <c r="B110" s="8"/>
      <c r="C110" s="13"/>
    </row>
    <row r="111" spans="1:3" x14ac:dyDescent="0.25">
      <c r="A111" s="8"/>
      <c r="B111" s="8"/>
      <c r="C111" s="13"/>
    </row>
    <row r="112" spans="1:3" x14ac:dyDescent="0.25">
      <c r="A112" s="8"/>
      <c r="B112" s="8"/>
      <c r="C112" s="13"/>
    </row>
    <row r="113" spans="1:3" x14ac:dyDescent="0.25">
      <c r="A113" s="8"/>
      <c r="B113" s="8"/>
      <c r="C113" s="13"/>
    </row>
    <row r="114" spans="1:3" x14ac:dyDescent="0.25">
      <c r="A114" s="8"/>
      <c r="B114" s="8"/>
      <c r="C114" s="13"/>
    </row>
    <row r="115" spans="1:3" x14ac:dyDescent="0.25">
      <c r="A115" s="8"/>
      <c r="B115" s="8"/>
      <c r="C115" s="13"/>
    </row>
    <row r="116" spans="1:3" x14ac:dyDescent="0.25">
      <c r="A116" s="8"/>
      <c r="B116" s="8"/>
      <c r="C116" s="13"/>
    </row>
    <row r="117" spans="1:3" x14ac:dyDescent="0.25">
      <c r="A117" s="8"/>
      <c r="B117" s="8"/>
      <c r="C117" s="13"/>
    </row>
    <row r="118" spans="1:3" x14ac:dyDescent="0.25">
      <c r="A118" s="8"/>
      <c r="B118" s="8"/>
      <c r="C118" s="13"/>
    </row>
    <row r="119" spans="1:3" x14ac:dyDescent="0.25">
      <c r="A119" s="8"/>
      <c r="B119" s="8"/>
      <c r="C119" s="13"/>
    </row>
    <row r="120" spans="1:3" x14ac:dyDescent="0.25">
      <c r="A120" s="8"/>
      <c r="B120" s="8"/>
      <c r="C120" s="13"/>
    </row>
    <row r="121" spans="1:3" x14ac:dyDescent="0.25">
      <c r="A121" s="8"/>
      <c r="B121" s="8"/>
      <c r="C121" s="13"/>
    </row>
    <row r="122" spans="1:3" x14ac:dyDescent="0.25">
      <c r="A122" s="8"/>
      <c r="B122" s="8"/>
      <c r="C122" s="13"/>
    </row>
    <row r="123" spans="1:3" x14ac:dyDescent="0.25">
      <c r="A123" s="8"/>
      <c r="B123" s="8"/>
      <c r="C123" s="13"/>
    </row>
    <row r="124" spans="1:3" x14ac:dyDescent="0.25">
      <c r="A124" s="8"/>
      <c r="B124" s="8"/>
      <c r="C124" s="13"/>
    </row>
    <row r="125" spans="1:3" x14ac:dyDescent="0.25">
      <c r="A125" s="8"/>
      <c r="B125" s="8"/>
      <c r="C125" s="13"/>
    </row>
    <row r="126" spans="1:3" x14ac:dyDescent="0.25">
      <c r="A126" s="8"/>
      <c r="B126" s="8"/>
      <c r="C126" s="13"/>
    </row>
    <row r="127" spans="1:3" x14ac:dyDescent="0.25">
      <c r="A127" s="8"/>
      <c r="B127" s="8"/>
      <c r="C127" s="13"/>
    </row>
    <row r="128" spans="1:3" x14ac:dyDescent="0.25">
      <c r="A128" s="8"/>
      <c r="B128" s="8"/>
      <c r="C128" s="13"/>
    </row>
    <row r="129" spans="1:3" x14ac:dyDescent="0.25">
      <c r="A129" s="8"/>
      <c r="B129" s="8"/>
      <c r="C129" s="13"/>
    </row>
    <row r="130" spans="1:3" x14ac:dyDescent="0.25">
      <c r="A130" s="8"/>
      <c r="B130" s="8"/>
      <c r="C130" s="13"/>
    </row>
    <row r="131" spans="1:3" x14ac:dyDescent="0.25">
      <c r="A131" s="8"/>
      <c r="B131" s="8"/>
      <c r="C131" s="13"/>
    </row>
    <row r="132" spans="1:3" x14ac:dyDescent="0.25">
      <c r="A132" s="8"/>
      <c r="B132" s="8"/>
      <c r="C132" s="13"/>
    </row>
    <row r="133" spans="1:3" x14ac:dyDescent="0.25">
      <c r="A133" s="8"/>
      <c r="B133" s="8"/>
      <c r="C133" s="13"/>
    </row>
    <row r="134" spans="1:3" x14ac:dyDescent="0.25">
      <c r="A134" s="8"/>
      <c r="B134" s="8"/>
      <c r="C134" s="13"/>
    </row>
    <row r="135" spans="1:3" x14ac:dyDescent="0.25">
      <c r="A135" s="8"/>
      <c r="B135" s="8"/>
      <c r="C135" s="13"/>
    </row>
    <row r="136" spans="1:3" x14ac:dyDescent="0.25">
      <c r="A136" s="8"/>
      <c r="B136" s="8"/>
      <c r="C136" s="13"/>
    </row>
    <row r="137" spans="1:3" x14ac:dyDescent="0.25">
      <c r="A137" s="8"/>
      <c r="B137" s="8"/>
      <c r="C137" s="13"/>
    </row>
    <row r="138" spans="1:3" x14ac:dyDescent="0.25">
      <c r="A138" s="8"/>
      <c r="B138" s="8"/>
      <c r="C138" s="13"/>
    </row>
    <row r="139" spans="1:3" x14ac:dyDescent="0.25">
      <c r="A139" s="8"/>
      <c r="B139" s="8"/>
      <c r="C139" s="13"/>
    </row>
    <row r="140" spans="1:3" x14ac:dyDescent="0.25">
      <c r="A140" s="8"/>
      <c r="B140" s="8"/>
      <c r="C140" s="13"/>
    </row>
    <row r="141" spans="1:3" x14ac:dyDescent="0.25">
      <c r="A141" s="8"/>
      <c r="B141" s="8"/>
      <c r="C141" s="13"/>
    </row>
    <row r="142" spans="1:3" x14ac:dyDescent="0.25">
      <c r="A142" s="8"/>
      <c r="B142" s="8"/>
      <c r="C142" s="13"/>
    </row>
    <row r="143" spans="1:3" x14ac:dyDescent="0.25">
      <c r="A143" s="8"/>
      <c r="B143" s="8"/>
      <c r="C143" s="13"/>
    </row>
    <row r="144" spans="1:3" x14ac:dyDescent="0.25">
      <c r="A144" s="8"/>
      <c r="B144" s="8"/>
      <c r="C144" s="13"/>
    </row>
    <row r="145" spans="1:3" x14ac:dyDescent="0.25">
      <c r="A145" s="8"/>
      <c r="B145" s="8"/>
      <c r="C145" s="13"/>
    </row>
    <row r="146" spans="1:3" x14ac:dyDescent="0.25">
      <c r="A146" s="8"/>
      <c r="B146" s="8"/>
      <c r="C146" s="13"/>
    </row>
    <row r="147" spans="1:3" x14ac:dyDescent="0.25">
      <c r="A147" s="8"/>
      <c r="B147" s="8"/>
      <c r="C147" s="13"/>
    </row>
    <row r="148" spans="1:3" x14ac:dyDescent="0.25">
      <c r="A148" s="8"/>
      <c r="B148" s="8"/>
      <c r="C148" s="13"/>
    </row>
    <row r="149" spans="1:3" x14ac:dyDescent="0.25">
      <c r="A149" s="8"/>
      <c r="B149" s="8"/>
      <c r="C149" s="13"/>
    </row>
    <row r="150" spans="1:3" x14ac:dyDescent="0.25">
      <c r="A150" s="8"/>
      <c r="B150" s="8"/>
      <c r="C150" s="13"/>
    </row>
    <row r="151" spans="1:3" x14ac:dyDescent="0.25">
      <c r="A151" s="8"/>
      <c r="B151" s="8"/>
      <c r="C151" s="13"/>
    </row>
    <row r="152" spans="1:3" x14ac:dyDescent="0.25">
      <c r="A152" s="8"/>
      <c r="B152" s="8"/>
      <c r="C152" s="13"/>
    </row>
    <row r="153" spans="1:3" x14ac:dyDescent="0.25">
      <c r="A153" s="8"/>
      <c r="B153" s="8"/>
      <c r="C153" s="13"/>
    </row>
    <row r="154" spans="1:3" x14ac:dyDescent="0.25">
      <c r="A154" s="8"/>
      <c r="B154" s="8"/>
      <c r="C154" s="13"/>
    </row>
    <row r="155" spans="1:3" x14ac:dyDescent="0.25">
      <c r="A155" s="8"/>
      <c r="B155" s="8"/>
      <c r="C155" s="13"/>
    </row>
    <row r="156" spans="1:3" x14ac:dyDescent="0.25">
      <c r="A156" s="8"/>
      <c r="B156" s="8"/>
      <c r="C156" s="13"/>
    </row>
    <row r="157" spans="1:3" x14ac:dyDescent="0.25">
      <c r="A157" s="8"/>
      <c r="B157" s="8"/>
      <c r="C157" s="13"/>
    </row>
    <row r="158" spans="1:3" x14ac:dyDescent="0.25">
      <c r="A158" s="8"/>
      <c r="B158" s="8"/>
      <c r="C158" s="13"/>
    </row>
    <row r="159" spans="1:3" x14ac:dyDescent="0.25">
      <c r="A159" s="8"/>
      <c r="B159" s="8"/>
      <c r="C159" s="13"/>
    </row>
    <row r="160" spans="1:3" x14ac:dyDescent="0.25">
      <c r="A160" s="8"/>
      <c r="B160" s="8"/>
      <c r="C160" s="13"/>
    </row>
    <row r="161" spans="1:3" x14ac:dyDescent="0.25">
      <c r="A161" s="8"/>
      <c r="B161" s="8"/>
      <c r="C161" s="13"/>
    </row>
    <row r="162" spans="1:3" x14ac:dyDescent="0.25">
      <c r="A162" s="8"/>
      <c r="B162" s="8"/>
      <c r="C162" s="13"/>
    </row>
    <row r="163" spans="1:3" x14ac:dyDescent="0.25">
      <c r="A163" s="8"/>
      <c r="B163" s="8"/>
      <c r="C163" s="13"/>
    </row>
    <row r="164" spans="1:3" x14ac:dyDescent="0.25">
      <c r="A164" s="8"/>
      <c r="B164" s="8"/>
      <c r="C164" s="13"/>
    </row>
    <row r="165" spans="1:3" x14ac:dyDescent="0.25">
      <c r="A165" s="8"/>
      <c r="B165" s="8"/>
      <c r="C165" s="13"/>
    </row>
    <row r="166" spans="1:3" x14ac:dyDescent="0.25">
      <c r="A166" s="8"/>
      <c r="B166" s="8"/>
      <c r="C166" s="13"/>
    </row>
    <row r="167" spans="1:3" x14ac:dyDescent="0.25">
      <c r="A167" s="8"/>
      <c r="B167" s="8"/>
      <c r="C167" s="13"/>
    </row>
    <row r="168" spans="1:3" x14ac:dyDescent="0.25">
      <c r="A168" s="8"/>
      <c r="B168" s="8"/>
      <c r="C168" s="13"/>
    </row>
    <row r="169" spans="1:3" x14ac:dyDescent="0.25">
      <c r="A169" s="8"/>
      <c r="B169" s="8"/>
      <c r="C169" s="13"/>
    </row>
    <row r="170" spans="1:3" x14ac:dyDescent="0.25">
      <c r="A170" s="8"/>
      <c r="B170" s="8"/>
      <c r="C170" s="13"/>
    </row>
    <row r="171" spans="1:3" x14ac:dyDescent="0.25">
      <c r="A171" s="8"/>
      <c r="B171" s="8"/>
      <c r="C171" s="13"/>
    </row>
    <row r="172" spans="1:3" x14ac:dyDescent="0.25">
      <c r="A172" s="8"/>
      <c r="B172" s="8"/>
      <c r="C172" s="13"/>
    </row>
    <row r="173" spans="1:3" x14ac:dyDescent="0.25">
      <c r="A173" s="8"/>
      <c r="B173" s="8"/>
      <c r="C173" s="13"/>
    </row>
    <row r="174" spans="1:3" x14ac:dyDescent="0.25">
      <c r="A174" s="8"/>
      <c r="B174" s="8"/>
      <c r="C174" s="13"/>
    </row>
    <row r="175" spans="1:3" x14ac:dyDescent="0.25">
      <c r="A175" s="8"/>
      <c r="B175" s="8"/>
      <c r="C175" s="13"/>
    </row>
    <row r="176" spans="1:3" x14ac:dyDescent="0.25">
      <c r="A176" s="8"/>
      <c r="B176" s="8"/>
      <c r="C176" s="13"/>
    </row>
    <row r="177" spans="1:3" x14ac:dyDescent="0.25">
      <c r="A177" s="8"/>
      <c r="B177" s="8"/>
      <c r="C177" s="13"/>
    </row>
    <row r="178" spans="1:3" x14ac:dyDescent="0.25">
      <c r="A178" s="8"/>
      <c r="B178" s="8"/>
      <c r="C178" s="13"/>
    </row>
    <row r="179" spans="1:3" x14ac:dyDescent="0.25">
      <c r="A179" s="8"/>
      <c r="B179" s="8"/>
      <c r="C179" s="13"/>
    </row>
    <row r="180" spans="1:3" x14ac:dyDescent="0.25">
      <c r="A180" s="8"/>
      <c r="B180" s="8"/>
      <c r="C180" s="13"/>
    </row>
    <row r="181" spans="1:3" x14ac:dyDescent="0.25">
      <c r="A181" s="8"/>
      <c r="B181" s="8"/>
      <c r="C181" s="13"/>
    </row>
    <row r="182" spans="1:3" x14ac:dyDescent="0.25">
      <c r="A182" s="8"/>
      <c r="B182" s="8"/>
      <c r="C182" s="13"/>
    </row>
    <row r="183" spans="1:3" x14ac:dyDescent="0.25">
      <c r="A183" s="8"/>
      <c r="B183" s="8"/>
      <c r="C183" s="13"/>
    </row>
    <row r="184" spans="1:3" x14ac:dyDescent="0.25">
      <c r="A184" s="8"/>
      <c r="B184" s="8"/>
      <c r="C184" s="13"/>
    </row>
    <row r="185" spans="1:3" x14ac:dyDescent="0.25">
      <c r="A185" s="8"/>
      <c r="B185" s="8"/>
      <c r="C185" s="13"/>
    </row>
    <row r="186" spans="1:3" x14ac:dyDescent="0.25">
      <c r="A186" s="8"/>
      <c r="B186" s="8"/>
      <c r="C186" s="13"/>
    </row>
    <row r="187" spans="1:3" x14ac:dyDescent="0.25">
      <c r="A187" s="8"/>
      <c r="B187" s="8"/>
      <c r="C187" s="13"/>
    </row>
    <row r="188" spans="1:3" x14ac:dyDescent="0.25">
      <c r="A188" s="8"/>
      <c r="B188" s="8"/>
      <c r="C188" s="13"/>
    </row>
    <row r="189" spans="1:3" x14ac:dyDescent="0.25">
      <c r="A189" s="8"/>
      <c r="B189" s="8"/>
      <c r="C189" s="13"/>
    </row>
    <row r="190" spans="1:3" x14ac:dyDescent="0.25">
      <c r="A190" s="8"/>
      <c r="B190" s="8"/>
      <c r="C190" s="13"/>
    </row>
    <row r="191" spans="1:3" x14ac:dyDescent="0.25">
      <c r="A191" s="8"/>
      <c r="B191" s="8"/>
      <c r="C191" s="13"/>
    </row>
    <row r="192" spans="1:3" x14ac:dyDescent="0.25">
      <c r="A192" s="8"/>
      <c r="B192" s="8"/>
      <c r="C192" s="13"/>
    </row>
    <row r="193" spans="1:3" x14ac:dyDescent="0.25">
      <c r="A193" s="8"/>
      <c r="B193" s="8"/>
      <c r="C193" s="13"/>
    </row>
    <row r="194" spans="1:3" x14ac:dyDescent="0.25">
      <c r="A194" s="8"/>
      <c r="B194" s="8"/>
      <c r="C194" s="13"/>
    </row>
    <row r="195" spans="1:3" x14ac:dyDescent="0.25">
      <c r="A195" s="8"/>
      <c r="B195" s="8"/>
      <c r="C195" s="13"/>
    </row>
    <row r="196" spans="1:3" x14ac:dyDescent="0.25">
      <c r="A196" s="8"/>
      <c r="B196" s="8"/>
      <c r="C196" s="13"/>
    </row>
    <row r="197" spans="1:3" x14ac:dyDescent="0.25">
      <c r="A197" s="8"/>
      <c r="B197" s="8"/>
      <c r="C197" s="13"/>
    </row>
    <row r="198" spans="1:3" x14ac:dyDescent="0.25">
      <c r="A198" s="8"/>
      <c r="B198" s="8"/>
      <c r="C198" s="13"/>
    </row>
    <row r="199" spans="1:3" x14ac:dyDescent="0.25">
      <c r="A199" s="8"/>
      <c r="B199" s="8"/>
      <c r="C199" s="13"/>
    </row>
    <row r="200" spans="1:3" x14ac:dyDescent="0.25">
      <c r="A200" s="8"/>
      <c r="B200" s="8"/>
      <c r="C200" s="13"/>
    </row>
    <row r="201" spans="1:3" x14ac:dyDescent="0.25">
      <c r="A201" s="8"/>
      <c r="B201" s="8"/>
      <c r="C201" s="13"/>
    </row>
    <row r="202" spans="1:3" x14ac:dyDescent="0.25">
      <c r="A202" s="8"/>
      <c r="B202" s="8"/>
      <c r="C202" s="13"/>
    </row>
    <row r="203" spans="1:3" x14ac:dyDescent="0.25">
      <c r="A203" s="8"/>
      <c r="B203" s="8"/>
      <c r="C203" s="13"/>
    </row>
    <row r="204" spans="1:3" x14ac:dyDescent="0.25">
      <c r="A204" s="8"/>
      <c r="B204" s="8"/>
      <c r="C204" s="13"/>
    </row>
    <row r="205" spans="1:3" x14ac:dyDescent="0.25">
      <c r="A205" s="8"/>
      <c r="B205" s="8"/>
      <c r="C205" s="13"/>
    </row>
    <row r="206" spans="1:3" x14ac:dyDescent="0.25">
      <c r="A206" s="8"/>
      <c r="B206" s="8"/>
      <c r="C206" s="13"/>
    </row>
    <row r="207" spans="1:3" x14ac:dyDescent="0.25">
      <c r="A207" s="8"/>
      <c r="B207" s="8"/>
      <c r="C207" s="13"/>
    </row>
    <row r="208" spans="1:3" x14ac:dyDescent="0.25">
      <c r="A208" s="8"/>
      <c r="B208" s="8"/>
      <c r="C208" s="13"/>
    </row>
    <row r="209" spans="1:3" x14ac:dyDescent="0.25">
      <c r="A209" s="8"/>
      <c r="B209" s="8"/>
      <c r="C209" s="13"/>
    </row>
    <row r="210" spans="1:3" x14ac:dyDescent="0.25">
      <c r="A210" s="8"/>
      <c r="B210" s="8"/>
      <c r="C210" s="13"/>
    </row>
    <row r="211" spans="1:3" x14ac:dyDescent="0.25">
      <c r="A211" s="8"/>
      <c r="B211" s="8"/>
      <c r="C211" s="13"/>
    </row>
    <row r="212" spans="1:3" x14ac:dyDescent="0.25">
      <c r="A212" s="8"/>
      <c r="B212" s="8"/>
      <c r="C212" s="13"/>
    </row>
    <row r="213" spans="1:3" x14ac:dyDescent="0.25">
      <c r="A213" s="8"/>
      <c r="B213" s="8"/>
      <c r="C213" s="13"/>
    </row>
    <row r="214" spans="1:3" x14ac:dyDescent="0.25">
      <c r="A214" s="8"/>
      <c r="B214" s="8"/>
      <c r="C214" s="13"/>
    </row>
    <row r="215" spans="1:3" x14ac:dyDescent="0.25">
      <c r="A215" s="8"/>
      <c r="B215" s="8"/>
      <c r="C215" s="13"/>
    </row>
    <row r="216" spans="1:3" x14ac:dyDescent="0.25">
      <c r="A216" s="8"/>
      <c r="B216" s="8"/>
      <c r="C216" s="13"/>
    </row>
    <row r="217" spans="1:3" x14ac:dyDescent="0.25">
      <c r="A217" s="8"/>
      <c r="B217" s="8"/>
      <c r="C217" s="13"/>
    </row>
    <row r="218" spans="1:3" x14ac:dyDescent="0.25">
      <c r="A218" s="8"/>
      <c r="B218" s="8"/>
      <c r="C218" s="13"/>
    </row>
    <row r="219" spans="1:3" x14ac:dyDescent="0.25">
      <c r="A219" s="8"/>
      <c r="B219" s="8"/>
      <c r="C219" s="13"/>
    </row>
    <row r="220" spans="1:3" x14ac:dyDescent="0.25">
      <c r="A220" s="8"/>
      <c r="B220" s="8"/>
      <c r="C220" s="13"/>
    </row>
    <row r="221" spans="1:3" x14ac:dyDescent="0.25">
      <c r="A221" s="8"/>
      <c r="B221" s="8"/>
      <c r="C221" s="13"/>
    </row>
    <row r="222" spans="1:3" x14ac:dyDescent="0.25">
      <c r="A222" s="8"/>
      <c r="B222" s="8"/>
      <c r="C222" s="13"/>
    </row>
    <row r="223" spans="1:3" x14ac:dyDescent="0.25">
      <c r="A223" s="8"/>
      <c r="B223" s="8"/>
      <c r="C223" s="13"/>
    </row>
    <row r="224" spans="1:3" x14ac:dyDescent="0.25">
      <c r="A224" s="8"/>
      <c r="B224" s="8"/>
      <c r="C224" s="13"/>
    </row>
    <row r="225" spans="1:3" x14ac:dyDescent="0.25">
      <c r="A225" s="8"/>
      <c r="B225" s="8"/>
      <c r="C225" s="13"/>
    </row>
    <row r="226" spans="1:3" x14ac:dyDescent="0.25">
      <c r="A226" s="8"/>
      <c r="B226" s="8"/>
      <c r="C226" s="13"/>
    </row>
    <row r="227" spans="1:3" x14ac:dyDescent="0.25">
      <c r="A227" s="8"/>
      <c r="B227" s="8"/>
      <c r="C227" s="13"/>
    </row>
    <row r="228" spans="1:3" x14ac:dyDescent="0.25">
      <c r="A228" s="8"/>
      <c r="B228" s="8"/>
      <c r="C228" s="13"/>
    </row>
    <row r="229" spans="1:3" x14ac:dyDescent="0.25">
      <c r="A229" s="8"/>
      <c r="B229" s="8"/>
      <c r="C229" s="13"/>
    </row>
    <row r="230" spans="1:3" x14ac:dyDescent="0.25">
      <c r="A230" s="8"/>
      <c r="B230" s="8"/>
      <c r="C230" s="13"/>
    </row>
    <row r="231" spans="1:3" x14ac:dyDescent="0.25">
      <c r="A231" s="8"/>
      <c r="B231" s="8"/>
      <c r="C231" s="13"/>
    </row>
    <row r="232" spans="1:3" x14ac:dyDescent="0.25">
      <c r="A232" s="8"/>
      <c r="B232" s="8"/>
      <c r="C232" s="13"/>
    </row>
    <row r="233" spans="1:3" x14ac:dyDescent="0.25">
      <c r="A233" s="8"/>
      <c r="B233" s="8"/>
      <c r="C233" s="13"/>
    </row>
    <row r="234" spans="1:3" x14ac:dyDescent="0.25">
      <c r="A234" s="8"/>
      <c r="B234" s="8"/>
      <c r="C234" s="13"/>
    </row>
    <row r="235" spans="1:3" x14ac:dyDescent="0.25">
      <c r="A235" s="8"/>
      <c r="B235" s="8"/>
      <c r="C235" s="13"/>
    </row>
    <row r="236" spans="1:3" x14ac:dyDescent="0.25">
      <c r="A236" s="8"/>
      <c r="B236" s="8"/>
      <c r="C236" s="13"/>
    </row>
    <row r="237" spans="1:3" x14ac:dyDescent="0.25">
      <c r="A237" s="8"/>
      <c r="B237" s="8"/>
      <c r="C237" s="13"/>
    </row>
    <row r="238" spans="1:3" x14ac:dyDescent="0.25">
      <c r="A238" s="8"/>
      <c r="B238" s="8"/>
      <c r="C238" s="13"/>
    </row>
    <row r="239" spans="1:3" x14ac:dyDescent="0.25">
      <c r="A239" s="8"/>
      <c r="B239" s="8"/>
      <c r="C239" s="13"/>
    </row>
    <row r="240" spans="1:3" x14ac:dyDescent="0.25">
      <c r="A240" s="8"/>
      <c r="B240" s="8"/>
      <c r="C240" s="13"/>
    </row>
    <row r="241" spans="1:3" x14ac:dyDescent="0.25">
      <c r="A241" s="8"/>
      <c r="B241" s="8"/>
      <c r="C241" s="13"/>
    </row>
    <row r="242" spans="1:3" x14ac:dyDescent="0.25">
      <c r="A242" s="8"/>
      <c r="B242" s="8"/>
      <c r="C242" s="13"/>
    </row>
    <row r="243" spans="1:3" x14ac:dyDescent="0.25">
      <c r="A243" s="8"/>
      <c r="B243" s="8"/>
      <c r="C243" s="13"/>
    </row>
    <row r="244" spans="1:3" x14ac:dyDescent="0.25">
      <c r="A244" s="8"/>
      <c r="B244" s="8"/>
      <c r="C244" s="13"/>
    </row>
    <row r="245" spans="1:3" x14ac:dyDescent="0.25">
      <c r="A245" s="8"/>
      <c r="B245" s="8"/>
      <c r="C245" s="13"/>
    </row>
    <row r="246" spans="1:3" x14ac:dyDescent="0.25">
      <c r="A246" s="8"/>
      <c r="B246" s="8"/>
      <c r="C246" s="13"/>
    </row>
    <row r="247" spans="1:3" x14ac:dyDescent="0.25">
      <c r="A247" s="8"/>
      <c r="B247" s="8"/>
      <c r="C247" s="13"/>
    </row>
    <row r="248" spans="1:3" x14ac:dyDescent="0.25">
      <c r="A248" s="8"/>
      <c r="B248" s="8"/>
      <c r="C248" s="13"/>
    </row>
    <row r="249" spans="1:3" x14ac:dyDescent="0.25">
      <c r="A249" s="8"/>
      <c r="B249" s="8"/>
      <c r="C249" s="13"/>
    </row>
    <row r="250" spans="1:3" x14ac:dyDescent="0.25">
      <c r="A250" s="8"/>
      <c r="B250" s="8"/>
      <c r="C250" s="13"/>
    </row>
    <row r="251" spans="1:3" x14ac:dyDescent="0.25">
      <c r="A251" s="8"/>
      <c r="B251" s="8"/>
      <c r="C251" s="13"/>
    </row>
    <row r="252" spans="1:3" x14ac:dyDescent="0.25">
      <c r="A252" s="8"/>
      <c r="B252" s="8"/>
      <c r="C252" s="13"/>
    </row>
    <row r="253" spans="1:3" x14ac:dyDescent="0.25">
      <c r="A253" s="8"/>
      <c r="B253" s="8"/>
      <c r="C253" s="13"/>
    </row>
    <row r="254" spans="1:3" x14ac:dyDescent="0.25">
      <c r="A254" s="8"/>
      <c r="B254" s="8"/>
      <c r="C254" s="13"/>
    </row>
    <row r="255" spans="1:3" x14ac:dyDescent="0.25">
      <c r="A255" s="8"/>
      <c r="B255" s="8"/>
      <c r="C255" s="13"/>
    </row>
    <row r="256" spans="1:3" x14ac:dyDescent="0.25">
      <c r="A256" s="8"/>
      <c r="B256" s="8"/>
      <c r="C256" s="13"/>
    </row>
    <row r="257" spans="1:3" x14ac:dyDescent="0.25">
      <c r="A257" s="8"/>
      <c r="B257" s="8"/>
      <c r="C257" s="13"/>
    </row>
    <row r="258" spans="1:3" x14ac:dyDescent="0.25">
      <c r="A258" s="8"/>
      <c r="B258" s="8"/>
      <c r="C258" s="13"/>
    </row>
    <row r="259" spans="1:3" x14ac:dyDescent="0.25">
      <c r="A259" s="8"/>
      <c r="B259" s="8"/>
      <c r="C259" s="13"/>
    </row>
    <row r="260" spans="1:3" x14ac:dyDescent="0.25">
      <c r="A260" s="8"/>
      <c r="B260" s="8"/>
      <c r="C260" s="13"/>
    </row>
    <row r="261" spans="1:3" x14ac:dyDescent="0.25">
      <c r="A261" s="8"/>
      <c r="B261" s="8"/>
      <c r="C261" s="13"/>
    </row>
    <row r="262" spans="1:3" x14ac:dyDescent="0.25">
      <c r="A262" s="8"/>
      <c r="B262" s="8"/>
      <c r="C262" s="13"/>
    </row>
    <row r="263" spans="1:3" x14ac:dyDescent="0.25">
      <c r="A263" s="8"/>
      <c r="B263" s="8"/>
      <c r="C263" s="13"/>
    </row>
    <row r="264" spans="1:3" x14ac:dyDescent="0.25">
      <c r="A264" s="8"/>
      <c r="B264" s="8"/>
      <c r="C264" s="13"/>
    </row>
    <row r="265" spans="1:3" x14ac:dyDescent="0.25">
      <c r="A265" s="8"/>
      <c r="B265" s="8"/>
      <c r="C265" s="13"/>
    </row>
    <row r="266" spans="1:3" x14ac:dyDescent="0.25">
      <c r="A266" s="8"/>
      <c r="B266" s="8"/>
      <c r="C266" s="13"/>
    </row>
    <row r="267" spans="1:3" x14ac:dyDescent="0.25">
      <c r="A267" s="8"/>
      <c r="B267" s="8"/>
      <c r="C267" s="13"/>
    </row>
    <row r="268" spans="1:3" x14ac:dyDescent="0.25">
      <c r="A268" s="8"/>
      <c r="B268" s="8"/>
      <c r="C268" s="13"/>
    </row>
    <row r="269" spans="1:3" x14ac:dyDescent="0.25">
      <c r="A269" s="8"/>
      <c r="B269" s="8"/>
      <c r="C269" s="13"/>
    </row>
    <row r="270" spans="1:3" x14ac:dyDescent="0.25">
      <c r="A270" s="8"/>
      <c r="B270" s="8"/>
      <c r="C270" s="13"/>
    </row>
    <row r="271" spans="1:3" x14ac:dyDescent="0.25">
      <c r="A271" s="8"/>
      <c r="B271" s="8"/>
      <c r="C271" s="13"/>
    </row>
    <row r="272" spans="1:3" x14ac:dyDescent="0.25">
      <c r="A272" s="8"/>
      <c r="B272" s="8"/>
      <c r="C272" s="13"/>
    </row>
    <row r="273" spans="1:3" x14ac:dyDescent="0.25">
      <c r="A273" s="8"/>
      <c r="B273" s="8"/>
      <c r="C273" s="13"/>
    </row>
    <row r="274" spans="1:3" x14ac:dyDescent="0.25">
      <c r="A274" s="8"/>
      <c r="B274" s="8"/>
      <c r="C274" s="13"/>
    </row>
    <row r="275" spans="1:3" x14ac:dyDescent="0.25">
      <c r="A275" s="8"/>
      <c r="B275" s="8"/>
      <c r="C275" s="13"/>
    </row>
    <row r="276" spans="1:3" x14ac:dyDescent="0.25">
      <c r="A276" s="8"/>
      <c r="B276" s="8"/>
      <c r="C276" s="13"/>
    </row>
    <row r="277" spans="1:3" x14ac:dyDescent="0.25">
      <c r="A277" s="8"/>
      <c r="B277" s="8"/>
      <c r="C277" s="13"/>
    </row>
    <row r="278" spans="1:3" x14ac:dyDescent="0.25">
      <c r="A278" s="8"/>
      <c r="B278" s="8"/>
      <c r="C278" s="13"/>
    </row>
    <row r="279" spans="1:3" x14ac:dyDescent="0.25">
      <c r="A279" s="8"/>
      <c r="B279" s="8"/>
      <c r="C279" s="13"/>
    </row>
    <row r="280" spans="1:3" x14ac:dyDescent="0.25">
      <c r="A280" s="8"/>
      <c r="B280" s="8"/>
      <c r="C280" s="13"/>
    </row>
    <row r="281" spans="1:3" x14ac:dyDescent="0.25">
      <c r="A281" s="8"/>
      <c r="B281" s="8"/>
      <c r="C281" s="13"/>
    </row>
    <row r="282" spans="1:3" x14ac:dyDescent="0.25">
      <c r="A282" s="8"/>
      <c r="B282" s="8"/>
      <c r="C282" s="13"/>
    </row>
    <row r="283" spans="1:3" x14ac:dyDescent="0.25">
      <c r="A283" s="8"/>
      <c r="B283" s="8"/>
      <c r="C283" s="13"/>
    </row>
    <row r="284" spans="1:3" x14ac:dyDescent="0.25">
      <c r="A284" s="8"/>
      <c r="B284" s="8"/>
      <c r="C284" s="13"/>
    </row>
    <row r="285" spans="1:3" x14ac:dyDescent="0.25">
      <c r="A285" s="8"/>
      <c r="B285" s="8"/>
      <c r="C285" s="13"/>
    </row>
    <row r="286" spans="1:3" x14ac:dyDescent="0.25">
      <c r="A286" s="8"/>
      <c r="B286" s="8"/>
      <c r="C286" s="13"/>
    </row>
    <row r="287" spans="1:3" x14ac:dyDescent="0.25">
      <c r="A287" s="8"/>
      <c r="B287" s="8"/>
      <c r="C287" s="13"/>
    </row>
    <row r="288" spans="1:3" x14ac:dyDescent="0.25">
      <c r="A288" s="8"/>
      <c r="B288" s="8"/>
      <c r="C288" s="13"/>
    </row>
    <row r="289" spans="1:3" x14ac:dyDescent="0.25">
      <c r="A289" s="8"/>
      <c r="B289" s="8"/>
      <c r="C289" s="13"/>
    </row>
    <row r="290" spans="1:3" x14ac:dyDescent="0.25">
      <c r="A290" s="8"/>
      <c r="B290" s="8"/>
      <c r="C290" s="13"/>
    </row>
    <row r="291" spans="1:3" x14ac:dyDescent="0.25">
      <c r="A291" s="8"/>
      <c r="B291" s="8"/>
      <c r="C291" s="13"/>
    </row>
    <row r="292" spans="1:3" x14ac:dyDescent="0.25">
      <c r="A292" s="8"/>
      <c r="B292" s="8"/>
      <c r="C292" s="13"/>
    </row>
    <row r="293" spans="1:3" x14ac:dyDescent="0.25">
      <c r="A293" s="8"/>
      <c r="B293" s="8"/>
      <c r="C293" s="13"/>
    </row>
    <row r="294" spans="1:3" x14ac:dyDescent="0.25">
      <c r="A294" s="8"/>
      <c r="B294" s="8"/>
      <c r="C294" s="13"/>
    </row>
    <row r="295" spans="1:3" x14ac:dyDescent="0.25">
      <c r="A295" s="8"/>
      <c r="B295" s="8"/>
      <c r="C295" s="13"/>
    </row>
    <row r="296" spans="1:3" x14ac:dyDescent="0.25">
      <c r="A296" s="8"/>
      <c r="B296" s="8"/>
      <c r="C296" s="13"/>
    </row>
    <row r="297" spans="1:3" x14ac:dyDescent="0.25">
      <c r="A297" s="8"/>
      <c r="B297" s="8"/>
      <c r="C297" s="13"/>
    </row>
    <row r="298" spans="1:3" x14ac:dyDescent="0.25">
      <c r="A298" s="8"/>
      <c r="B298" s="8"/>
      <c r="C298" s="13"/>
    </row>
    <row r="299" spans="1:3" x14ac:dyDescent="0.25">
      <c r="A299" s="8"/>
      <c r="B299" s="8"/>
      <c r="C299" s="13"/>
    </row>
    <row r="300" spans="1:3" x14ac:dyDescent="0.25">
      <c r="A300" s="8"/>
      <c r="B300" s="8"/>
      <c r="C300" s="13"/>
    </row>
    <row r="301" spans="1:3" x14ac:dyDescent="0.25">
      <c r="A301" s="8"/>
      <c r="B301" s="8"/>
      <c r="C301" s="13"/>
    </row>
    <row r="302" spans="1:3" x14ac:dyDescent="0.25">
      <c r="A302" s="8"/>
      <c r="B302" s="8"/>
      <c r="C302" s="13"/>
    </row>
    <row r="303" spans="1:3" x14ac:dyDescent="0.25">
      <c r="A303" s="8"/>
      <c r="B303" s="8"/>
      <c r="C303" s="13"/>
    </row>
    <row r="304" spans="1:3" x14ac:dyDescent="0.25">
      <c r="A304" s="8"/>
      <c r="B304" s="8"/>
      <c r="C304" s="13"/>
    </row>
    <row r="305" spans="1:3" x14ac:dyDescent="0.25">
      <c r="A305" s="8"/>
      <c r="B305" s="8"/>
      <c r="C305" s="13"/>
    </row>
    <row r="306" spans="1:3" x14ac:dyDescent="0.25">
      <c r="A306" s="8"/>
      <c r="B306" s="8"/>
      <c r="C306" s="13"/>
    </row>
    <row r="307" spans="1:3" x14ac:dyDescent="0.25">
      <c r="A307" s="8"/>
      <c r="B307" s="8"/>
      <c r="C307" s="13"/>
    </row>
    <row r="308" spans="1:3" x14ac:dyDescent="0.25">
      <c r="A308" s="8"/>
      <c r="B308" s="8"/>
      <c r="C308" s="13"/>
    </row>
    <row r="309" spans="1:3" x14ac:dyDescent="0.25">
      <c r="A309" s="8"/>
      <c r="B309" s="8"/>
      <c r="C309" s="13"/>
    </row>
    <row r="310" spans="1:3" x14ac:dyDescent="0.25">
      <c r="A310" s="8"/>
      <c r="B310" s="8"/>
      <c r="C310" s="13"/>
    </row>
    <row r="311" spans="1:3" x14ac:dyDescent="0.25">
      <c r="A311" s="8"/>
      <c r="B311" s="8"/>
      <c r="C311" s="13"/>
    </row>
    <row r="312" spans="1:3" x14ac:dyDescent="0.25">
      <c r="A312" s="8"/>
      <c r="B312" s="8"/>
      <c r="C312" s="13"/>
    </row>
    <row r="313" spans="1:3" x14ac:dyDescent="0.25">
      <c r="A313" s="8"/>
      <c r="B313" s="8"/>
      <c r="C313" s="13"/>
    </row>
    <row r="314" spans="1:3" x14ac:dyDescent="0.25">
      <c r="A314" s="8"/>
      <c r="B314" s="8"/>
      <c r="C314" s="13"/>
    </row>
    <row r="315" spans="1:3" x14ac:dyDescent="0.25">
      <c r="A315" s="8"/>
      <c r="B315" s="8"/>
      <c r="C315" s="13"/>
    </row>
    <row r="316" spans="1:3" x14ac:dyDescent="0.25">
      <c r="A316" s="8"/>
      <c r="B316" s="8"/>
      <c r="C316" s="13"/>
    </row>
    <row r="317" spans="1:3" x14ac:dyDescent="0.25">
      <c r="A317" s="8"/>
      <c r="B317" s="8"/>
      <c r="C317" s="13"/>
    </row>
    <row r="318" spans="1:3" x14ac:dyDescent="0.25">
      <c r="A318" s="8"/>
      <c r="B318" s="8"/>
      <c r="C318" s="13"/>
    </row>
    <row r="319" spans="1:3" x14ac:dyDescent="0.25">
      <c r="A319" s="8"/>
      <c r="B319" s="8"/>
      <c r="C319" s="13"/>
    </row>
    <row r="320" spans="1:3" x14ac:dyDescent="0.25">
      <c r="A320" s="8"/>
      <c r="B320" s="8"/>
      <c r="C320" s="13"/>
    </row>
    <row r="321" spans="1:3" x14ac:dyDescent="0.25">
      <c r="A321" s="8"/>
      <c r="B321" s="8"/>
      <c r="C321" s="13"/>
    </row>
    <row r="322" spans="1:3" x14ac:dyDescent="0.25">
      <c r="A322" s="8"/>
      <c r="B322" s="8"/>
      <c r="C322" s="13"/>
    </row>
    <row r="323" spans="1:3" x14ac:dyDescent="0.25">
      <c r="A323" s="8"/>
      <c r="B323" s="8"/>
      <c r="C323" s="13"/>
    </row>
    <row r="324" spans="1:3" x14ac:dyDescent="0.25">
      <c r="A324" s="8"/>
      <c r="B324" s="8"/>
      <c r="C324" s="13"/>
    </row>
    <row r="325" spans="1:3" x14ac:dyDescent="0.25">
      <c r="A325" s="8"/>
      <c r="B325" s="8"/>
      <c r="C325" s="13"/>
    </row>
    <row r="326" spans="1:3" x14ac:dyDescent="0.25">
      <c r="A326" s="8"/>
      <c r="B326" s="8"/>
      <c r="C326" s="13"/>
    </row>
    <row r="327" spans="1:3" x14ac:dyDescent="0.25">
      <c r="A327" s="8"/>
      <c r="B327" s="8"/>
      <c r="C327" s="13"/>
    </row>
    <row r="328" spans="1:3" x14ac:dyDescent="0.25">
      <c r="A328" s="8"/>
      <c r="B328" s="8"/>
      <c r="C328" s="13"/>
    </row>
    <row r="329" spans="1:3" x14ac:dyDescent="0.25">
      <c r="A329" s="8"/>
      <c r="B329" s="8"/>
      <c r="C329" s="13"/>
    </row>
    <row r="330" spans="1:3" x14ac:dyDescent="0.25">
      <c r="A330" s="8"/>
      <c r="B330" s="8"/>
      <c r="C330" s="13"/>
    </row>
    <row r="331" spans="1:3" x14ac:dyDescent="0.25">
      <c r="A331" s="8"/>
      <c r="B331" s="8"/>
      <c r="C331" s="13"/>
    </row>
    <row r="332" spans="1:3" x14ac:dyDescent="0.25">
      <c r="A332" s="8"/>
      <c r="B332" s="8"/>
      <c r="C332" s="13"/>
    </row>
    <row r="333" spans="1:3" x14ac:dyDescent="0.25">
      <c r="A333" s="8"/>
      <c r="B333" s="8"/>
      <c r="C333" s="13"/>
    </row>
    <row r="334" spans="1:3" x14ac:dyDescent="0.25">
      <c r="A334" s="8"/>
      <c r="B334" s="8"/>
      <c r="C334" s="13"/>
    </row>
    <row r="335" spans="1:3" x14ac:dyDescent="0.25">
      <c r="A335" s="8"/>
      <c r="B335" s="8"/>
      <c r="C335" s="13"/>
    </row>
    <row r="336" spans="1:3" x14ac:dyDescent="0.25">
      <c r="A336" s="8"/>
      <c r="B336" s="8"/>
      <c r="C336" s="13"/>
    </row>
    <row r="337" spans="1:3" x14ac:dyDescent="0.25">
      <c r="A337" s="8"/>
      <c r="B337" s="8"/>
      <c r="C337" s="13"/>
    </row>
    <row r="338" spans="1:3" x14ac:dyDescent="0.25">
      <c r="A338" s="8"/>
      <c r="B338" s="8"/>
      <c r="C338" s="13"/>
    </row>
    <row r="339" spans="1:3" x14ac:dyDescent="0.25">
      <c r="A339" s="8"/>
      <c r="B339" s="8"/>
      <c r="C339" s="13"/>
    </row>
    <row r="340" spans="1:3" x14ac:dyDescent="0.25">
      <c r="A340" s="8"/>
      <c r="B340" s="8"/>
      <c r="C340" s="13"/>
    </row>
    <row r="341" spans="1:3" x14ac:dyDescent="0.25">
      <c r="A341" s="8"/>
      <c r="B341" s="8"/>
      <c r="C341" s="13"/>
    </row>
    <row r="342" spans="1:3" x14ac:dyDescent="0.25">
      <c r="A342" s="8"/>
      <c r="B342" s="8"/>
      <c r="C342" s="13"/>
    </row>
    <row r="343" spans="1:3" x14ac:dyDescent="0.25">
      <c r="A343" s="8"/>
      <c r="B343" s="8"/>
      <c r="C343" s="13"/>
    </row>
    <row r="344" spans="1:3" x14ac:dyDescent="0.25">
      <c r="A344" s="8"/>
      <c r="B344" s="8"/>
      <c r="C344" s="13"/>
    </row>
    <row r="345" spans="1:3" x14ac:dyDescent="0.25">
      <c r="A345" s="8"/>
      <c r="B345" s="8"/>
      <c r="C345" s="13"/>
    </row>
    <row r="346" spans="1:3" x14ac:dyDescent="0.25">
      <c r="A346" s="8"/>
      <c r="B346" s="8"/>
      <c r="C346" s="13"/>
    </row>
    <row r="347" spans="1:3" x14ac:dyDescent="0.25">
      <c r="A347" s="8"/>
      <c r="B347" s="8"/>
      <c r="C347" s="13"/>
    </row>
    <row r="348" spans="1:3" x14ac:dyDescent="0.25">
      <c r="A348" s="8"/>
      <c r="B348" s="8"/>
      <c r="C348" s="13"/>
    </row>
    <row r="349" spans="1:3" x14ac:dyDescent="0.25">
      <c r="A349" s="8"/>
      <c r="B349" s="8"/>
      <c r="C349" s="13"/>
    </row>
    <row r="350" spans="1:3" x14ac:dyDescent="0.25">
      <c r="A350" s="8"/>
      <c r="B350" s="8"/>
      <c r="C350" s="13"/>
    </row>
    <row r="351" spans="1:3" x14ac:dyDescent="0.25">
      <c r="A351" s="8"/>
      <c r="B351" s="8"/>
      <c r="C351" s="13"/>
    </row>
    <row r="352" spans="1:3" x14ac:dyDescent="0.25">
      <c r="A352" s="8"/>
      <c r="B352" s="8"/>
      <c r="C352" s="13"/>
    </row>
    <row r="353" spans="1:3" x14ac:dyDescent="0.25">
      <c r="A353" s="8"/>
      <c r="B353" s="8"/>
      <c r="C353" s="13"/>
    </row>
    <row r="354" spans="1:3" x14ac:dyDescent="0.25">
      <c r="A354" s="8"/>
      <c r="B354" s="8"/>
      <c r="C354" s="13"/>
    </row>
    <row r="355" spans="1:3" x14ac:dyDescent="0.25">
      <c r="A355" s="8"/>
      <c r="B355" s="8"/>
      <c r="C355" s="13"/>
    </row>
    <row r="356" spans="1:3" x14ac:dyDescent="0.25">
      <c r="A356" s="8"/>
      <c r="B356" s="8"/>
      <c r="C356" s="13"/>
    </row>
    <row r="357" spans="1:3" x14ac:dyDescent="0.25">
      <c r="A357" s="8"/>
      <c r="B357" s="8"/>
      <c r="C357" s="13"/>
    </row>
    <row r="358" spans="1:3" x14ac:dyDescent="0.25">
      <c r="A358" s="8"/>
      <c r="B358" s="8"/>
      <c r="C358" s="13"/>
    </row>
    <row r="359" spans="1:3" x14ac:dyDescent="0.25">
      <c r="A359" s="8"/>
      <c r="B359" s="8"/>
      <c r="C359" s="13"/>
    </row>
    <row r="360" spans="1:3" x14ac:dyDescent="0.25">
      <c r="A360" s="8"/>
      <c r="B360" s="8"/>
      <c r="C360" s="13"/>
    </row>
    <row r="361" spans="1:3" x14ac:dyDescent="0.25">
      <c r="A361" s="8"/>
      <c r="B361" s="8"/>
      <c r="C361" s="13"/>
    </row>
    <row r="362" spans="1:3" x14ac:dyDescent="0.25">
      <c r="A362" s="8"/>
      <c r="B362" s="8"/>
      <c r="C362" s="13"/>
    </row>
    <row r="363" spans="1:3" x14ac:dyDescent="0.25">
      <c r="A363" s="8"/>
      <c r="B363" s="8"/>
      <c r="C363" s="13"/>
    </row>
    <row r="364" spans="1:3" x14ac:dyDescent="0.25">
      <c r="A364" s="8"/>
      <c r="B364" s="8"/>
      <c r="C364" s="13"/>
    </row>
    <row r="365" spans="1:3" x14ac:dyDescent="0.25">
      <c r="A365" s="8"/>
      <c r="B365" s="8"/>
      <c r="C365" s="13"/>
    </row>
    <row r="366" spans="1:3" x14ac:dyDescent="0.25">
      <c r="A366" s="8"/>
      <c r="B366" s="8"/>
      <c r="C366" s="13"/>
    </row>
    <row r="367" spans="1:3" x14ac:dyDescent="0.25">
      <c r="A367" s="8"/>
      <c r="B367" s="8"/>
      <c r="C367" s="13"/>
    </row>
    <row r="368" spans="1:3" x14ac:dyDescent="0.25">
      <c r="A368" s="8"/>
      <c r="B368" s="8"/>
      <c r="C368" s="13"/>
    </row>
    <row r="369" spans="1:3" x14ac:dyDescent="0.25">
      <c r="A369" s="8"/>
      <c r="B369" s="8"/>
      <c r="C369" s="13"/>
    </row>
    <row r="370" spans="1:3" x14ac:dyDescent="0.25">
      <c r="A370" s="8"/>
      <c r="B370" s="8"/>
      <c r="C370" s="13"/>
    </row>
    <row r="371" spans="1:3" x14ac:dyDescent="0.25">
      <c r="A371" s="8"/>
      <c r="B371" s="8"/>
      <c r="C371" s="13"/>
    </row>
    <row r="372" spans="1:3" x14ac:dyDescent="0.25">
      <c r="A372" s="8"/>
      <c r="B372" s="8"/>
      <c r="C372" s="13"/>
    </row>
    <row r="373" spans="1:3" x14ac:dyDescent="0.25">
      <c r="A373" s="8"/>
      <c r="B373" s="8"/>
      <c r="C373" s="13"/>
    </row>
    <row r="374" spans="1:3" x14ac:dyDescent="0.25">
      <c r="A374" s="8"/>
      <c r="B374" s="8"/>
      <c r="C374" s="13"/>
    </row>
    <row r="375" spans="1:3" x14ac:dyDescent="0.25">
      <c r="A375" s="8"/>
      <c r="B375" s="8"/>
      <c r="C375" s="13"/>
    </row>
    <row r="376" spans="1:3" x14ac:dyDescent="0.25">
      <c r="A376" s="8"/>
      <c r="B376" s="8"/>
      <c r="C376" s="13"/>
    </row>
    <row r="377" spans="1:3" x14ac:dyDescent="0.25">
      <c r="A377" s="8"/>
      <c r="B377" s="8"/>
      <c r="C377" s="13"/>
    </row>
    <row r="378" spans="1:3" x14ac:dyDescent="0.25">
      <c r="A378" s="8"/>
      <c r="B378" s="8"/>
      <c r="C378" s="13"/>
    </row>
    <row r="379" spans="1:3" x14ac:dyDescent="0.25">
      <c r="A379" s="8"/>
      <c r="B379" s="8"/>
      <c r="C379" s="13"/>
    </row>
    <row r="380" spans="1:3" x14ac:dyDescent="0.25">
      <c r="A380" s="8"/>
      <c r="B380" s="8"/>
      <c r="C380" s="13"/>
    </row>
    <row r="381" spans="1:3" x14ac:dyDescent="0.25">
      <c r="A381" s="8"/>
      <c r="B381" s="8"/>
      <c r="C381" s="13"/>
    </row>
    <row r="382" spans="1:3" x14ac:dyDescent="0.25">
      <c r="A382" s="8"/>
      <c r="B382" s="8"/>
      <c r="C382" s="13"/>
    </row>
    <row r="383" spans="1:3" x14ac:dyDescent="0.25">
      <c r="A383" s="8"/>
      <c r="B383" s="8"/>
      <c r="C383" s="13"/>
    </row>
    <row r="384" spans="1:3" x14ac:dyDescent="0.25">
      <c r="A384" s="8"/>
      <c r="B384" s="8"/>
      <c r="C384" s="13"/>
    </row>
    <row r="385" spans="1:3" x14ac:dyDescent="0.25">
      <c r="A385" s="8"/>
      <c r="B385" s="8"/>
      <c r="C385" s="13"/>
    </row>
    <row r="386" spans="1:3" x14ac:dyDescent="0.25">
      <c r="A386" s="8"/>
      <c r="B386" s="8"/>
      <c r="C386" s="13"/>
    </row>
    <row r="387" spans="1:3" x14ac:dyDescent="0.25">
      <c r="A387" s="8"/>
      <c r="B387" s="8"/>
      <c r="C387" s="13"/>
    </row>
    <row r="388" spans="1:3" x14ac:dyDescent="0.25">
      <c r="A388" s="8"/>
      <c r="B388" s="8"/>
      <c r="C388" s="13"/>
    </row>
    <row r="389" spans="1:3" x14ac:dyDescent="0.25">
      <c r="A389" s="8"/>
      <c r="B389" s="8"/>
      <c r="C389" s="13"/>
    </row>
    <row r="390" spans="1:3" x14ac:dyDescent="0.25">
      <c r="A390" s="8"/>
      <c r="B390" s="8"/>
      <c r="C390" s="13"/>
    </row>
    <row r="391" spans="1:3" x14ac:dyDescent="0.25">
      <c r="A391" s="8"/>
      <c r="B391" s="8"/>
      <c r="C391" s="13"/>
    </row>
    <row r="392" spans="1:3" x14ac:dyDescent="0.25">
      <c r="A392" s="8"/>
      <c r="B392" s="8"/>
      <c r="C392" s="13"/>
    </row>
    <row r="393" spans="1:3" x14ac:dyDescent="0.25">
      <c r="A393" s="8"/>
      <c r="B393" s="8"/>
      <c r="C393" s="13"/>
    </row>
    <row r="394" spans="1:3" x14ac:dyDescent="0.25">
      <c r="A394" s="8"/>
      <c r="B394" s="8"/>
      <c r="C394" s="13"/>
    </row>
    <row r="395" spans="1:3" x14ac:dyDescent="0.25">
      <c r="A395" s="8"/>
      <c r="B395" s="8"/>
      <c r="C395" s="13"/>
    </row>
    <row r="396" spans="1:3" x14ac:dyDescent="0.25">
      <c r="A396" s="8"/>
      <c r="B396" s="8"/>
      <c r="C396" s="13"/>
    </row>
    <row r="397" spans="1:3" x14ac:dyDescent="0.25">
      <c r="A397" s="8"/>
      <c r="B397" s="8"/>
      <c r="C397" s="13"/>
    </row>
    <row r="398" spans="1:3" x14ac:dyDescent="0.25">
      <c r="A398" s="8"/>
      <c r="B398" s="8"/>
      <c r="C398" s="13"/>
    </row>
    <row r="399" spans="1:3" x14ac:dyDescent="0.25">
      <c r="A399" s="8"/>
      <c r="B399" s="8"/>
      <c r="C399" s="13"/>
    </row>
    <row r="400" spans="1:3" x14ac:dyDescent="0.25">
      <c r="A400" s="8"/>
      <c r="B400" s="8"/>
      <c r="C400" s="13"/>
    </row>
    <row r="401" spans="1:3" x14ac:dyDescent="0.25">
      <c r="A401" s="8"/>
      <c r="B401" s="8"/>
      <c r="C401" s="13"/>
    </row>
    <row r="402" spans="1:3" x14ac:dyDescent="0.25">
      <c r="A402" s="8"/>
      <c r="B402" s="8"/>
      <c r="C402" s="13"/>
    </row>
    <row r="403" spans="1:3" x14ac:dyDescent="0.25">
      <c r="A403" s="8"/>
      <c r="B403" s="8"/>
      <c r="C403" s="13"/>
    </row>
    <row r="404" spans="1:3" x14ac:dyDescent="0.25">
      <c r="A404" s="8"/>
      <c r="B404" s="8"/>
      <c r="C404" s="13"/>
    </row>
    <row r="405" spans="1:3" x14ac:dyDescent="0.25">
      <c r="A405" s="8"/>
      <c r="B405" s="8"/>
      <c r="C405" s="13"/>
    </row>
    <row r="406" spans="1:3" x14ac:dyDescent="0.25">
      <c r="A406" s="8"/>
      <c r="B406" s="8"/>
      <c r="C406" s="13"/>
    </row>
    <row r="407" spans="1:3" x14ac:dyDescent="0.25">
      <c r="A407" s="8"/>
      <c r="B407" s="8"/>
      <c r="C407" s="13"/>
    </row>
    <row r="408" spans="1:3" x14ac:dyDescent="0.25">
      <c r="A408" s="8"/>
      <c r="B408" s="8"/>
      <c r="C408" s="13"/>
    </row>
    <row r="409" spans="1:3" x14ac:dyDescent="0.25">
      <c r="A409" s="8"/>
      <c r="B409" s="8"/>
      <c r="C409" s="13"/>
    </row>
    <row r="410" spans="1:3" x14ac:dyDescent="0.25">
      <c r="A410" s="8"/>
      <c r="B410" s="8"/>
      <c r="C410" s="13"/>
    </row>
    <row r="411" spans="1:3" x14ac:dyDescent="0.25">
      <c r="A411" s="8"/>
      <c r="B411" s="8"/>
      <c r="C411" s="13"/>
    </row>
    <row r="412" spans="1:3" x14ac:dyDescent="0.25">
      <c r="A412" s="8"/>
      <c r="B412" s="8"/>
      <c r="C412" s="13"/>
    </row>
    <row r="413" spans="1:3" x14ac:dyDescent="0.25">
      <c r="A413" s="8"/>
      <c r="B413" s="8"/>
      <c r="C413" s="13"/>
    </row>
    <row r="414" spans="1:3" x14ac:dyDescent="0.25">
      <c r="A414" s="8"/>
      <c r="B414" s="8"/>
      <c r="C414" s="13"/>
    </row>
    <row r="415" spans="1:3" x14ac:dyDescent="0.25">
      <c r="A415" s="8"/>
      <c r="B415" s="8"/>
      <c r="C415" s="13"/>
    </row>
    <row r="416" spans="1:3" x14ac:dyDescent="0.25">
      <c r="A416" s="8"/>
      <c r="B416" s="8"/>
      <c r="C416" s="13"/>
    </row>
    <row r="417" spans="1:3" x14ac:dyDescent="0.25">
      <c r="A417" s="8"/>
      <c r="B417" s="8"/>
      <c r="C417" s="13"/>
    </row>
    <row r="418" spans="1:3" x14ac:dyDescent="0.25">
      <c r="A418" s="8"/>
      <c r="B418" s="8"/>
      <c r="C418" s="13"/>
    </row>
    <row r="419" spans="1:3" x14ac:dyDescent="0.25">
      <c r="A419" s="8"/>
      <c r="B419" s="8"/>
      <c r="C419" s="13"/>
    </row>
    <row r="420" spans="1:3" x14ac:dyDescent="0.25">
      <c r="A420" s="8"/>
      <c r="B420" s="8"/>
      <c r="C420" s="13"/>
    </row>
    <row r="421" spans="1:3" x14ac:dyDescent="0.25">
      <c r="A421" s="8"/>
      <c r="B421" s="8"/>
      <c r="C421" s="13"/>
    </row>
    <row r="422" spans="1:3" x14ac:dyDescent="0.25">
      <c r="A422" s="8"/>
      <c r="B422" s="8"/>
      <c r="C422" s="13"/>
    </row>
    <row r="423" spans="1:3" x14ac:dyDescent="0.25">
      <c r="A423" s="8"/>
      <c r="B423" s="8"/>
      <c r="C423" s="13"/>
    </row>
    <row r="424" spans="1:3" x14ac:dyDescent="0.25">
      <c r="A424" s="8"/>
      <c r="B424" s="8"/>
      <c r="C424" s="13"/>
    </row>
    <row r="425" spans="1:3" x14ac:dyDescent="0.25">
      <c r="A425" s="8"/>
      <c r="B425" s="8"/>
      <c r="C425" s="13"/>
    </row>
    <row r="426" spans="1:3" x14ac:dyDescent="0.25">
      <c r="A426" s="8"/>
      <c r="B426" s="8"/>
      <c r="C426" s="13"/>
    </row>
    <row r="427" spans="1:3" x14ac:dyDescent="0.25">
      <c r="A427" s="8"/>
      <c r="B427" s="8"/>
      <c r="C427" s="13"/>
    </row>
    <row r="428" spans="1:3" x14ac:dyDescent="0.25">
      <c r="A428" s="8"/>
      <c r="B428" s="8"/>
      <c r="C428" s="13"/>
    </row>
    <row r="429" spans="1:3" x14ac:dyDescent="0.25">
      <c r="A429" s="8"/>
      <c r="B429" s="8"/>
      <c r="C429" s="13"/>
    </row>
    <row r="430" spans="1:3" x14ac:dyDescent="0.25">
      <c r="A430" s="8"/>
      <c r="B430" s="8"/>
      <c r="C430" s="13"/>
    </row>
    <row r="431" spans="1:3" x14ac:dyDescent="0.25">
      <c r="A431" s="8"/>
      <c r="B431" s="8"/>
      <c r="C431" s="13"/>
    </row>
    <row r="432" spans="1:3" x14ac:dyDescent="0.25">
      <c r="A432" s="8"/>
      <c r="B432" s="8"/>
      <c r="C432" s="13"/>
    </row>
    <row r="433" spans="1:3" x14ac:dyDescent="0.25">
      <c r="A433" s="8"/>
      <c r="B433" s="8"/>
      <c r="C433" s="13"/>
    </row>
    <row r="434" spans="1:3" x14ac:dyDescent="0.25">
      <c r="A434" s="8"/>
      <c r="B434" s="8"/>
      <c r="C434" s="13"/>
    </row>
    <row r="435" spans="1:3" x14ac:dyDescent="0.25">
      <c r="A435" s="8"/>
      <c r="B435" s="8"/>
      <c r="C435" s="13"/>
    </row>
    <row r="436" spans="1:3" x14ac:dyDescent="0.25">
      <c r="A436" s="8"/>
      <c r="B436" s="8"/>
      <c r="C436" s="13"/>
    </row>
    <row r="437" spans="1:3" x14ac:dyDescent="0.25">
      <c r="A437" s="8"/>
      <c r="B437" s="8"/>
      <c r="C437" s="13"/>
    </row>
    <row r="438" spans="1:3" x14ac:dyDescent="0.25">
      <c r="A438" s="8"/>
      <c r="B438" s="8"/>
      <c r="C438" s="13"/>
    </row>
    <row r="439" spans="1:3" x14ac:dyDescent="0.25">
      <c r="A439" s="8"/>
      <c r="B439" s="8"/>
      <c r="C439" s="13"/>
    </row>
    <row r="440" spans="1:3" x14ac:dyDescent="0.25">
      <c r="A440" s="8"/>
      <c r="B440" s="8"/>
      <c r="C440" s="13"/>
    </row>
    <row r="441" spans="1:3" x14ac:dyDescent="0.25">
      <c r="A441" s="8"/>
      <c r="B441" s="8"/>
      <c r="C441" s="13"/>
    </row>
    <row r="442" spans="1:3" x14ac:dyDescent="0.25">
      <c r="A442" s="8"/>
      <c r="B442" s="8"/>
      <c r="C442" s="13"/>
    </row>
    <row r="443" spans="1:3" x14ac:dyDescent="0.25">
      <c r="A443" s="8"/>
      <c r="B443" s="8"/>
      <c r="C443" s="13"/>
    </row>
    <row r="444" spans="1:3" x14ac:dyDescent="0.25">
      <c r="A444" s="8"/>
      <c r="B444" s="8"/>
      <c r="C444" s="13"/>
    </row>
    <row r="445" spans="1:3" x14ac:dyDescent="0.25">
      <c r="A445" s="8"/>
      <c r="B445" s="8"/>
      <c r="C445" s="13"/>
    </row>
    <row r="446" spans="1:3" x14ac:dyDescent="0.25">
      <c r="A446" s="8"/>
      <c r="B446" s="8"/>
      <c r="C446" s="13"/>
    </row>
    <row r="447" spans="1:3" x14ac:dyDescent="0.25">
      <c r="A447" s="8"/>
      <c r="B447" s="8"/>
      <c r="C447" s="13"/>
    </row>
    <row r="448" spans="1:3" x14ac:dyDescent="0.25">
      <c r="A448" s="8"/>
      <c r="B448" s="8"/>
      <c r="C448" s="13"/>
    </row>
    <row r="449" spans="1:3" x14ac:dyDescent="0.25">
      <c r="A449" s="8"/>
      <c r="B449" s="8"/>
      <c r="C449" s="13"/>
    </row>
    <row r="450" spans="1:3" x14ac:dyDescent="0.25">
      <c r="A450" s="8"/>
      <c r="B450" s="8"/>
      <c r="C450" s="13"/>
    </row>
    <row r="451" spans="1:3" x14ac:dyDescent="0.25">
      <c r="A451" s="8"/>
      <c r="B451" s="8"/>
      <c r="C451" s="13"/>
    </row>
    <row r="452" spans="1:3" x14ac:dyDescent="0.25">
      <c r="A452" s="8"/>
      <c r="B452" s="8"/>
      <c r="C452" s="13"/>
    </row>
    <row r="453" spans="1:3" x14ac:dyDescent="0.25">
      <c r="A453" s="8"/>
      <c r="B453" s="8"/>
      <c r="C453" s="13"/>
    </row>
    <row r="454" spans="1:3" x14ac:dyDescent="0.25">
      <c r="A454" s="8"/>
      <c r="B454" s="8"/>
      <c r="C454" s="13"/>
    </row>
    <row r="455" spans="1:3" x14ac:dyDescent="0.25">
      <c r="A455" s="8"/>
      <c r="B455" s="8"/>
      <c r="C455" s="13"/>
    </row>
    <row r="456" spans="1:3" x14ac:dyDescent="0.25">
      <c r="A456" s="8"/>
      <c r="B456" s="8"/>
      <c r="C456" s="13"/>
    </row>
    <row r="457" spans="1:3" x14ac:dyDescent="0.25">
      <c r="A457" s="8"/>
      <c r="B457" s="8"/>
      <c r="C457" s="13"/>
    </row>
    <row r="458" spans="1:3" x14ac:dyDescent="0.25">
      <c r="A458" s="8"/>
      <c r="B458" s="8"/>
      <c r="C458" s="13"/>
    </row>
    <row r="459" spans="1:3" x14ac:dyDescent="0.25">
      <c r="A459" s="8"/>
      <c r="B459" s="8"/>
      <c r="C459" s="13"/>
    </row>
    <row r="460" spans="1:3" x14ac:dyDescent="0.25">
      <c r="A460" s="8"/>
      <c r="B460" s="8"/>
      <c r="C460" s="13"/>
    </row>
    <row r="461" spans="1:3" x14ac:dyDescent="0.25">
      <c r="A461" s="8"/>
      <c r="B461" s="8"/>
      <c r="C461" s="13"/>
    </row>
    <row r="462" spans="1:3" x14ac:dyDescent="0.25">
      <c r="A462" s="8"/>
      <c r="B462" s="8"/>
      <c r="C462" s="13"/>
    </row>
    <row r="463" spans="1:3" x14ac:dyDescent="0.25">
      <c r="A463" s="8"/>
      <c r="B463" s="8"/>
      <c r="C463" s="13"/>
    </row>
    <row r="464" spans="1:3" x14ac:dyDescent="0.25">
      <c r="A464" s="8"/>
      <c r="B464" s="8"/>
      <c r="C464" s="13"/>
    </row>
    <row r="465" spans="1:3" x14ac:dyDescent="0.25">
      <c r="A465" s="8"/>
      <c r="B465" s="8"/>
      <c r="C465" s="13"/>
    </row>
    <row r="466" spans="1:3" x14ac:dyDescent="0.25">
      <c r="A466" s="8"/>
      <c r="B466" s="8"/>
      <c r="C466" s="13"/>
    </row>
    <row r="467" spans="1:3" x14ac:dyDescent="0.25">
      <c r="A467" s="8"/>
      <c r="B467" s="8"/>
      <c r="C467" s="13"/>
    </row>
    <row r="468" spans="1:3" x14ac:dyDescent="0.25">
      <c r="A468" s="8"/>
      <c r="B468" s="8"/>
      <c r="C468" s="13"/>
    </row>
    <row r="469" spans="1:3" x14ac:dyDescent="0.25">
      <c r="A469" s="8"/>
      <c r="B469" s="8"/>
      <c r="C469" s="13"/>
    </row>
    <row r="470" spans="1:3" x14ac:dyDescent="0.25">
      <c r="A470" s="8"/>
      <c r="B470" s="8"/>
      <c r="C470" s="13"/>
    </row>
    <row r="471" spans="1:3" x14ac:dyDescent="0.25">
      <c r="A471" s="8"/>
      <c r="B471" s="8"/>
      <c r="C471" s="13"/>
    </row>
    <row r="472" spans="1:3" x14ac:dyDescent="0.25">
      <c r="A472" s="8"/>
      <c r="B472" s="8"/>
      <c r="C472" s="13"/>
    </row>
    <row r="473" spans="1:3" x14ac:dyDescent="0.25">
      <c r="A473" s="8"/>
      <c r="B473" s="8"/>
      <c r="C473" s="13"/>
    </row>
    <row r="474" spans="1:3" x14ac:dyDescent="0.25">
      <c r="A474" s="8"/>
      <c r="B474" s="8"/>
      <c r="C474" s="13"/>
    </row>
    <row r="475" spans="1:3" x14ac:dyDescent="0.25">
      <c r="A475" s="8"/>
      <c r="B475" s="8"/>
      <c r="C475" s="13"/>
    </row>
    <row r="476" spans="1:3" x14ac:dyDescent="0.25">
      <c r="A476" s="8"/>
      <c r="B476" s="8"/>
      <c r="C476" s="13"/>
    </row>
    <row r="477" spans="1:3" x14ac:dyDescent="0.25">
      <c r="A477" s="8"/>
      <c r="B477" s="8"/>
      <c r="C477" s="13"/>
    </row>
    <row r="478" spans="1:3" x14ac:dyDescent="0.25">
      <c r="A478" s="8"/>
      <c r="B478" s="8"/>
      <c r="C478" s="13"/>
    </row>
    <row r="479" spans="1:3" x14ac:dyDescent="0.25">
      <c r="A479" s="8"/>
      <c r="B479" s="8"/>
      <c r="C479" s="13"/>
    </row>
    <row r="480" spans="1:3" x14ac:dyDescent="0.25">
      <c r="A480" s="8"/>
      <c r="B480" s="8"/>
      <c r="C480" s="13"/>
    </row>
    <row r="481" spans="1:3" x14ac:dyDescent="0.25">
      <c r="A481" s="8"/>
      <c r="B481" s="8"/>
      <c r="C481" s="13"/>
    </row>
    <row r="482" spans="1:3" x14ac:dyDescent="0.25">
      <c r="A482" s="8"/>
      <c r="B482" s="8"/>
      <c r="C482" s="13"/>
    </row>
    <row r="483" spans="1:3" x14ac:dyDescent="0.25">
      <c r="A483" s="8"/>
      <c r="B483" s="8"/>
      <c r="C483" s="13"/>
    </row>
    <row r="484" spans="1:3" x14ac:dyDescent="0.25">
      <c r="A484" s="8"/>
      <c r="B484" s="8"/>
      <c r="C484" s="13"/>
    </row>
    <row r="485" spans="1:3" x14ac:dyDescent="0.25">
      <c r="A485" s="8"/>
      <c r="B485" s="8"/>
      <c r="C485" s="13"/>
    </row>
    <row r="486" spans="1:3" x14ac:dyDescent="0.25">
      <c r="A486" s="8"/>
      <c r="B486" s="8"/>
      <c r="C486" s="13"/>
    </row>
    <row r="487" spans="1:3" x14ac:dyDescent="0.25">
      <c r="A487" s="8"/>
      <c r="B487" s="8"/>
      <c r="C487" s="13"/>
    </row>
    <row r="488" spans="1:3" x14ac:dyDescent="0.25">
      <c r="A488" s="8"/>
      <c r="B488" s="8"/>
      <c r="C488" s="13"/>
    </row>
    <row r="489" spans="1:3" x14ac:dyDescent="0.25">
      <c r="A489" s="8"/>
      <c r="B489" s="8"/>
      <c r="C489" s="13"/>
    </row>
    <row r="490" spans="1:3" x14ac:dyDescent="0.25">
      <c r="A490" s="8"/>
      <c r="B490" s="8"/>
      <c r="C490" s="13"/>
    </row>
    <row r="491" spans="1:3" x14ac:dyDescent="0.25">
      <c r="A491" s="8"/>
      <c r="B491" s="8"/>
      <c r="C491" s="13"/>
    </row>
    <row r="492" spans="1:3" x14ac:dyDescent="0.25">
      <c r="A492" s="8"/>
      <c r="B492" s="8"/>
      <c r="C492" s="13"/>
    </row>
    <row r="493" spans="1:3" x14ac:dyDescent="0.25">
      <c r="A493" s="8"/>
      <c r="B493" s="8"/>
      <c r="C493" s="13"/>
    </row>
    <row r="494" spans="1:3" x14ac:dyDescent="0.25">
      <c r="A494" s="8"/>
      <c r="B494" s="8"/>
      <c r="C494" s="13"/>
    </row>
    <row r="495" spans="1:3" x14ac:dyDescent="0.25">
      <c r="A495" s="8"/>
      <c r="B495" s="8"/>
      <c r="C495" s="13"/>
    </row>
    <row r="496" spans="1:3" x14ac:dyDescent="0.25">
      <c r="A496" s="8"/>
      <c r="B496" s="8"/>
      <c r="C496" s="13"/>
    </row>
    <row r="497" spans="1:3" x14ac:dyDescent="0.25">
      <c r="A497" s="8"/>
      <c r="B497" s="8"/>
      <c r="C497" s="13"/>
    </row>
    <row r="498" spans="1:3" x14ac:dyDescent="0.25">
      <c r="A498" s="8"/>
      <c r="B498" s="8"/>
      <c r="C498" s="13"/>
    </row>
    <row r="499" spans="1:3" x14ac:dyDescent="0.25">
      <c r="A499" s="8"/>
      <c r="B499" s="8"/>
      <c r="C499" s="13"/>
    </row>
    <row r="500" spans="1:3" x14ac:dyDescent="0.25">
      <c r="A500" s="8"/>
      <c r="B500" s="8"/>
      <c r="C500" s="13"/>
    </row>
    <row r="501" spans="1:3" x14ac:dyDescent="0.25">
      <c r="A501" s="8"/>
      <c r="B501" s="8"/>
      <c r="C501" s="13"/>
    </row>
    <row r="502" spans="1:3" x14ac:dyDescent="0.25">
      <c r="A502" s="8"/>
      <c r="B502" s="8"/>
      <c r="C502" s="13"/>
    </row>
    <row r="503" spans="1:3" x14ac:dyDescent="0.25">
      <c r="A503" s="8"/>
      <c r="B503" s="8"/>
      <c r="C503" s="13"/>
    </row>
    <row r="504" spans="1:3" x14ac:dyDescent="0.25">
      <c r="A504" s="8"/>
      <c r="B504" s="8"/>
      <c r="C504" s="13"/>
    </row>
    <row r="505" spans="1:3" x14ac:dyDescent="0.25">
      <c r="A505" s="8"/>
      <c r="B505" s="8"/>
      <c r="C505" s="13"/>
    </row>
    <row r="506" spans="1:3" x14ac:dyDescent="0.25">
      <c r="A506" s="8"/>
      <c r="B506" s="8"/>
      <c r="C506" s="13"/>
    </row>
    <row r="507" spans="1:3" x14ac:dyDescent="0.25">
      <c r="A507" s="8"/>
      <c r="B507" s="8"/>
      <c r="C507" s="13"/>
    </row>
    <row r="508" spans="1:3" x14ac:dyDescent="0.25">
      <c r="A508" s="8"/>
      <c r="B508" s="8"/>
      <c r="C508" s="13"/>
    </row>
    <row r="509" spans="1:3" x14ac:dyDescent="0.25">
      <c r="A509" s="8"/>
      <c r="B509" s="8"/>
      <c r="C509" s="13"/>
    </row>
    <row r="510" spans="1:3" x14ac:dyDescent="0.25">
      <c r="A510" s="8"/>
      <c r="B510" s="8"/>
      <c r="C510" s="13"/>
    </row>
    <row r="511" spans="1:3" x14ac:dyDescent="0.25">
      <c r="A511" s="8"/>
      <c r="B511" s="8"/>
      <c r="C511" s="13"/>
    </row>
    <row r="512" spans="1:3" x14ac:dyDescent="0.25">
      <c r="A512" s="8"/>
      <c r="B512" s="8"/>
      <c r="C512" s="13"/>
    </row>
    <row r="513" spans="1:3" x14ac:dyDescent="0.25">
      <c r="A513" s="8"/>
      <c r="B513" s="8"/>
      <c r="C513" s="13"/>
    </row>
    <row r="514" spans="1:3" x14ac:dyDescent="0.25">
      <c r="A514" s="8"/>
      <c r="B514" s="8"/>
      <c r="C514" s="13"/>
    </row>
    <row r="515" spans="1:3" x14ac:dyDescent="0.25">
      <c r="A515" s="8"/>
      <c r="B515" s="8"/>
      <c r="C515" s="13"/>
    </row>
    <row r="516" spans="1:3" x14ac:dyDescent="0.25">
      <c r="A516" s="8"/>
      <c r="B516" s="8"/>
      <c r="C516" s="13"/>
    </row>
    <row r="517" spans="1:3" x14ac:dyDescent="0.25">
      <c r="A517" s="8"/>
      <c r="B517" s="8"/>
      <c r="C517" s="13"/>
    </row>
    <row r="518" spans="1:3" x14ac:dyDescent="0.25">
      <c r="A518" s="8"/>
      <c r="B518" s="8"/>
      <c r="C518" s="13"/>
    </row>
    <row r="519" spans="1:3" x14ac:dyDescent="0.25">
      <c r="A519" s="8"/>
      <c r="B519" s="8"/>
      <c r="C519" s="13"/>
    </row>
    <row r="520" spans="1:3" x14ac:dyDescent="0.25">
      <c r="A520" s="8"/>
      <c r="B520" s="8"/>
      <c r="C520" s="13"/>
    </row>
    <row r="521" spans="1:3" x14ac:dyDescent="0.25">
      <c r="A521" s="8"/>
      <c r="B521" s="8"/>
      <c r="C521" s="13"/>
    </row>
    <row r="522" spans="1:3" x14ac:dyDescent="0.25">
      <c r="A522" s="8"/>
      <c r="B522" s="8"/>
      <c r="C522" s="13"/>
    </row>
    <row r="523" spans="1:3" x14ac:dyDescent="0.25">
      <c r="A523" s="8"/>
      <c r="B523" s="8"/>
      <c r="C523" s="13"/>
    </row>
    <row r="524" spans="1:3" x14ac:dyDescent="0.25">
      <c r="A524" s="8"/>
      <c r="B524" s="8"/>
      <c r="C524" s="13"/>
    </row>
    <row r="525" spans="1:3" x14ac:dyDescent="0.25">
      <c r="A525" s="8"/>
      <c r="B525" s="8"/>
      <c r="C525" s="13"/>
    </row>
    <row r="526" spans="1:3" x14ac:dyDescent="0.25">
      <c r="A526" s="8"/>
      <c r="B526" s="8"/>
      <c r="C526" s="13"/>
    </row>
    <row r="527" spans="1:3" x14ac:dyDescent="0.25">
      <c r="A527" s="8"/>
      <c r="B527" s="8"/>
      <c r="C527" s="13"/>
    </row>
    <row r="528" spans="1:3" x14ac:dyDescent="0.25">
      <c r="A528" s="8"/>
      <c r="B528" s="8"/>
      <c r="C528" s="13"/>
    </row>
    <row r="529" spans="1:3" x14ac:dyDescent="0.25">
      <c r="A529" s="8"/>
      <c r="B529" s="8"/>
      <c r="C529" s="13"/>
    </row>
    <row r="530" spans="1:3" x14ac:dyDescent="0.25">
      <c r="A530" s="8"/>
      <c r="B530" s="8"/>
      <c r="C530" s="13"/>
    </row>
    <row r="531" spans="1:3" x14ac:dyDescent="0.25">
      <c r="A531" s="8"/>
      <c r="B531" s="8"/>
      <c r="C531" s="13"/>
    </row>
    <row r="532" spans="1:3" x14ac:dyDescent="0.25">
      <c r="A532" s="8"/>
      <c r="B532" s="8"/>
      <c r="C532" s="13"/>
    </row>
    <row r="533" spans="1:3" x14ac:dyDescent="0.25">
      <c r="A533" s="8"/>
      <c r="B533" s="8"/>
      <c r="C533" s="13"/>
    </row>
    <row r="534" spans="1:3" x14ac:dyDescent="0.25">
      <c r="A534" s="8"/>
      <c r="B534" s="8"/>
      <c r="C534" s="13"/>
    </row>
    <row r="535" spans="1:3" x14ac:dyDescent="0.25">
      <c r="A535" s="8"/>
      <c r="B535" s="8"/>
      <c r="C535" s="13"/>
    </row>
    <row r="536" spans="1:3" x14ac:dyDescent="0.25">
      <c r="A536" s="8"/>
      <c r="B536" s="8"/>
      <c r="C536" s="13"/>
    </row>
    <row r="537" spans="1:3" x14ac:dyDescent="0.25">
      <c r="A537" s="8"/>
      <c r="B537" s="8"/>
      <c r="C537" s="13"/>
    </row>
    <row r="538" spans="1:3" x14ac:dyDescent="0.25">
      <c r="A538" s="8"/>
      <c r="B538" s="8"/>
      <c r="C538" s="13"/>
    </row>
    <row r="539" spans="1:3" x14ac:dyDescent="0.25">
      <c r="A539" s="8"/>
      <c r="B539" s="8"/>
      <c r="C539" s="13"/>
    </row>
    <row r="540" spans="1:3" x14ac:dyDescent="0.25">
      <c r="A540" s="8"/>
      <c r="B540" s="8"/>
      <c r="C540" s="13"/>
    </row>
    <row r="541" spans="1:3" x14ac:dyDescent="0.25">
      <c r="A541" s="8"/>
      <c r="B541" s="8"/>
      <c r="C541" s="13"/>
    </row>
    <row r="542" spans="1:3" x14ac:dyDescent="0.25">
      <c r="A542" s="8"/>
      <c r="B542" s="8"/>
      <c r="C542" s="13"/>
    </row>
    <row r="543" spans="1:3" x14ac:dyDescent="0.25">
      <c r="A543" s="8"/>
      <c r="B543" s="8"/>
      <c r="C543" s="13"/>
    </row>
    <row r="544" spans="1:3" x14ac:dyDescent="0.25">
      <c r="A544" s="8"/>
      <c r="B544" s="8"/>
      <c r="C544" s="13"/>
    </row>
    <row r="545" spans="1:3" x14ac:dyDescent="0.25">
      <c r="A545" s="8"/>
      <c r="B545" s="8"/>
      <c r="C545" s="13"/>
    </row>
    <row r="546" spans="1:3" x14ac:dyDescent="0.25">
      <c r="A546" s="8"/>
      <c r="B546" s="8"/>
      <c r="C546" s="13"/>
    </row>
    <row r="547" spans="1:3" x14ac:dyDescent="0.25">
      <c r="A547" s="8"/>
      <c r="B547" s="8"/>
      <c r="C547" s="13"/>
    </row>
    <row r="548" spans="1:3" x14ac:dyDescent="0.25">
      <c r="A548" s="8"/>
      <c r="B548" s="8"/>
      <c r="C548" s="13"/>
    </row>
    <row r="549" spans="1:3" x14ac:dyDescent="0.25">
      <c r="A549" s="8"/>
      <c r="B549" s="8"/>
      <c r="C549" s="13"/>
    </row>
    <row r="550" spans="1:3" x14ac:dyDescent="0.25">
      <c r="A550" s="8"/>
      <c r="B550" s="8"/>
      <c r="C550" s="13"/>
    </row>
    <row r="551" spans="1:3" x14ac:dyDescent="0.25">
      <c r="A551" s="8"/>
      <c r="B551" s="8"/>
      <c r="C551" s="13"/>
    </row>
    <row r="552" spans="1:3" x14ac:dyDescent="0.25">
      <c r="A552" s="8"/>
      <c r="B552" s="8"/>
      <c r="C552" s="13"/>
    </row>
    <row r="553" spans="1:3" x14ac:dyDescent="0.25">
      <c r="A553" s="8"/>
      <c r="B553" s="8"/>
      <c r="C553" s="13"/>
    </row>
    <row r="554" spans="1:3" x14ac:dyDescent="0.25">
      <c r="A554" s="8"/>
      <c r="B554" s="8"/>
      <c r="C554" s="13"/>
    </row>
    <row r="555" spans="1:3" x14ac:dyDescent="0.25">
      <c r="A555" s="8"/>
      <c r="B555" s="8"/>
      <c r="C555" s="13"/>
    </row>
    <row r="556" spans="1:3" x14ac:dyDescent="0.25">
      <c r="A556" s="8"/>
      <c r="B556" s="8"/>
      <c r="C556" s="13"/>
    </row>
    <row r="557" spans="1:3" x14ac:dyDescent="0.25">
      <c r="A557" s="8"/>
      <c r="B557" s="8"/>
      <c r="C557" s="13"/>
    </row>
    <row r="558" spans="1:3" x14ac:dyDescent="0.25">
      <c r="A558" s="8"/>
      <c r="B558" s="8"/>
      <c r="C558" s="13"/>
    </row>
    <row r="559" spans="1:3" x14ac:dyDescent="0.25">
      <c r="A559" s="8"/>
      <c r="B559" s="8"/>
      <c r="C559" s="13"/>
    </row>
    <row r="560" spans="1:3" x14ac:dyDescent="0.25">
      <c r="A560" s="8"/>
      <c r="B560" s="8"/>
      <c r="C560" s="13"/>
    </row>
    <row r="561" spans="1:3" x14ac:dyDescent="0.25">
      <c r="A561" s="8"/>
      <c r="B561" s="8"/>
      <c r="C561" s="13"/>
    </row>
    <row r="562" spans="1:3" x14ac:dyDescent="0.25">
      <c r="A562" s="8"/>
      <c r="B562" s="8"/>
      <c r="C562" s="13"/>
    </row>
    <row r="563" spans="1:3" x14ac:dyDescent="0.25">
      <c r="A563" s="8"/>
      <c r="B563" s="8"/>
      <c r="C563" s="13"/>
    </row>
    <row r="564" spans="1:3" x14ac:dyDescent="0.25">
      <c r="A564" s="8"/>
      <c r="B564" s="8"/>
      <c r="C564" s="13"/>
    </row>
    <row r="565" spans="1:3" x14ac:dyDescent="0.25">
      <c r="A565" s="8"/>
      <c r="B565" s="8"/>
      <c r="C565" s="13"/>
    </row>
    <row r="566" spans="1:3" x14ac:dyDescent="0.25">
      <c r="A566" s="8"/>
      <c r="B566" s="8"/>
      <c r="C566" s="13"/>
    </row>
    <row r="567" spans="1:3" x14ac:dyDescent="0.25">
      <c r="A567" s="8"/>
      <c r="B567" s="8"/>
      <c r="C567" s="13"/>
    </row>
    <row r="568" spans="1:3" x14ac:dyDescent="0.25">
      <c r="A568" s="8"/>
      <c r="B568" s="8"/>
      <c r="C568" s="13"/>
    </row>
    <row r="569" spans="1:3" x14ac:dyDescent="0.25">
      <c r="A569" s="8"/>
      <c r="B569" s="8"/>
      <c r="C569" s="13"/>
    </row>
    <row r="570" spans="1:3" x14ac:dyDescent="0.25">
      <c r="A570" s="8"/>
      <c r="B570" s="8"/>
      <c r="C570" s="13"/>
    </row>
    <row r="571" spans="1:3" x14ac:dyDescent="0.25">
      <c r="A571" s="8"/>
      <c r="B571" s="8"/>
      <c r="C571" s="13"/>
    </row>
    <row r="572" spans="1:3" x14ac:dyDescent="0.25">
      <c r="A572" s="8"/>
      <c r="B572" s="8"/>
      <c r="C572" s="13"/>
    </row>
    <row r="573" spans="1:3" x14ac:dyDescent="0.25">
      <c r="A573" s="8"/>
      <c r="B573" s="8"/>
      <c r="C573" s="13"/>
    </row>
    <row r="574" spans="1:3" x14ac:dyDescent="0.25">
      <c r="A574" s="8"/>
      <c r="B574" s="8"/>
      <c r="C574" s="13"/>
    </row>
    <row r="575" spans="1:3" x14ac:dyDescent="0.25">
      <c r="A575" s="8"/>
      <c r="B575" s="8"/>
      <c r="C575" s="13"/>
    </row>
    <row r="576" spans="1:3" x14ac:dyDescent="0.25">
      <c r="A576" s="8"/>
      <c r="B576" s="8"/>
      <c r="C576" s="13"/>
    </row>
    <row r="577" spans="1:3" x14ac:dyDescent="0.25">
      <c r="A577" s="8"/>
      <c r="B577" s="8"/>
      <c r="C577" s="13"/>
    </row>
    <row r="578" spans="1:3" x14ac:dyDescent="0.25">
      <c r="A578" s="8"/>
      <c r="B578" s="8"/>
      <c r="C578" s="13"/>
    </row>
    <row r="579" spans="1:3" x14ac:dyDescent="0.25">
      <c r="A579" s="8"/>
      <c r="B579" s="8"/>
      <c r="C579" s="13"/>
    </row>
    <row r="580" spans="1:3" x14ac:dyDescent="0.25">
      <c r="A580" s="8"/>
      <c r="B580" s="8"/>
      <c r="C580" s="13"/>
    </row>
    <row r="581" spans="1:3" x14ac:dyDescent="0.25">
      <c r="A581" s="8"/>
      <c r="B581" s="8"/>
      <c r="C581" s="13"/>
    </row>
    <row r="582" spans="1:3" x14ac:dyDescent="0.25">
      <c r="A582" s="8"/>
      <c r="B582" s="8"/>
      <c r="C582" s="13"/>
    </row>
    <row r="583" spans="1:3" x14ac:dyDescent="0.25">
      <c r="A583" s="8"/>
      <c r="B583" s="8"/>
      <c r="C583" s="13"/>
    </row>
    <row r="584" spans="1:3" x14ac:dyDescent="0.25">
      <c r="A584" s="8"/>
      <c r="B584" s="8"/>
      <c r="C584" s="13"/>
    </row>
    <row r="585" spans="1:3" x14ac:dyDescent="0.25">
      <c r="A585" s="8"/>
      <c r="B585" s="8"/>
      <c r="C585" s="13"/>
    </row>
    <row r="586" spans="1:3" x14ac:dyDescent="0.25">
      <c r="A586" s="8"/>
      <c r="B586" s="8"/>
      <c r="C586" s="13"/>
    </row>
    <row r="587" spans="1:3" x14ac:dyDescent="0.25">
      <c r="A587" s="8"/>
      <c r="B587" s="8"/>
      <c r="C587" s="13"/>
    </row>
    <row r="588" spans="1:3" x14ac:dyDescent="0.25">
      <c r="A588" s="8"/>
      <c r="B588" s="8"/>
      <c r="C588" s="13"/>
    </row>
    <row r="589" spans="1:3" x14ac:dyDescent="0.25">
      <c r="A589" s="8"/>
      <c r="B589" s="8"/>
      <c r="C589" s="13"/>
    </row>
    <row r="590" spans="1:3" x14ac:dyDescent="0.25">
      <c r="A590" s="8"/>
      <c r="B590" s="8"/>
      <c r="C590" s="13"/>
    </row>
    <row r="591" spans="1:3" x14ac:dyDescent="0.25">
      <c r="A591" s="8"/>
      <c r="B591" s="8"/>
      <c r="C591" s="13"/>
    </row>
    <row r="592" spans="1:3" x14ac:dyDescent="0.25">
      <c r="A592" s="8"/>
      <c r="B592" s="8"/>
      <c r="C592" s="13"/>
    </row>
    <row r="593" spans="1:3" x14ac:dyDescent="0.25">
      <c r="A593" s="8"/>
      <c r="B593" s="8"/>
      <c r="C593" s="13"/>
    </row>
    <row r="594" spans="1:3" x14ac:dyDescent="0.25">
      <c r="A594" s="8"/>
      <c r="B594" s="8"/>
      <c r="C594" s="13"/>
    </row>
    <row r="595" spans="1:3" x14ac:dyDescent="0.25">
      <c r="A595" s="8"/>
      <c r="B595" s="8"/>
      <c r="C595" s="13"/>
    </row>
    <row r="596" spans="1:3" x14ac:dyDescent="0.25">
      <c r="A596" s="8"/>
      <c r="B596" s="8"/>
      <c r="C596" s="13"/>
    </row>
    <row r="597" spans="1:3" x14ac:dyDescent="0.25">
      <c r="A597" s="8"/>
      <c r="B597" s="8"/>
      <c r="C597" s="13"/>
    </row>
    <row r="598" spans="1:3" x14ac:dyDescent="0.25">
      <c r="A598" s="8"/>
      <c r="B598" s="8"/>
      <c r="C598" s="15"/>
    </row>
    <row r="607" spans="1:3" x14ac:dyDescent="0.25">
      <c r="A607" s="2" t="s">
        <v>1</v>
      </c>
    </row>
  </sheetData>
  <mergeCells count="3">
    <mergeCell ref="A38:D38"/>
    <mergeCell ref="A39:D39"/>
    <mergeCell ref="A37:D37"/>
  </mergeCells>
  <phoneticPr fontId="44" type="noConversion"/>
  <conditionalFormatting sqref="C8">
    <cfRule type="duplicateValues" dxfId="29" priority="1"/>
  </conditionalFormatting>
  <conditionalFormatting sqref="C16">
    <cfRule type="duplicateValues" dxfId="28" priority="3"/>
  </conditionalFormatting>
  <conditionalFormatting sqref="C17:C19 C9:C15">
    <cfRule type="duplicateValues" dxfId="27" priority="37"/>
  </conditionalFormatting>
  <conditionalFormatting sqref="C21">
    <cfRule type="duplicateValues" dxfId="26" priority="5"/>
  </conditionalFormatting>
  <conditionalFormatting sqref="C22:C25">
    <cfRule type="duplicateValues" dxfId="25" priority="6"/>
  </conditionalFormatting>
  <conditionalFormatting sqref="C26">
    <cfRule type="duplicateValues" dxfId="24" priority="8"/>
  </conditionalFormatting>
  <conditionalFormatting sqref="C27:C29">
    <cfRule type="duplicateValues" dxfId="23" priority="43"/>
  </conditionalFormatting>
  <conditionalFormatting sqref="C42:C1048576 C30 C1:C7 C32:C36 C17:C20 C9:C15">
    <cfRule type="duplicateValues" dxfId="22" priority="40"/>
  </conditionalFormatting>
  <conditionalFormatting sqref="D8">
    <cfRule type="duplicateValues" dxfId="21" priority="48"/>
  </conditionalFormatting>
  <conditionalFormatting sqref="D16">
    <cfRule type="duplicateValues" dxfId="20" priority="49"/>
  </conditionalFormatting>
  <conditionalFormatting sqref="D21">
    <cfRule type="duplicateValues" dxfId="19" priority="50"/>
  </conditionalFormatting>
  <conditionalFormatting sqref="D26">
    <cfRule type="duplicateValues" dxfId="18" priority="51"/>
  </conditionalFormatting>
  <pageMargins left="0.7" right="0.7" top="0.75" bottom="0.75" header="0.3" footer="0.3"/>
  <pageSetup paperSize="9" scale="97"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C669A-5EA7-4FB7-9264-6A6D259AB9D6}">
  <dimension ref="A1:G1822"/>
  <sheetViews>
    <sheetView zoomScale="130" zoomScaleNormal="130" zoomScaleSheetLayoutView="70" workbookViewId="0"/>
  </sheetViews>
  <sheetFormatPr defaultColWidth="9.109375" defaultRowHeight="14.4" x14ac:dyDescent="0.3"/>
  <cols>
    <col min="1" max="1" width="16.109375" style="242" customWidth="1"/>
    <col min="2" max="2" width="52.44140625" style="242" bestFit="1" customWidth="1"/>
    <col min="3" max="3" width="18.6640625" style="242" customWidth="1"/>
    <col min="4" max="4" width="9.44140625" style="242" bestFit="1" customWidth="1"/>
    <col min="5" max="16384" width="9.109375" style="242"/>
  </cols>
  <sheetData>
    <row r="1" spans="1:7" ht="62.1" customHeight="1" x14ac:dyDescent="0.55000000000000004">
      <c r="A1" s="239" t="s">
        <v>14753</v>
      </c>
      <c r="B1" s="240"/>
      <c r="C1" s="241"/>
      <c r="D1" s="241"/>
      <c r="G1" s="243"/>
    </row>
    <row r="2" spans="1:7" ht="23.4" customHeight="1" x14ac:dyDescent="0.3">
      <c r="A2" s="244" t="s">
        <v>14754</v>
      </c>
      <c r="B2" s="245"/>
      <c r="C2" s="246"/>
      <c r="D2" s="246"/>
      <c r="G2" s="243"/>
    </row>
    <row r="3" spans="1:7" ht="13.95" customHeight="1" x14ac:dyDescent="0.3">
      <c r="A3" s="247"/>
      <c r="B3" s="247"/>
      <c r="C3" s="248"/>
      <c r="D3" s="248"/>
      <c r="G3" s="243"/>
    </row>
    <row r="4" spans="1:7" s="249" customFormat="1" x14ac:dyDescent="0.3">
      <c r="A4" s="249" t="s">
        <v>14755</v>
      </c>
      <c r="B4" s="249" t="s">
        <v>14756</v>
      </c>
      <c r="C4" s="249" t="s">
        <v>14757</v>
      </c>
      <c r="D4" s="250" t="s">
        <v>13176</v>
      </c>
    </row>
    <row r="5" spans="1:7" x14ac:dyDescent="0.3">
      <c r="A5" s="242" t="s">
        <v>14758</v>
      </c>
      <c r="B5" s="242" t="s">
        <v>14759</v>
      </c>
      <c r="C5" s="242" t="s">
        <v>14760</v>
      </c>
      <c r="D5" s="251">
        <v>8.4600000000000009</v>
      </c>
    </row>
    <row r="6" spans="1:7" x14ac:dyDescent="0.3">
      <c r="A6" s="242" t="s">
        <v>14761</v>
      </c>
      <c r="B6" s="242" t="s">
        <v>14762</v>
      </c>
      <c r="C6" s="242" t="s">
        <v>14763</v>
      </c>
      <c r="D6" s="251">
        <v>11.26</v>
      </c>
    </row>
    <row r="7" spans="1:7" x14ac:dyDescent="0.3">
      <c r="A7" s="242" t="s">
        <v>8550</v>
      </c>
      <c r="B7" s="242" t="s">
        <v>14764</v>
      </c>
      <c r="C7" s="242" t="s">
        <v>8549</v>
      </c>
      <c r="D7" s="251">
        <v>37.99</v>
      </c>
    </row>
    <row r="8" spans="1:7" x14ac:dyDescent="0.3">
      <c r="A8" s="242" t="s">
        <v>14765</v>
      </c>
      <c r="B8" s="242" t="s">
        <v>14766</v>
      </c>
      <c r="C8" s="242" t="s">
        <v>14767</v>
      </c>
      <c r="D8" s="251">
        <v>49.33</v>
      </c>
    </row>
    <row r="9" spans="1:7" x14ac:dyDescent="0.3">
      <c r="A9" s="242" t="s">
        <v>14768</v>
      </c>
      <c r="B9" s="242" t="s">
        <v>14769</v>
      </c>
      <c r="C9" s="242" t="s">
        <v>14770</v>
      </c>
      <c r="D9" s="251">
        <v>86.67</v>
      </c>
    </row>
    <row r="10" spans="1:7" x14ac:dyDescent="0.3">
      <c r="A10" s="242" t="s">
        <v>14771</v>
      </c>
      <c r="B10" s="242" t="s">
        <v>14772</v>
      </c>
      <c r="C10" s="242" t="s">
        <v>14773</v>
      </c>
      <c r="D10" s="251">
        <v>366</v>
      </c>
    </row>
    <row r="11" spans="1:7" x14ac:dyDescent="0.3">
      <c r="A11" s="242" t="s">
        <v>14774</v>
      </c>
      <c r="B11" s="242" t="s">
        <v>14775</v>
      </c>
      <c r="C11" s="242" t="s">
        <v>14776</v>
      </c>
      <c r="D11" s="251">
        <v>83.33</v>
      </c>
    </row>
    <row r="12" spans="1:7" x14ac:dyDescent="0.3">
      <c r="A12" s="242" t="s">
        <v>14777</v>
      </c>
      <c r="B12" s="242" t="s">
        <v>14778</v>
      </c>
      <c r="C12" s="242" t="s">
        <v>14779</v>
      </c>
      <c r="D12" s="251">
        <v>859.33</v>
      </c>
    </row>
    <row r="13" spans="1:7" x14ac:dyDescent="0.3">
      <c r="A13" s="242" t="s">
        <v>14780</v>
      </c>
      <c r="B13" s="242" t="s">
        <v>14781</v>
      </c>
      <c r="C13" s="242" t="s">
        <v>14782</v>
      </c>
      <c r="D13" s="251">
        <v>93.33</v>
      </c>
    </row>
    <row r="14" spans="1:7" x14ac:dyDescent="0.3">
      <c r="A14" s="242" t="s">
        <v>14783</v>
      </c>
      <c r="B14" s="242" t="s">
        <v>14784</v>
      </c>
      <c r="C14" s="242" t="s">
        <v>14785</v>
      </c>
      <c r="D14" s="251">
        <v>55.33</v>
      </c>
    </row>
    <row r="15" spans="1:7" x14ac:dyDescent="0.3">
      <c r="A15" s="242" t="s">
        <v>14786</v>
      </c>
      <c r="B15" s="242" t="s">
        <v>14787</v>
      </c>
      <c r="C15" s="242" t="s">
        <v>14788</v>
      </c>
      <c r="D15" s="251">
        <v>130</v>
      </c>
    </row>
    <row r="16" spans="1:7" x14ac:dyDescent="0.3">
      <c r="A16" s="242" t="s">
        <v>14789</v>
      </c>
      <c r="B16" s="242" t="s">
        <v>14790</v>
      </c>
      <c r="C16" s="242" t="s">
        <v>14791</v>
      </c>
      <c r="D16" s="251">
        <v>45.33</v>
      </c>
    </row>
    <row r="17" spans="1:4" x14ac:dyDescent="0.3">
      <c r="A17" s="242" t="s">
        <v>14792</v>
      </c>
      <c r="B17" s="242" t="s">
        <v>14793</v>
      </c>
      <c r="C17" s="242" t="s">
        <v>14794</v>
      </c>
      <c r="D17" s="251">
        <v>54.66</v>
      </c>
    </row>
    <row r="18" spans="1:4" x14ac:dyDescent="0.3">
      <c r="A18" s="242" t="s">
        <v>14795</v>
      </c>
      <c r="B18" s="242" t="s">
        <v>14796</v>
      </c>
      <c r="C18" s="242" t="s">
        <v>14797</v>
      </c>
      <c r="D18" s="251">
        <v>56.66</v>
      </c>
    </row>
    <row r="19" spans="1:4" x14ac:dyDescent="0.3">
      <c r="A19" s="242" t="s">
        <v>14798</v>
      </c>
      <c r="B19" s="242" t="s">
        <v>14799</v>
      </c>
      <c r="C19" s="242" t="s">
        <v>14800</v>
      </c>
      <c r="D19" s="251">
        <v>93.33</v>
      </c>
    </row>
    <row r="20" spans="1:4" x14ac:dyDescent="0.3">
      <c r="A20" s="242" t="s">
        <v>14801</v>
      </c>
      <c r="B20" s="242" t="s">
        <v>14802</v>
      </c>
      <c r="C20" s="242" t="s">
        <v>14803</v>
      </c>
      <c r="D20" s="251">
        <v>93.33</v>
      </c>
    </row>
    <row r="21" spans="1:4" x14ac:dyDescent="0.3">
      <c r="A21" s="242" t="s">
        <v>14804</v>
      </c>
      <c r="B21" s="242" t="s">
        <v>14805</v>
      </c>
      <c r="C21" s="242" t="s">
        <v>14806</v>
      </c>
      <c r="D21" s="251">
        <v>93.33</v>
      </c>
    </row>
    <row r="22" spans="1:4" x14ac:dyDescent="0.3">
      <c r="A22" s="242" t="s">
        <v>14807</v>
      </c>
      <c r="B22" s="242" t="s">
        <v>14808</v>
      </c>
      <c r="C22" s="242" t="s">
        <v>14809</v>
      </c>
      <c r="D22" s="251">
        <v>33.99</v>
      </c>
    </row>
    <row r="23" spans="1:4" x14ac:dyDescent="0.3">
      <c r="A23" s="242" t="s">
        <v>14810</v>
      </c>
      <c r="B23" s="242" t="s">
        <v>14811</v>
      </c>
      <c r="C23" s="242" t="s">
        <v>14812</v>
      </c>
      <c r="D23" s="251">
        <v>106.67</v>
      </c>
    </row>
    <row r="24" spans="1:4" x14ac:dyDescent="0.3">
      <c r="A24" s="242" t="s">
        <v>14813</v>
      </c>
      <c r="B24" s="242" t="s">
        <v>14814</v>
      </c>
      <c r="C24" s="242" t="s">
        <v>14815</v>
      </c>
      <c r="D24" s="251">
        <v>49.33</v>
      </c>
    </row>
    <row r="25" spans="1:4" x14ac:dyDescent="0.3">
      <c r="A25" s="242" t="s">
        <v>14816</v>
      </c>
      <c r="B25" s="242" t="s">
        <v>14817</v>
      </c>
      <c r="C25" s="242" t="s">
        <v>14818</v>
      </c>
      <c r="D25" s="251">
        <v>49.33</v>
      </c>
    </row>
    <row r="26" spans="1:4" x14ac:dyDescent="0.3">
      <c r="A26" s="242" t="s">
        <v>14819</v>
      </c>
      <c r="B26" s="242" t="s">
        <v>14820</v>
      </c>
      <c r="C26" s="242" t="s">
        <v>14821</v>
      </c>
      <c r="D26" s="251">
        <v>48.66</v>
      </c>
    </row>
    <row r="27" spans="1:4" x14ac:dyDescent="0.3">
      <c r="A27" s="242" t="s">
        <v>14822</v>
      </c>
      <c r="B27" s="242" t="s">
        <v>14823</v>
      </c>
      <c r="C27" s="242" t="s">
        <v>14824</v>
      </c>
      <c r="D27" s="251">
        <v>48.66</v>
      </c>
    </row>
    <row r="28" spans="1:4" x14ac:dyDescent="0.3">
      <c r="A28" s="242" t="s">
        <v>8830</v>
      </c>
      <c r="B28" s="242" t="s">
        <v>14825</v>
      </c>
      <c r="C28" s="242" t="s">
        <v>8829</v>
      </c>
      <c r="D28" s="251">
        <v>23.99</v>
      </c>
    </row>
    <row r="29" spans="1:4" x14ac:dyDescent="0.3">
      <c r="A29" s="242" t="s">
        <v>8833</v>
      </c>
      <c r="B29" s="242" t="s">
        <v>14826</v>
      </c>
      <c r="C29" s="242" t="s">
        <v>8832</v>
      </c>
      <c r="D29" s="251">
        <v>22.66</v>
      </c>
    </row>
    <row r="30" spans="1:4" x14ac:dyDescent="0.3">
      <c r="A30" s="242" t="s">
        <v>14827</v>
      </c>
      <c r="B30" s="242" t="s">
        <v>14828</v>
      </c>
      <c r="C30" s="242" t="s">
        <v>14829</v>
      </c>
      <c r="D30" s="251">
        <v>100</v>
      </c>
    </row>
    <row r="31" spans="1:4" x14ac:dyDescent="0.3">
      <c r="A31" s="242" t="s">
        <v>14830</v>
      </c>
      <c r="B31" s="242" t="s">
        <v>14831</v>
      </c>
      <c r="C31" s="242" t="s">
        <v>14832</v>
      </c>
      <c r="D31" s="251">
        <v>18.66</v>
      </c>
    </row>
    <row r="32" spans="1:4" x14ac:dyDescent="0.3">
      <c r="A32" s="242" t="s">
        <v>14833</v>
      </c>
      <c r="B32" s="242" t="s">
        <v>14834</v>
      </c>
      <c r="C32" s="242" t="s">
        <v>14835</v>
      </c>
      <c r="D32" s="251">
        <v>19.329999999999998</v>
      </c>
    </row>
    <row r="33" spans="1:4" x14ac:dyDescent="0.3">
      <c r="A33" s="242" t="s">
        <v>14836</v>
      </c>
      <c r="B33" s="242" t="s">
        <v>14837</v>
      </c>
      <c r="C33" s="242" t="s">
        <v>14838</v>
      </c>
      <c r="D33" s="251">
        <v>9.19</v>
      </c>
    </row>
    <row r="34" spans="1:4" x14ac:dyDescent="0.3">
      <c r="A34" s="242" t="s">
        <v>14839</v>
      </c>
      <c r="B34" s="242" t="s">
        <v>14840</v>
      </c>
      <c r="C34" s="242" t="s">
        <v>14841</v>
      </c>
      <c r="D34" s="251">
        <v>23.99</v>
      </c>
    </row>
    <row r="35" spans="1:4" x14ac:dyDescent="0.3">
      <c r="A35" s="242" t="s">
        <v>14842</v>
      </c>
      <c r="B35" s="242" t="s">
        <v>14843</v>
      </c>
      <c r="C35" s="242" t="s">
        <v>14844</v>
      </c>
      <c r="D35" s="251">
        <v>2.5299999999999998</v>
      </c>
    </row>
    <row r="36" spans="1:4" x14ac:dyDescent="0.3">
      <c r="A36" s="242" t="s">
        <v>14845</v>
      </c>
      <c r="B36" s="242" t="s">
        <v>14846</v>
      </c>
      <c r="C36" s="242" t="s">
        <v>14847</v>
      </c>
      <c r="D36" s="251">
        <v>21.33</v>
      </c>
    </row>
    <row r="37" spans="1:4" x14ac:dyDescent="0.3">
      <c r="A37" s="242" t="s">
        <v>14848</v>
      </c>
      <c r="B37" s="242" t="s">
        <v>14849</v>
      </c>
      <c r="C37" s="242" t="s">
        <v>14850</v>
      </c>
      <c r="D37" s="251">
        <v>25.99</v>
      </c>
    </row>
    <row r="38" spans="1:4" x14ac:dyDescent="0.3">
      <c r="A38" s="242" t="s">
        <v>14851</v>
      </c>
      <c r="B38" s="242" t="s">
        <v>14852</v>
      </c>
      <c r="C38" s="242" t="s">
        <v>14853</v>
      </c>
      <c r="D38" s="251">
        <v>59.99</v>
      </c>
    </row>
    <row r="39" spans="1:4" x14ac:dyDescent="0.3">
      <c r="A39" s="242" t="s">
        <v>14854</v>
      </c>
      <c r="B39" s="242" t="s">
        <v>14855</v>
      </c>
      <c r="C39" s="242" t="s">
        <v>14856</v>
      </c>
      <c r="D39" s="251">
        <v>52.66</v>
      </c>
    </row>
    <row r="40" spans="1:4" x14ac:dyDescent="0.3">
      <c r="A40" s="242" t="s">
        <v>14857</v>
      </c>
      <c r="B40" s="242" t="s">
        <v>14858</v>
      </c>
      <c r="C40" s="242" t="s">
        <v>14859</v>
      </c>
      <c r="D40" s="251">
        <v>52.66</v>
      </c>
    </row>
    <row r="41" spans="1:4" x14ac:dyDescent="0.3">
      <c r="A41" s="242" t="s">
        <v>14860</v>
      </c>
      <c r="B41" s="242" t="s">
        <v>14861</v>
      </c>
      <c r="C41" s="242" t="s">
        <v>14862</v>
      </c>
      <c r="D41" s="251">
        <v>12.59</v>
      </c>
    </row>
    <row r="42" spans="1:4" x14ac:dyDescent="0.3">
      <c r="A42" s="242" t="s">
        <v>14863</v>
      </c>
      <c r="B42" s="242" t="s">
        <v>14864</v>
      </c>
      <c r="C42" s="242" t="s">
        <v>14865</v>
      </c>
      <c r="D42" s="251">
        <v>55.33</v>
      </c>
    </row>
    <row r="43" spans="1:4" x14ac:dyDescent="0.3">
      <c r="A43" s="242" t="s">
        <v>8561</v>
      </c>
      <c r="B43" s="242" t="s">
        <v>14866</v>
      </c>
      <c r="C43" s="242" t="s">
        <v>8560</v>
      </c>
      <c r="D43" s="251">
        <v>59.99</v>
      </c>
    </row>
    <row r="44" spans="1:4" x14ac:dyDescent="0.3">
      <c r="A44" s="242" t="s">
        <v>14867</v>
      </c>
      <c r="B44" s="242" t="s">
        <v>14868</v>
      </c>
      <c r="C44" s="242" t="s">
        <v>14869</v>
      </c>
      <c r="D44" s="251">
        <v>29.99</v>
      </c>
    </row>
    <row r="45" spans="1:4" x14ac:dyDescent="0.3">
      <c r="A45" s="242" t="s">
        <v>8564</v>
      </c>
      <c r="B45" s="242" t="s">
        <v>14870</v>
      </c>
      <c r="C45" s="242" t="s">
        <v>8563</v>
      </c>
      <c r="D45" s="251">
        <v>52.66</v>
      </c>
    </row>
    <row r="46" spans="1:4" x14ac:dyDescent="0.3">
      <c r="A46" s="242" t="s">
        <v>14871</v>
      </c>
      <c r="B46" s="242" t="s">
        <v>14872</v>
      </c>
      <c r="C46" s="242" t="s">
        <v>14873</v>
      </c>
      <c r="D46" s="251">
        <v>25.33</v>
      </c>
    </row>
    <row r="47" spans="1:4" x14ac:dyDescent="0.3">
      <c r="A47" s="242" t="s">
        <v>14874</v>
      </c>
      <c r="B47" s="242" t="s">
        <v>14875</v>
      </c>
      <c r="C47" s="242" t="s">
        <v>14876</v>
      </c>
      <c r="D47" s="251">
        <v>57.33</v>
      </c>
    </row>
    <row r="48" spans="1:4" x14ac:dyDescent="0.3">
      <c r="A48" s="242" t="s">
        <v>8567</v>
      </c>
      <c r="B48" s="242" t="s">
        <v>14877</v>
      </c>
      <c r="C48" s="242" t="s">
        <v>8566</v>
      </c>
      <c r="D48" s="251">
        <v>21.33</v>
      </c>
    </row>
    <row r="49" spans="1:4" x14ac:dyDescent="0.3">
      <c r="A49" s="242" t="s">
        <v>14878</v>
      </c>
      <c r="B49" s="242" t="s">
        <v>14879</v>
      </c>
      <c r="C49" s="242" t="s">
        <v>14880</v>
      </c>
      <c r="D49" s="251">
        <v>51.99</v>
      </c>
    </row>
    <row r="50" spans="1:4" x14ac:dyDescent="0.3">
      <c r="A50" s="242" t="s">
        <v>8570</v>
      </c>
      <c r="B50" s="242" t="s">
        <v>14881</v>
      </c>
      <c r="C50" s="242" t="s">
        <v>8569</v>
      </c>
      <c r="D50" s="251">
        <v>22.66</v>
      </c>
    </row>
    <row r="51" spans="1:4" x14ac:dyDescent="0.3">
      <c r="A51" s="242" t="s">
        <v>8836</v>
      </c>
      <c r="B51" s="242" t="s">
        <v>14882</v>
      </c>
      <c r="C51" s="242" t="s">
        <v>8835</v>
      </c>
      <c r="D51" s="251">
        <v>45.33</v>
      </c>
    </row>
    <row r="52" spans="1:4" x14ac:dyDescent="0.3">
      <c r="A52" s="242" t="s">
        <v>8845</v>
      </c>
      <c r="B52" s="242" t="s">
        <v>14883</v>
      </c>
      <c r="C52" s="242" t="s">
        <v>8844</v>
      </c>
      <c r="D52" s="251">
        <v>7.53</v>
      </c>
    </row>
    <row r="53" spans="1:4" x14ac:dyDescent="0.3">
      <c r="A53" s="242" t="s">
        <v>14884</v>
      </c>
      <c r="B53" s="242" t="s">
        <v>14885</v>
      </c>
      <c r="C53" s="242" t="s">
        <v>14886</v>
      </c>
      <c r="D53" s="251">
        <v>47.33</v>
      </c>
    </row>
    <row r="54" spans="1:4" x14ac:dyDescent="0.3">
      <c r="A54" s="242" t="s">
        <v>14887</v>
      </c>
      <c r="B54" s="242" t="s">
        <v>14888</v>
      </c>
      <c r="C54" s="242" t="s">
        <v>14889</v>
      </c>
      <c r="D54" s="251">
        <v>199.33</v>
      </c>
    </row>
    <row r="55" spans="1:4" x14ac:dyDescent="0.3">
      <c r="A55" s="242" t="s">
        <v>8872</v>
      </c>
      <c r="B55" s="242" t="s">
        <v>14890</v>
      </c>
      <c r="C55" s="242" t="s">
        <v>8871</v>
      </c>
      <c r="D55" s="251">
        <v>17.989999999999998</v>
      </c>
    </row>
    <row r="56" spans="1:4" x14ac:dyDescent="0.3">
      <c r="A56" s="242" t="s">
        <v>8875</v>
      </c>
      <c r="B56" s="242" t="s">
        <v>14891</v>
      </c>
      <c r="C56" s="242" t="s">
        <v>8874</v>
      </c>
      <c r="D56" s="251">
        <v>17.989999999999998</v>
      </c>
    </row>
    <row r="57" spans="1:4" x14ac:dyDescent="0.3">
      <c r="A57" s="242" t="s">
        <v>14892</v>
      </c>
      <c r="B57" s="242" t="s">
        <v>14893</v>
      </c>
      <c r="C57" s="242" t="s">
        <v>14894</v>
      </c>
      <c r="D57" s="251">
        <v>23.99</v>
      </c>
    </row>
    <row r="58" spans="1:4" x14ac:dyDescent="0.3">
      <c r="A58" s="242" t="s">
        <v>8878</v>
      </c>
      <c r="B58" s="242" t="s">
        <v>14895</v>
      </c>
      <c r="C58" s="242" t="s">
        <v>8877</v>
      </c>
      <c r="D58" s="251">
        <v>29.99</v>
      </c>
    </row>
    <row r="59" spans="1:4" x14ac:dyDescent="0.3">
      <c r="A59" s="242" t="s">
        <v>14896</v>
      </c>
      <c r="B59" s="242" t="s">
        <v>14897</v>
      </c>
      <c r="C59" s="242" t="s">
        <v>14898</v>
      </c>
      <c r="D59" s="251">
        <v>92.67</v>
      </c>
    </row>
    <row r="60" spans="1:4" x14ac:dyDescent="0.3">
      <c r="A60" s="242" t="s">
        <v>14899</v>
      </c>
      <c r="B60" s="242" t="s">
        <v>14900</v>
      </c>
      <c r="C60" s="242" t="s">
        <v>14901</v>
      </c>
      <c r="D60" s="251">
        <v>19.329999999999998</v>
      </c>
    </row>
    <row r="61" spans="1:4" x14ac:dyDescent="0.3">
      <c r="A61" s="242" t="s">
        <v>14902</v>
      </c>
      <c r="B61" s="242" t="s">
        <v>14903</v>
      </c>
      <c r="C61" s="242" t="s">
        <v>14904</v>
      </c>
      <c r="D61" s="251">
        <v>48.66</v>
      </c>
    </row>
    <row r="62" spans="1:4" x14ac:dyDescent="0.3">
      <c r="A62" s="242" t="s">
        <v>8893</v>
      </c>
      <c r="B62" s="242" t="s">
        <v>14905</v>
      </c>
      <c r="C62" s="242" t="s">
        <v>8892</v>
      </c>
      <c r="D62" s="251">
        <v>12.59</v>
      </c>
    </row>
    <row r="63" spans="1:4" x14ac:dyDescent="0.3">
      <c r="A63" s="242" t="s">
        <v>8896</v>
      </c>
      <c r="B63" s="242" t="s">
        <v>14906</v>
      </c>
      <c r="C63" s="242" t="s">
        <v>8895</v>
      </c>
      <c r="D63" s="251">
        <v>11.99</v>
      </c>
    </row>
    <row r="64" spans="1:4" x14ac:dyDescent="0.3">
      <c r="A64" s="242" t="s">
        <v>8899</v>
      </c>
      <c r="B64" s="242" t="s">
        <v>14907</v>
      </c>
      <c r="C64" s="242" t="s">
        <v>8898</v>
      </c>
      <c r="D64" s="251">
        <v>11.99</v>
      </c>
    </row>
    <row r="65" spans="1:4" x14ac:dyDescent="0.3">
      <c r="A65" s="242" t="s">
        <v>8905</v>
      </c>
      <c r="B65" s="242" t="s">
        <v>14908</v>
      </c>
      <c r="C65" s="242" t="s">
        <v>8904</v>
      </c>
      <c r="D65" s="251">
        <v>57.33</v>
      </c>
    </row>
    <row r="66" spans="1:4" x14ac:dyDescent="0.3">
      <c r="A66" s="242" t="s">
        <v>8911</v>
      </c>
      <c r="B66" s="242" t="s">
        <v>14909</v>
      </c>
      <c r="C66" s="242" t="s">
        <v>8910</v>
      </c>
      <c r="D66" s="251">
        <v>28.66</v>
      </c>
    </row>
    <row r="67" spans="1:4" x14ac:dyDescent="0.3">
      <c r="A67" s="242" t="s">
        <v>8914</v>
      </c>
      <c r="B67" s="242" t="s">
        <v>14910</v>
      </c>
      <c r="C67" s="242" t="s">
        <v>8913</v>
      </c>
      <c r="D67" s="251">
        <v>17.989999999999998</v>
      </c>
    </row>
    <row r="68" spans="1:4" x14ac:dyDescent="0.3">
      <c r="A68" s="242" t="s">
        <v>14911</v>
      </c>
      <c r="B68" s="242" t="s">
        <v>14912</v>
      </c>
      <c r="C68" s="242" t="s">
        <v>14913</v>
      </c>
      <c r="D68" s="251">
        <v>52.66</v>
      </c>
    </row>
    <row r="69" spans="1:4" x14ac:dyDescent="0.3">
      <c r="A69" s="242" t="s">
        <v>8004</v>
      </c>
      <c r="B69" s="242" t="s">
        <v>8005</v>
      </c>
      <c r="C69" s="242" t="s">
        <v>8003</v>
      </c>
      <c r="D69" s="251">
        <v>72.67</v>
      </c>
    </row>
    <row r="70" spans="1:4" x14ac:dyDescent="0.3">
      <c r="A70" s="242" t="s">
        <v>8917</v>
      </c>
      <c r="B70" s="242" t="s">
        <v>14914</v>
      </c>
      <c r="C70" s="242" t="s">
        <v>8916</v>
      </c>
      <c r="D70" s="251">
        <v>29.99</v>
      </c>
    </row>
    <row r="71" spans="1:4" x14ac:dyDescent="0.3">
      <c r="A71" s="242" t="s">
        <v>14915</v>
      </c>
      <c r="B71" s="242" t="s">
        <v>14916</v>
      </c>
      <c r="C71" s="242" t="s">
        <v>14917</v>
      </c>
      <c r="D71" s="251">
        <v>86</v>
      </c>
    </row>
    <row r="72" spans="1:4" x14ac:dyDescent="0.3">
      <c r="A72" s="242" t="s">
        <v>8908</v>
      </c>
      <c r="B72" s="242" t="s">
        <v>14918</v>
      </c>
      <c r="C72" s="242" t="s">
        <v>8907</v>
      </c>
      <c r="D72" s="251">
        <v>41.33</v>
      </c>
    </row>
    <row r="73" spans="1:4" x14ac:dyDescent="0.3">
      <c r="A73" s="242" t="s">
        <v>1867</v>
      </c>
      <c r="B73" s="242" t="s">
        <v>14919</v>
      </c>
      <c r="C73" s="242" t="s">
        <v>1866</v>
      </c>
      <c r="D73" s="251">
        <v>4.7300000000000004</v>
      </c>
    </row>
    <row r="74" spans="1:4" x14ac:dyDescent="0.3">
      <c r="A74" s="242" t="s">
        <v>1900</v>
      </c>
      <c r="B74" s="242" t="s">
        <v>14920</v>
      </c>
      <c r="C74" s="242" t="s">
        <v>1899</v>
      </c>
      <c r="D74" s="251">
        <v>4.7300000000000004</v>
      </c>
    </row>
    <row r="75" spans="1:4" x14ac:dyDescent="0.3">
      <c r="A75" s="242" t="s">
        <v>1903</v>
      </c>
      <c r="B75" s="242" t="s">
        <v>14921</v>
      </c>
      <c r="C75" s="242" t="s">
        <v>1902</v>
      </c>
      <c r="D75" s="251">
        <v>3.13</v>
      </c>
    </row>
    <row r="76" spans="1:4" x14ac:dyDescent="0.3">
      <c r="A76" s="242" t="s">
        <v>1908</v>
      </c>
      <c r="B76" s="242" t="s">
        <v>14922</v>
      </c>
      <c r="C76" s="242" t="s">
        <v>14923</v>
      </c>
      <c r="D76" s="251">
        <v>4.7300000000000004</v>
      </c>
    </row>
    <row r="77" spans="1:4" x14ac:dyDescent="0.3">
      <c r="A77" s="242" t="s">
        <v>8573</v>
      </c>
      <c r="B77" s="242" t="s">
        <v>14924</v>
      </c>
      <c r="C77" s="242" t="s">
        <v>8572</v>
      </c>
      <c r="D77" s="251">
        <v>72.67</v>
      </c>
    </row>
    <row r="78" spans="1:4" x14ac:dyDescent="0.3">
      <c r="A78" s="242" t="s">
        <v>14925</v>
      </c>
      <c r="B78" s="242" t="s">
        <v>14926</v>
      </c>
      <c r="C78" s="242" t="s">
        <v>14927</v>
      </c>
      <c r="D78" s="251">
        <v>11.26</v>
      </c>
    </row>
    <row r="79" spans="1:4" x14ac:dyDescent="0.3">
      <c r="A79" s="242" t="s">
        <v>8576</v>
      </c>
      <c r="B79" s="242" t="s">
        <v>14928</v>
      </c>
      <c r="C79" s="242" t="s">
        <v>8575</v>
      </c>
      <c r="D79" s="251">
        <v>72.67</v>
      </c>
    </row>
    <row r="80" spans="1:4" x14ac:dyDescent="0.3">
      <c r="A80" s="242" t="s">
        <v>14929</v>
      </c>
      <c r="B80" s="242" t="s">
        <v>14930</v>
      </c>
      <c r="C80" s="242" t="s">
        <v>14931</v>
      </c>
      <c r="D80" s="251">
        <v>30.66</v>
      </c>
    </row>
    <row r="81" spans="1:4" x14ac:dyDescent="0.3">
      <c r="A81" s="242" t="s">
        <v>9089</v>
      </c>
      <c r="B81" s="242" t="s">
        <v>14932</v>
      </c>
      <c r="C81" s="242" t="s">
        <v>9088</v>
      </c>
      <c r="D81" s="251">
        <v>22.66</v>
      </c>
    </row>
    <row r="82" spans="1:4" x14ac:dyDescent="0.3">
      <c r="A82" s="242" t="s">
        <v>14933</v>
      </c>
      <c r="B82" s="242" t="s">
        <v>14934</v>
      </c>
      <c r="C82" s="242" t="s">
        <v>14935</v>
      </c>
      <c r="D82" s="251">
        <v>40.659999999999997</v>
      </c>
    </row>
    <row r="83" spans="1:4" x14ac:dyDescent="0.3">
      <c r="A83" s="242" t="s">
        <v>14936</v>
      </c>
      <c r="B83" s="242" t="s">
        <v>14937</v>
      </c>
      <c r="C83" s="242" t="s">
        <v>14938</v>
      </c>
      <c r="D83" s="251">
        <v>19.329999999999998</v>
      </c>
    </row>
    <row r="84" spans="1:4" x14ac:dyDescent="0.3">
      <c r="A84" s="242" t="s">
        <v>2046</v>
      </c>
      <c r="B84" s="242" t="s">
        <v>14939</v>
      </c>
      <c r="C84" s="242" t="s">
        <v>2045</v>
      </c>
      <c r="D84" s="251">
        <v>11.33</v>
      </c>
    </row>
    <row r="85" spans="1:4" x14ac:dyDescent="0.3">
      <c r="A85" s="242" t="s">
        <v>8047</v>
      </c>
      <c r="B85" s="242" t="s">
        <v>14940</v>
      </c>
      <c r="C85" s="242" t="s">
        <v>8046</v>
      </c>
      <c r="D85" s="251">
        <v>15.99</v>
      </c>
    </row>
    <row r="86" spans="1:4" x14ac:dyDescent="0.3">
      <c r="A86" s="242" t="s">
        <v>14941</v>
      </c>
      <c r="B86" s="242" t="s">
        <v>14942</v>
      </c>
      <c r="C86" s="242" t="s">
        <v>14943</v>
      </c>
      <c r="D86" s="251">
        <v>32.659999999999997</v>
      </c>
    </row>
    <row r="87" spans="1:4" x14ac:dyDescent="0.3">
      <c r="A87" s="242" t="s">
        <v>14944</v>
      </c>
      <c r="B87" s="242" t="s">
        <v>14945</v>
      </c>
      <c r="C87" s="242" t="s">
        <v>14946</v>
      </c>
      <c r="D87" s="251">
        <v>86</v>
      </c>
    </row>
    <row r="88" spans="1:4" x14ac:dyDescent="0.3">
      <c r="A88" s="242" t="s">
        <v>8053</v>
      </c>
      <c r="B88" s="242" t="s">
        <v>14947</v>
      </c>
      <c r="C88" s="242" t="s">
        <v>8052</v>
      </c>
      <c r="D88" s="251">
        <v>31.99</v>
      </c>
    </row>
    <row r="89" spans="1:4" x14ac:dyDescent="0.3">
      <c r="A89" s="242" t="s">
        <v>14948</v>
      </c>
      <c r="B89" s="242" t="s">
        <v>14949</v>
      </c>
      <c r="C89" s="242" t="s">
        <v>14950</v>
      </c>
      <c r="D89" s="251">
        <v>53.99</v>
      </c>
    </row>
    <row r="90" spans="1:4" x14ac:dyDescent="0.3">
      <c r="A90" s="242" t="s">
        <v>14951</v>
      </c>
      <c r="B90" s="242" t="s">
        <v>14952</v>
      </c>
      <c r="C90" s="242" t="s">
        <v>14953</v>
      </c>
      <c r="D90" s="251">
        <v>65.33</v>
      </c>
    </row>
    <row r="91" spans="1:4" x14ac:dyDescent="0.3">
      <c r="A91" s="242" t="s">
        <v>14954</v>
      </c>
      <c r="B91" s="242" t="s">
        <v>14955</v>
      </c>
      <c r="C91" s="242" t="s">
        <v>14956</v>
      </c>
      <c r="D91" s="251">
        <v>72.67</v>
      </c>
    </row>
    <row r="92" spans="1:4" x14ac:dyDescent="0.3">
      <c r="A92" s="242" t="s">
        <v>14957</v>
      </c>
      <c r="B92" s="242" t="s">
        <v>14958</v>
      </c>
      <c r="C92" s="242" t="s">
        <v>14959</v>
      </c>
      <c r="D92" s="251">
        <v>48.66</v>
      </c>
    </row>
    <row r="93" spans="1:4" x14ac:dyDescent="0.3">
      <c r="A93" s="242" t="s">
        <v>2064</v>
      </c>
      <c r="B93" s="242" t="s">
        <v>14960</v>
      </c>
      <c r="C93" s="242" t="s">
        <v>2063</v>
      </c>
      <c r="D93" s="251">
        <v>11.33</v>
      </c>
    </row>
    <row r="94" spans="1:4" x14ac:dyDescent="0.3">
      <c r="A94" s="242" t="s">
        <v>14961</v>
      </c>
      <c r="B94" s="242" t="s">
        <v>14962</v>
      </c>
      <c r="C94" s="242" t="s">
        <v>14963</v>
      </c>
      <c r="D94" s="251">
        <v>50.66</v>
      </c>
    </row>
    <row r="95" spans="1:4" x14ac:dyDescent="0.3">
      <c r="A95" s="242" t="s">
        <v>14964</v>
      </c>
      <c r="B95" s="242" t="s">
        <v>14965</v>
      </c>
      <c r="C95" s="242" t="s">
        <v>14966</v>
      </c>
      <c r="D95" s="251">
        <v>39.99</v>
      </c>
    </row>
    <row r="96" spans="1:4" x14ac:dyDescent="0.3">
      <c r="A96" s="242" t="s">
        <v>14967</v>
      </c>
      <c r="B96" s="242" t="s">
        <v>14968</v>
      </c>
      <c r="C96" s="242" t="s">
        <v>14969</v>
      </c>
      <c r="D96" s="251">
        <v>72.67</v>
      </c>
    </row>
    <row r="97" spans="1:4" x14ac:dyDescent="0.3">
      <c r="A97" s="242" t="s">
        <v>2076</v>
      </c>
      <c r="B97" s="242" t="s">
        <v>14970</v>
      </c>
      <c r="C97" s="242" t="s">
        <v>2075</v>
      </c>
      <c r="D97" s="251">
        <v>11.33</v>
      </c>
    </row>
    <row r="98" spans="1:4" x14ac:dyDescent="0.3">
      <c r="A98" s="242" t="s">
        <v>14971</v>
      </c>
      <c r="B98" s="242" t="s">
        <v>14972</v>
      </c>
      <c r="C98" s="242" t="s">
        <v>14973</v>
      </c>
      <c r="D98" s="251">
        <v>44.66</v>
      </c>
    </row>
    <row r="99" spans="1:4" x14ac:dyDescent="0.3">
      <c r="A99" s="242" t="s">
        <v>2085</v>
      </c>
      <c r="B99" s="242" t="s">
        <v>14974</v>
      </c>
      <c r="C99" s="242" t="s">
        <v>2084</v>
      </c>
      <c r="D99" s="251">
        <v>11.33</v>
      </c>
    </row>
    <row r="100" spans="1:4" x14ac:dyDescent="0.3">
      <c r="A100" s="242" t="s">
        <v>2094</v>
      </c>
      <c r="B100" s="242" t="s">
        <v>14975</v>
      </c>
      <c r="C100" s="242" t="s">
        <v>2093</v>
      </c>
      <c r="D100" s="251">
        <v>11.33</v>
      </c>
    </row>
    <row r="101" spans="1:4" x14ac:dyDescent="0.3">
      <c r="A101" s="242" t="s">
        <v>14976</v>
      </c>
      <c r="B101" s="242" t="s">
        <v>14977</v>
      </c>
      <c r="C101" s="242" t="s">
        <v>14978</v>
      </c>
      <c r="D101" s="251">
        <v>826</v>
      </c>
    </row>
    <row r="102" spans="1:4" x14ac:dyDescent="0.3">
      <c r="A102" s="242" t="s">
        <v>8941</v>
      </c>
      <c r="B102" s="242" t="s">
        <v>14979</v>
      </c>
      <c r="C102" s="242" t="s">
        <v>8940</v>
      </c>
      <c r="D102" s="251">
        <v>29.99</v>
      </c>
    </row>
    <row r="103" spans="1:4" x14ac:dyDescent="0.3">
      <c r="A103" s="242" t="s">
        <v>2173</v>
      </c>
      <c r="B103" s="242" t="s">
        <v>14980</v>
      </c>
      <c r="C103" s="242" t="s">
        <v>2172</v>
      </c>
      <c r="D103" s="251">
        <v>72.67</v>
      </c>
    </row>
    <row r="104" spans="1:4" x14ac:dyDescent="0.3">
      <c r="A104" s="242" t="s">
        <v>14981</v>
      </c>
      <c r="B104" s="242" t="s">
        <v>14982</v>
      </c>
      <c r="C104" s="242" t="s">
        <v>14983</v>
      </c>
      <c r="D104" s="251">
        <v>19.329999999999998</v>
      </c>
    </row>
    <row r="105" spans="1:4" x14ac:dyDescent="0.3">
      <c r="A105" s="242" t="s">
        <v>14984</v>
      </c>
      <c r="B105" s="242" t="s">
        <v>14985</v>
      </c>
      <c r="C105" s="242" t="s">
        <v>14986</v>
      </c>
      <c r="D105" s="251">
        <v>50.66</v>
      </c>
    </row>
    <row r="106" spans="1:4" x14ac:dyDescent="0.3">
      <c r="A106" s="242" t="s">
        <v>14987</v>
      </c>
      <c r="B106" s="242" t="s">
        <v>14988</v>
      </c>
      <c r="C106" s="242" t="s">
        <v>14989</v>
      </c>
      <c r="D106" s="251">
        <v>29.99</v>
      </c>
    </row>
    <row r="107" spans="1:4" x14ac:dyDescent="0.3">
      <c r="A107" s="242" t="s">
        <v>14990</v>
      </c>
      <c r="B107" s="242" t="s">
        <v>14991</v>
      </c>
      <c r="C107" s="242" t="s">
        <v>14992</v>
      </c>
      <c r="D107" s="251">
        <v>25.33</v>
      </c>
    </row>
    <row r="108" spans="1:4" x14ac:dyDescent="0.3">
      <c r="A108" s="242" t="s">
        <v>14993</v>
      </c>
      <c r="B108" s="242" t="s">
        <v>14994</v>
      </c>
      <c r="C108" s="242" t="s">
        <v>14995</v>
      </c>
      <c r="D108" s="251">
        <v>56.66</v>
      </c>
    </row>
    <row r="109" spans="1:4" x14ac:dyDescent="0.3">
      <c r="A109" s="242" t="s">
        <v>14996</v>
      </c>
      <c r="B109" s="242" t="s">
        <v>14997</v>
      </c>
      <c r="C109" s="242" t="s">
        <v>14998</v>
      </c>
      <c r="D109" s="251">
        <v>43.99</v>
      </c>
    </row>
    <row r="110" spans="1:4" x14ac:dyDescent="0.3">
      <c r="A110" s="242" t="s">
        <v>2260</v>
      </c>
      <c r="B110" s="242" t="s">
        <v>14999</v>
      </c>
      <c r="C110" s="242" t="s">
        <v>2259</v>
      </c>
      <c r="D110" s="251">
        <v>99.33</v>
      </c>
    </row>
    <row r="111" spans="1:4" x14ac:dyDescent="0.3">
      <c r="A111" s="242" t="s">
        <v>2266</v>
      </c>
      <c r="B111" s="242" t="s">
        <v>15000</v>
      </c>
      <c r="C111" s="242" t="s">
        <v>2265</v>
      </c>
      <c r="D111" s="251">
        <v>99.33</v>
      </c>
    </row>
    <row r="112" spans="1:4" x14ac:dyDescent="0.3">
      <c r="A112" s="242" t="s">
        <v>2312</v>
      </c>
      <c r="B112" s="242" t="s">
        <v>15001</v>
      </c>
      <c r="C112" s="242" t="s">
        <v>2311</v>
      </c>
      <c r="D112" s="251">
        <v>45.99</v>
      </c>
    </row>
    <row r="113" spans="1:4" x14ac:dyDescent="0.3">
      <c r="A113" s="242" t="s">
        <v>2315</v>
      </c>
      <c r="B113" s="242" t="s">
        <v>15002</v>
      </c>
      <c r="C113" s="242" t="s">
        <v>2314</v>
      </c>
      <c r="D113" s="251">
        <v>51.99</v>
      </c>
    </row>
    <row r="114" spans="1:4" x14ac:dyDescent="0.3">
      <c r="A114" s="242" t="s">
        <v>8585</v>
      </c>
      <c r="B114" s="242" t="s">
        <v>15003</v>
      </c>
      <c r="C114" s="242" t="s">
        <v>8584</v>
      </c>
      <c r="D114" s="251">
        <v>15.99</v>
      </c>
    </row>
    <row r="115" spans="1:4" x14ac:dyDescent="0.3">
      <c r="A115" s="242" t="s">
        <v>15004</v>
      </c>
      <c r="B115" s="242" t="s">
        <v>15005</v>
      </c>
      <c r="C115" s="242" t="s">
        <v>15006</v>
      </c>
      <c r="D115" s="251">
        <v>8.4600000000000009</v>
      </c>
    </row>
    <row r="116" spans="1:4" x14ac:dyDescent="0.3">
      <c r="A116" s="242" t="s">
        <v>12311</v>
      </c>
      <c r="B116" s="242" t="s">
        <v>15007</v>
      </c>
      <c r="C116" s="242" t="s">
        <v>12310</v>
      </c>
      <c r="D116" s="251">
        <v>9.99</v>
      </c>
    </row>
    <row r="117" spans="1:4" x14ac:dyDescent="0.3">
      <c r="A117" s="242" t="s">
        <v>15008</v>
      </c>
      <c r="B117" s="242" t="s">
        <v>15009</v>
      </c>
      <c r="C117" s="242" t="s">
        <v>15010</v>
      </c>
      <c r="D117" s="251">
        <v>45.33</v>
      </c>
    </row>
    <row r="118" spans="1:4" x14ac:dyDescent="0.3">
      <c r="A118" s="242" t="s">
        <v>15011</v>
      </c>
      <c r="B118" s="242" t="s">
        <v>15012</v>
      </c>
      <c r="C118" s="242" t="s">
        <v>15013</v>
      </c>
      <c r="D118" s="251">
        <v>17.329999999999998</v>
      </c>
    </row>
    <row r="119" spans="1:4" x14ac:dyDescent="0.3">
      <c r="A119" s="242" t="s">
        <v>15014</v>
      </c>
      <c r="B119" s="242" t="s">
        <v>15015</v>
      </c>
      <c r="C119" s="242" t="s">
        <v>15016</v>
      </c>
      <c r="D119" s="251">
        <v>312.67</v>
      </c>
    </row>
    <row r="120" spans="1:4" x14ac:dyDescent="0.3">
      <c r="A120" s="242" t="s">
        <v>15017</v>
      </c>
      <c r="B120" s="242" t="s">
        <v>15018</v>
      </c>
      <c r="C120" s="242" t="s">
        <v>15019</v>
      </c>
      <c r="D120" s="251">
        <v>19.329999999999998</v>
      </c>
    </row>
    <row r="121" spans="1:4" x14ac:dyDescent="0.3">
      <c r="A121" s="242" t="s">
        <v>8404</v>
      </c>
      <c r="B121" s="242" t="s">
        <v>15020</v>
      </c>
      <c r="C121" s="242" t="s">
        <v>8403</v>
      </c>
      <c r="D121" s="251">
        <v>79.33</v>
      </c>
    </row>
    <row r="122" spans="1:4" x14ac:dyDescent="0.3">
      <c r="A122" s="242" t="s">
        <v>8407</v>
      </c>
      <c r="B122" s="242" t="s">
        <v>15021</v>
      </c>
      <c r="C122" s="242" t="s">
        <v>8406</v>
      </c>
      <c r="D122" s="251">
        <v>79.33</v>
      </c>
    </row>
    <row r="123" spans="1:4" x14ac:dyDescent="0.3">
      <c r="A123" s="242" t="s">
        <v>8413</v>
      </c>
      <c r="B123" s="242" t="s">
        <v>15022</v>
      </c>
      <c r="C123" s="242" t="s">
        <v>8412</v>
      </c>
      <c r="D123" s="251">
        <v>57.33</v>
      </c>
    </row>
    <row r="124" spans="1:4" x14ac:dyDescent="0.3">
      <c r="A124" s="242" t="s">
        <v>8416</v>
      </c>
      <c r="B124" s="242" t="s">
        <v>15023</v>
      </c>
      <c r="C124" s="242" t="s">
        <v>8415</v>
      </c>
      <c r="D124" s="251">
        <v>57.33</v>
      </c>
    </row>
    <row r="125" spans="1:4" x14ac:dyDescent="0.3">
      <c r="A125" s="242" t="s">
        <v>8422</v>
      </c>
      <c r="B125" s="242" t="s">
        <v>15024</v>
      </c>
      <c r="C125" s="242" t="s">
        <v>8421</v>
      </c>
      <c r="D125" s="251">
        <v>48.66</v>
      </c>
    </row>
    <row r="126" spans="1:4" x14ac:dyDescent="0.3">
      <c r="A126" s="242" t="s">
        <v>8425</v>
      </c>
      <c r="B126" s="242" t="s">
        <v>15025</v>
      </c>
      <c r="C126" s="242" t="s">
        <v>8424</v>
      </c>
      <c r="D126" s="251">
        <v>48.66</v>
      </c>
    </row>
    <row r="127" spans="1:4" x14ac:dyDescent="0.3">
      <c r="A127" s="242" t="s">
        <v>8446</v>
      </c>
      <c r="B127" s="242" t="s">
        <v>15026</v>
      </c>
      <c r="C127" s="242" t="s">
        <v>8445</v>
      </c>
      <c r="D127" s="251">
        <v>79.33</v>
      </c>
    </row>
    <row r="128" spans="1:4" x14ac:dyDescent="0.3">
      <c r="A128" s="242" t="s">
        <v>8455</v>
      </c>
      <c r="B128" s="242" t="s">
        <v>15027</v>
      </c>
      <c r="C128" s="242" t="s">
        <v>8454</v>
      </c>
      <c r="D128" s="251">
        <v>9.4600000000000009</v>
      </c>
    </row>
    <row r="129" spans="1:4" x14ac:dyDescent="0.3">
      <c r="A129" s="242" t="s">
        <v>8458</v>
      </c>
      <c r="B129" s="242" t="s">
        <v>8459</v>
      </c>
      <c r="C129" s="242" t="s">
        <v>8457</v>
      </c>
      <c r="D129" s="251">
        <v>9.4600000000000009</v>
      </c>
    </row>
    <row r="130" spans="1:4" x14ac:dyDescent="0.3">
      <c r="A130" s="242" t="s">
        <v>9974</v>
      </c>
      <c r="B130" s="242" t="s">
        <v>15028</v>
      </c>
      <c r="C130" s="242" t="s">
        <v>9973</v>
      </c>
      <c r="D130" s="251">
        <v>21.33</v>
      </c>
    </row>
    <row r="131" spans="1:4" x14ac:dyDescent="0.3">
      <c r="A131" s="242" t="s">
        <v>9977</v>
      </c>
      <c r="B131" s="242" t="s">
        <v>15029</v>
      </c>
      <c r="C131" s="242" t="s">
        <v>9976</v>
      </c>
      <c r="D131" s="251">
        <v>51.33</v>
      </c>
    </row>
    <row r="132" spans="1:4" x14ac:dyDescent="0.3">
      <c r="A132" s="242" t="s">
        <v>9092</v>
      </c>
      <c r="B132" s="242" t="s">
        <v>15030</v>
      </c>
      <c r="C132" s="242" t="s">
        <v>9091</v>
      </c>
      <c r="D132" s="251">
        <v>226</v>
      </c>
    </row>
    <row r="133" spans="1:4" x14ac:dyDescent="0.3">
      <c r="A133" s="242" t="s">
        <v>15031</v>
      </c>
      <c r="B133" s="242" t="s">
        <v>15032</v>
      </c>
      <c r="C133" s="242" t="s">
        <v>15033</v>
      </c>
      <c r="D133" s="251">
        <v>106</v>
      </c>
    </row>
    <row r="134" spans="1:4" x14ac:dyDescent="0.3">
      <c r="A134" s="242" t="s">
        <v>15034</v>
      </c>
      <c r="B134" s="242" t="s">
        <v>15035</v>
      </c>
      <c r="C134" s="242" t="s">
        <v>15036</v>
      </c>
      <c r="D134" s="251">
        <v>51.33</v>
      </c>
    </row>
    <row r="135" spans="1:4" x14ac:dyDescent="0.3">
      <c r="A135" s="242" t="s">
        <v>15037</v>
      </c>
      <c r="B135" s="242" t="s">
        <v>15038</v>
      </c>
      <c r="C135" s="242" t="s">
        <v>15039</v>
      </c>
      <c r="D135" s="251">
        <v>49.33</v>
      </c>
    </row>
    <row r="136" spans="1:4" x14ac:dyDescent="0.3">
      <c r="A136" s="242" t="s">
        <v>15040</v>
      </c>
      <c r="B136" s="242" t="s">
        <v>15041</v>
      </c>
      <c r="C136" s="242" t="s">
        <v>15042</v>
      </c>
      <c r="D136" s="251">
        <v>48.66</v>
      </c>
    </row>
    <row r="137" spans="1:4" x14ac:dyDescent="0.3">
      <c r="A137" s="242" t="s">
        <v>15043</v>
      </c>
      <c r="B137" s="242" t="s">
        <v>15044</v>
      </c>
      <c r="C137" s="242" t="s">
        <v>15045</v>
      </c>
      <c r="D137" s="251">
        <v>17.989999999999998</v>
      </c>
    </row>
    <row r="138" spans="1:4" x14ac:dyDescent="0.3">
      <c r="A138" s="242" t="s">
        <v>15046</v>
      </c>
      <c r="B138" s="242" t="s">
        <v>15047</v>
      </c>
      <c r="C138" s="242" t="s">
        <v>15048</v>
      </c>
      <c r="D138" s="251">
        <v>17.989999999999998</v>
      </c>
    </row>
    <row r="139" spans="1:4" x14ac:dyDescent="0.3">
      <c r="A139" s="242" t="s">
        <v>15049</v>
      </c>
      <c r="B139" s="242" t="s">
        <v>15050</v>
      </c>
      <c r="C139" s="242" t="s">
        <v>15051</v>
      </c>
      <c r="D139" s="251">
        <v>29.99</v>
      </c>
    </row>
    <row r="140" spans="1:4" x14ac:dyDescent="0.3">
      <c r="A140" s="242" t="s">
        <v>15052</v>
      </c>
      <c r="B140" s="242" t="s">
        <v>15053</v>
      </c>
      <c r="C140" s="242" t="s">
        <v>15054</v>
      </c>
      <c r="D140" s="251">
        <v>29.99</v>
      </c>
    </row>
    <row r="141" spans="1:4" x14ac:dyDescent="0.3">
      <c r="A141" s="242" t="s">
        <v>15055</v>
      </c>
      <c r="B141" s="242" t="s">
        <v>15056</v>
      </c>
      <c r="C141" s="242" t="s">
        <v>15057</v>
      </c>
      <c r="D141" s="251">
        <v>57.33</v>
      </c>
    </row>
    <row r="142" spans="1:4" x14ac:dyDescent="0.3">
      <c r="A142" s="242" t="s">
        <v>15058</v>
      </c>
      <c r="B142" s="242" t="s">
        <v>15059</v>
      </c>
      <c r="C142" s="242" t="s">
        <v>15060</v>
      </c>
      <c r="D142" s="251">
        <v>57.33</v>
      </c>
    </row>
    <row r="143" spans="1:4" x14ac:dyDescent="0.3">
      <c r="A143" s="242" t="s">
        <v>15061</v>
      </c>
      <c r="B143" s="242" t="s">
        <v>15062</v>
      </c>
      <c r="C143" s="242" t="s">
        <v>15063</v>
      </c>
      <c r="D143" s="251">
        <v>28.66</v>
      </c>
    </row>
    <row r="144" spans="1:4" x14ac:dyDescent="0.3">
      <c r="A144" s="242" t="s">
        <v>15064</v>
      </c>
      <c r="B144" s="242" t="s">
        <v>15065</v>
      </c>
      <c r="C144" s="242" t="s">
        <v>15066</v>
      </c>
      <c r="D144" s="251">
        <v>28.66</v>
      </c>
    </row>
    <row r="145" spans="1:4" x14ac:dyDescent="0.3">
      <c r="A145" s="242" t="s">
        <v>15067</v>
      </c>
      <c r="B145" s="242" t="s">
        <v>15068</v>
      </c>
      <c r="C145" s="242" t="s">
        <v>15069</v>
      </c>
      <c r="D145" s="251">
        <v>29.99</v>
      </c>
    </row>
    <row r="146" spans="1:4" x14ac:dyDescent="0.3">
      <c r="A146" s="242" t="s">
        <v>15070</v>
      </c>
      <c r="B146" s="242" t="s">
        <v>15071</v>
      </c>
      <c r="C146" s="242" t="s">
        <v>15072</v>
      </c>
      <c r="D146" s="251">
        <v>29.99</v>
      </c>
    </row>
    <row r="147" spans="1:4" x14ac:dyDescent="0.3">
      <c r="A147" s="242" t="s">
        <v>15073</v>
      </c>
      <c r="B147" s="242" t="s">
        <v>15074</v>
      </c>
      <c r="C147" s="242" t="s">
        <v>15075</v>
      </c>
      <c r="D147" s="251">
        <v>20.66</v>
      </c>
    </row>
    <row r="148" spans="1:4" x14ac:dyDescent="0.3">
      <c r="A148" s="242" t="s">
        <v>15076</v>
      </c>
      <c r="B148" s="242" t="s">
        <v>15077</v>
      </c>
      <c r="C148" s="242" t="s">
        <v>15078</v>
      </c>
      <c r="D148" s="251">
        <v>20.66</v>
      </c>
    </row>
    <row r="149" spans="1:4" x14ac:dyDescent="0.3">
      <c r="A149" s="242" t="s">
        <v>9095</v>
      </c>
      <c r="B149" s="242" t="s">
        <v>15079</v>
      </c>
      <c r="C149" s="242" t="s">
        <v>9094</v>
      </c>
      <c r="D149" s="251">
        <v>599.33000000000004</v>
      </c>
    </row>
    <row r="150" spans="1:4" x14ac:dyDescent="0.3">
      <c r="A150" s="242" t="s">
        <v>9098</v>
      </c>
      <c r="B150" s="242" t="s">
        <v>15080</v>
      </c>
      <c r="C150" s="242" t="s">
        <v>9097</v>
      </c>
      <c r="D150" s="251">
        <v>452.67</v>
      </c>
    </row>
    <row r="151" spans="1:4" x14ac:dyDescent="0.3">
      <c r="A151" s="242" t="s">
        <v>15081</v>
      </c>
      <c r="B151" s="242" t="s">
        <v>15082</v>
      </c>
      <c r="C151" s="242" t="s">
        <v>15083</v>
      </c>
      <c r="D151" s="251">
        <v>219.33</v>
      </c>
    </row>
    <row r="152" spans="1:4" x14ac:dyDescent="0.3">
      <c r="A152" s="242" t="s">
        <v>8374</v>
      </c>
      <c r="B152" s="242" t="s">
        <v>15084</v>
      </c>
      <c r="C152" s="242" t="s">
        <v>8373</v>
      </c>
      <c r="D152" s="251">
        <v>53.99</v>
      </c>
    </row>
    <row r="153" spans="1:4" x14ac:dyDescent="0.3">
      <c r="A153" s="242" t="s">
        <v>15085</v>
      </c>
      <c r="B153" s="242" t="s">
        <v>15086</v>
      </c>
      <c r="C153" s="242" t="s">
        <v>15087</v>
      </c>
      <c r="D153" s="251">
        <v>50.66</v>
      </c>
    </row>
    <row r="154" spans="1:4" x14ac:dyDescent="0.3">
      <c r="A154" s="242" t="s">
        <v>15088</v>
      </c>
      <c r="B154" s="242" t="s">
        <v>15089</v>
      </c>
      <c r="C154" s="242" t="s">
        <v>15090</v>
      </c>
      <c r="D154" s="251">
        <v>99.33</v>
      </c>
    </row>
    <row r="155" spans="1:4" x14ac:dyDescent="0.3">
      <c r="A155" s="242" t="s">
        <v>15091</v>
      </c>
      <c r="B155" s="242" t="s">
        <v>15092</v>
      </c>
      <c r="C155" s="242" t="s">
        <v>15093</v>
      </c>
      <c r="D155" s="251">
        <v>99.33</v>
      </c>
    </row>
    <row r="156" spans="1:4" x14ac:dyDescent="0.3">
      <c r="A156" s="242" t="s">
        <v>15094</v>
      </c>
      <c r="B156" s="242" t="s">
        <v>15095</v>
      </c>
      <c r="C156" s="242" t="s">
        <v>15096</v>
      </c>
      <c r="D156" s="251">
        <v>99.33</v>
      </c>
    </row>
    <row r="157" spans="1:4" x14ac:dyDescent="0.3">
      <c r="A157" s="242" t="s">
        <v>15097</v>
      </c>
      <c r="B157" s="242" t="s">
        <v>15098</v>
      </c>
      <c r="C157" s="242" t="s">
        <v>15099</v>
      </c>
      <c r="D157" s="251">
        <v>51.33</v>
      </c>
    </row>
    <row r="158" spans="1:4" x14ac:dyDescent="0.3">
      <c r="A158" s="242" t="s">
        <v>15100</v>
      </c>
      <c r="B158" s="242" t="s">
        <v>15101</v>
      </c>
      <c r="C158" s="242" t="s">
        <v>15102</v>
      </c>
      <c r="D158" s="251">
        <v>51.33</v>
      </c>
    </row>
    <row r="159" spans="1:4" x14ac:dyDescent="0.3">
      <c r="A159" s="242" t="s">
        <v>15103</v>
      </c>
      <c r="B159" s="242" t="s">
        <v>15104</v>
      </c>
      <c r="C159" s="242" t="s">
        <v>15105</v>
      </c>
      <c r="D159" s="251">
        <v>51.33</v>
      </c>
    </row>
    <row r="160" spans="1:4" x14ac:dyDescent="0.3">
      <c r="A160" s="242" t="s">
        <v>15106</v>
      </c>
      <c r="B160" s="242" t="s">
        <v>15107</v>
      </c>
      <c r="C160" s="242" t="s">
        <v>15108</v>
      </c>
      <c r="D160" s="251">
        <v>48.66</v>
      </c>
    </row>
    <row r="161" spans="1:4" x14ac:dyDescent="0.3">
      <c r="A161" s="242" t="s">
        <v>15109</v>
      </c>
      <c r="B161" s="242" t="s">
        <v>15110</v>
      </c>
      <c r="C161" s="242" t="s">
        <v>15111</v>
      </c>
      <c r="D161" s="251">
        <v>48.66</v>
      </c>
    </row>
    <row r="162" spans="1:4" x14ac:dyDescent="0.3">
      <c r="A162" s="242" t="s">
        <v>15112</v>
      </c>
      <c r="B162" s="242" t="s">
        <v>15113</v>
      </c>
      <c r="C162" s="242" t="s">
        <v>15114</v>
      </c>
      <c r="D162" s="251">
        <v>48.66</v>
      </c>
    </row>
    <row r="163" spans="1:4" x14ac:dyDescent="0.3">
      <c r="A163" s="242" t="s">
        <v>15115</v>
      </c>
      <c r="B163" s="242" t="s">
        <v>15116</v>
      </c>
      <c r="C163" s="242" t="s">
        <v>15117</v>
      </c>
      <c r="D163" s="251">
        <v>48.66</v>
      </c>
    </row>
    <row r="164" spans="1:4" x14ac:dyDescent="0.3">
      <c r="A164" s="242" t="s">
        <v>15118</v>
      </c>
      <c r="B164" s="242" t="s">
        <v>15119</v>
      </c>
      <c r="C164" s="242" t="s">
        <v>15120</v>
      </c>
      <c r="D164" s="251">
        <v>48.66</v>
      </c>
    </row>
    <row r="165" spans="1:4" x14ac:dyDescent="0.3">
      <c r="A165" s="242" t="s">
        <v>9891</v>
      </c>
      <c r="B165" s="242" t="s">
        <v>15121</v>
      </c>
      <c r="C165" s="242" t="s">
        <v>9890</v>
      </c>
      <c r="D165" s="251">
        <v>10.99</v>
      </c>
    </row>
    <row r="166" spans="1:4" x14ac:dyDescent="0.3">
      <c r="A166" s="242" t="s">
        <v>9895</v>
      </c>
      <c r="B166" s="242" t="s">
        <v>15122</v>
      </c>
      <c r="C166" s="242" t="s">
        <v>9894</v>
      </c>
      <c r="D166" s="251">
        <v>10.99</v>
      </c>
    </row>
    <row r="167" spans="1:4" x14ac:dyDescent="0.3">
      <c r="A167" s="242" t="s">
        <v>9897</v>
      </c>
      <c r="B167" s="242" t="s">
        <v>15123</v>
      </c>
      <c r="C167" s="242" t="s">
        <v>9896</v>
      </c>
      <c r="D167" s="251">
        <v>10.99</v>
      </c>
    </row>
    <row r="168" spans="1:4" x14ac:dyDescent="0.3">
      <c r="A168" s="242" t="s">
        <v>9901</v>
      </c>
      <c r="B168" s="242" t="s">
        <v>9902</v>
      </c>
      <c r="C168" s="242" t="s">
        <v>9900</v>
      </c>
      <c r="D168" s="251">
        <v>12.86</v>
      </c>
    </row>
    <row r="169" spans="1:4" x14ac:dyDescent="0.3">
      <c r="A169" s="242" t="s">
        <v>15124</v>
      </c>
      <c r="B169" s="242" t="s">
        <v>15125</v>
      </c>
      <c r="C169" s="242" t="s">
        <v>15126</v>
      </c>
      <c r="D169" s="251">
        <v>11.99</v>
      </c>
    </row>
    <row r="170" spans="1:4" x14ac:dyDescent="0.3">
      <c r="A170" s="242" t="s">
        <v>15127</v>
      </c>
      <c r="B170" s="242" t="s">
        <v>15128</v>
      </c>
      <c r="C170" s="242" t="s">
        <v>15129</v>
      </c>
      <c r="D170" s="251">
        <v>28.66</v>
      </c>
    </row>
    <row r="171" spans="1:4" x14ac:dyDescent="0.3">
      <c r="A171" s="242" t="s">
        <v>15130</v>
      </c>
      <c r="B171" s="242" t="s">
        <v>15131</v>
      </c>
      <c r="C171" s="242" t="s">
        <v>15132</v>
      </c>
      <c r="D171" s="251">
        <v>27.33</v>
      </c>
    </row>
    <row r="172" spans="1:4" x14ac:dyDescent="0.3">
      <c r="A172" s="242" t="s">
        <v>15133</v>
      </c>
      <c r="B172" s="242" t="s">
        <v>15134</v>
      </c>
      <c r="C172" s="242" t="s">
        <v>15135</v>
      </c>
      <c r="D172" s="251">
        <v>27.33</v>
      </c>
    </row>
    <row r="173" spans="1:4" x14ac:dyDescent="0.3">
      <c r="A173" s="242" t="s">
        <v>15136</v>
      </c>
      <c r="B173" s="242" t="s">
        <v>15137</v>
      </c>
      <c r="C173" s="242" t="s">
        <v>15138</v>
      </c>
      <c r="D173" s="251">
        <v>27.33</v>
      </c>
    </row>
    <row r="174" spans="1:4" x14ac:dyDescent="0.3">
      <c r="A174" s="242" t="s">
        <v>10272</v>
      </c>
      <c r="B174" s="242" t="s">
        <v>15139</v>
      </c>
      <c r="C174" s="242" t="s">
        <v>10271</v>
      </c>
      <c r="D174" s="251">
        <v>43.99</v>
      </c>
    </row>
    <row r="175" spans="1:4" x14ac:dyDescent="0.3">
      <c r="A175" s="242" t="s">
        <v>11585</v>
      </c>
      <c r="B175" s="242" t="s">
        <v>15140</v>
      </c>
      <c r="C175" s="242" t="s">
        <v>11584</v>
      </c>
      <c r="D175" s="251">
        <v>57.33</v>
      </c>
    </row>
    <row r="176" spans="1:4" x14ac:dyDescent="0.3">
      <c r="A176" s="242" t="s">
        <v>5046</v>
      </c>
      <c r="B176" s="242" t="s">
        <v>15141</v>
      </c>
      <c r="C176" s="242" t="s">
        <v>5045</v>
      </c>
      <c r="D176" s="251">
        <v>53.99</v>
      </c>
    </row>
    <row r="177" spans="1:4" x14ac:dyDescent="0.3">
      <c r="A177" s="242" t="s">
        <v>10293</v>
      </c>
      <c r="B177" s="242" t="s">
        <v>15142</v>
      </c>
      <c r="C177" s="242" t="s">
        <v>10292</v>
      </c>
      <c r="D177" s="251">
        <v>53.99</v>
      </c>
    </row>
    <row r="178" spans="1:4" x14ac:dyDescent="0.3">
      <c r="A178" s="242" t="s">
        <v>10305</v>
      </c>
      <c r="B178" s="242" t="s">
        <v>15143</v>
      </c>
      <c r="C178" s="242" t="s">
        <v>10304</v>
      </c>
      <c r="D178" s="251">
        <v>19.329999999999998</v>
      </c>
    </row>
    <row r="179" spans="1:4" x14ac:dyDescent="0.3">
      <c r="A179" s="242" t="s">
        <v>9980</v>
      </c>
      <c r="B179" s="242" t="s">
        <v>15144</v>
      </c>
      <c r="C179" s="242" t="s">
        <v>9979</v>
      </c>
      <c r="D179" s="251">
        <v>19.329999999999998</v>
      </c>
    </row>
    <row r="180" spans="1:4" x14ac:dyDescent="0.3">
      <c r="A180" s="242" t="s">
        <v>15145</v>
      </c>
      <c r="B180" s="242" t="s">
        <v>15146</v>
      </c>
      <c r="C180" s="242" t="s">
        <v>15147</v>
      </c>
      <c r="D180" s="251">
        <v>35.99</v>
      </c>
    </row>
    <row r="181" spans="1:4" x14ac:dyDescent="0.3">
      <c r="A181" s="242" t="s">
        <v>10400</v>
      </c>
      <c r="B181" s="242" t="s">
        <v>15148</v>
      </c>
      <c r="C181" s="242" t="s">
        <v>10399</v>
      </c>
      <c r="D181" s="251">
        <v>49.33</v>
      </c>
    </row>
    <row r="182" spans="1:4" x14ac:dyDescent="0.3">
      <c r="A182" s="242" t="s">
        <v>10403</v>
      </c>
      <c r="B182" s="242" t="s">
        <v>15149</v>
      </c>
      <c r="C182" s="242" t="s">
        <v>10402</v>
      </c>
      <c r="D182" s="251">
        <v>49.33</v>
      </c>
    </row>
    <row r="183" spans="1:4" x14ac:dyDescent="0.3">
      <c r="A183" s="242" t="s">
        <v>10418</v>
      </c>
      <c r="B183" s="242" t="s">
        <v>15150</v>
      </c>
      <c r="C183" s="242" t="s">
        <v>10417</v>
      </c>
      <c r="D183" s="251">
        <v>11.99</v>
      </c>
    </row>
    <row r="184" spans="1:4" x14ac:dyDescent="0.3">
      <c r="A184" s="242" t="s">
        <v>8461</v>
      </c>
      <c r="B184" s="242" t="s">
        <v>15151</v>
      </c>
      <c r="C184" s="242" t="s">
        <v>8460</v>
      </c>
      <c r="D184" s="251">
        <v>40.659999999999997</v>
      </c>
    </row>
    <row r="185" spans="1:4" x14ac:dyDescent="0.3">
      <c r="A185" s="242" t="s">
        <v>8464</v>
      </c>
      <c r="B185" s="242" t="s">
        <v>15152</v>
      </c>
      <c r="C185" s="242" t="s">
        <v>8463</v>
      </c>
      <c r="D185" s="251">
        <v>41.33</v>
      </c>
    </row>
    <row r="186" spans="1:4" x14ac:dyDescent="0.3">
      <c r="A186" s="242" t="s">
        <v>8467</v>
      </c>
      <c r="B186" s="242" t="s">
        <v>15153</v>
      </c>
      <c r="C186" s="242" t="s">
        <v>8466</v>
      </c>
      <c r="D186" s="251">
        <v>41.33</v>
      </c>
    </row>
    <row r="187" spans="1:4" x14ac:dyDescent="0.3">
      <c r="A187" s="242" t="s">
        <v>8470</v>
      </c>
      <c r="B187" s="242" t="s">
        <v>15154</v>
      </c>
      <c r="C187" s="242" t="s">
        <v>8469</v>
      </c>
      <c r="D187" s="251">
        <v>41.33</v>
      </c>
    </row>
    <row r="188" spans="1:4" x14ac:dyDescent="0.3">
      <c r="A188" s="242" t="s">
        <v>8473</v>
      </c>
      <c r="B188" s="242" t="s">
        <v>15155</v>
      </c>
      <c r="C188" s="242" t="s">
        <v>8472</v>
      </c>
      <c r="D188" s="251">
        <v>33.99</v>
      </c>
    </row>
    <row r="189" spans="1:4" x14ac:dyDescent="0.3">
      <c r="A189" s="242" t="s">
        <v>8476</v>
      </c>
      <c r="B189" s="242" t="s">
        <v>15156</v>
      </c>
      <c r="C189" s="242" t="s">
        <v>8475</v>
      </c>
      <c r="D189" s="251">
        <v>48.66</v>
      </c>
    </row>
    <row r="190" spans="1:4" x14ac:dyDescent="0.3">
      <c r="A190" s="242" t="s">
        <v>8482</v>
      </c>
      <c r="B190" s="242" t="s">
        <v>15157</v>
      </c>
      <c r="C190" s="242" t="s">
        <v>8481</v>
      </c>
      <c r="D190" s="251">
        <v>33.99</v>
      </c>
    </row>
    <row r="191" spans="1:4" x14ac:dyDescent="0.3">
      <c r="A191" s="242" t="s">
        <v>8485</v>
      </c>
      <c r="B191" s="242" t="s">
        <v>15158</v>
      </c>
      <c r="C191" s="242" t="s">
        <v>8484</v>
      </c>
      <c r="D191" s="251">
        <v>54.66</v>
      </c>
    </row>
    <row r="192" spans="1:4" x14ac:dyDescent="0.3">
      <c r="A192" s="242" t="s">
        <v>8488</v>
      </c>
      <c r="B192" s="242" t="s">
        <v>15159</v>
      </c>
      <c r="C192" s="242" t="s">
        <v>8487</v>
      </c>
      <c r="D192" s="251">
        <v>42.66</v>
      </c>
    </row>
    <row r="193" spans="1:4" x14ac:dyDescent="0.3">
      <c r="A193" s="242" t="s">
        <v>8491</v>
      </c>
      <c r="B193" s="242" t="s">
        <v>15160</v>
      </c>
      <c r="C193" s="242" t="s">
        <v>8490</v>
      </c>
      <c r="D193" s="251">
        <v>86</v>
      </c>
    </row>
    <row r="194" spans="1:4" x14ac:dyDescent="0.3">
      <c r="A194" s="242" t="s">
        <v>8494</v>
      </c>
      <c r="B194" s="242" t="s">
        <v>15161</v>
      </c>
      <c r="C194" s="242" t="s">
        <v>8493</v>
      </c>
      <c r="D194" s="251">
        <v>40.659999999999997</v>
      </c>
    </row>
    <row r="195" spans="1:4" x14ac:dyDescent="0.3">
      <c r="A195" s="242" t="s">
        <v>8503</v>
      </c>
      <c r="B195" s="242" t="s">
        <v>15162</v>
      </c>
      <c r="C195" s="242" t="s">
        <v>8502</v>
      </c>
      <c r="D195" s="251">
        <v>15.99</v>
      </c>
    </row>
    <row r="196" spans="1:4" x14ac:dyDescent="0.3">
      <c r="A196" s="242" t="s">
        <v>8506</v>
      </c>
      <c r="B196" s="242" t="s">
        <v>14764</v>
      </c>
      <c r="C196" s="242" t="s">
        <v>8505</v>
      </c>
      <c r="D196" s="251">
        <v>39.99</v>
      </c>
    </row>
    <row r="197" spans="1:4" x14ac:dyDescent="0.3">
      <c r="A197" s="242" t="s">
        <v>8511</v>
      </c>
      <c r="B197" s="242" t="s">
        <v>15163</v>
      </c>
      <c r="C197" s="242" t="s">
        <v>8510</v>
      </c>
      <c r="D197" s="251">
        <v>15.99</v>
      </c>
    </row>
    <row r="198" spans="1:4" x14ac:dyDescent="0.3">
      <c r="A198" s="242" t="s">
        <v>8514</v>
      </c>
      <c r="B198" s="242" t="s">
        <v>15164</v>
      </c>
      <c r="C198" s="242" t="s">
        <v>8513</v>
      </c>
      <c r="D198" s="251">
        <v>47.33</v>
      </c>
    </row>
    <row r="199" spans="1:4" x14ac:dyDescent="0.3">
      <c r="A199" s="242" t="s">
        <v>8517</v>
      </c>
      <c r="B199" s="242" t="s">
        <v>15165</v>
      </c>
      <c r="C199" s="242" t="s">
        <v>8516</v>
      </c>
      <c r="D199" s="251">
        <v>199.33</v>
      </c>
    </row>
    <row r="200" spans="1:4" x14ac:dyDescent="0.3">
      <c r="A200" s="242" t="s">
        <v>8520</v>
      </c>
      <c r="B200" s="242" t="s">
        <v>15166</v>
      </c>
      <c r="C200" s="242" t="s">
        <v>8519</v>
      </c>
      <c r="D200" s="251">
        <v>72.67</v>
      </c>
    </row>
    <row r="201" spans="1:4" x14ac:dyDescent="0.3">
      <c r="A201" s="242" t="s">
        <v>8523</v>
      </c>
      <c r="B201" s="242" t="s">
        <v>15167</v>
      </c>
      <c r="C201" s="242" t="s">
        <v>8522</v>
      </c>
      <c r="D201" s="251">
        <v>44.66</v>
      </c>
    </row>
    <row r="202" spans="1:4" x14ac:dyDescent="0.3">
      <c r="A202" s="242" t="s">
        <v>8526</v>
      </c>
      <c r="B202" s="242" t="s">
        <v>15168</v>
      </c>
      <c r="C202" s="242" t="s">
        <v>8525</v>
      </c>
      <c r="D202" s="251">
        <v>10.46</v>
      </c>
    </row>
    <row r="203" spans="1:4" x14ac:dyDescent="0.3">
      <c r="A203" s="242" t="s">
        <v>10448</v>
      </c>
      <c r="B203" s="242" t="s">
        <v>15169</v>
      </c>
      <c r="C203" s="242" t="s">
        <v>10447</v>
      </c>
      <c r="D203" s="251">
        <v>15.33</v>
      </c>
    </row>
    <row r="204" spans="1:4" x14ac:dyDescent="0.3">
      <c r="A204" s="242" t="s">
        <v>15170</v>
      </c>
      <c r="B204" s="242" t="s">
        <v>15171</v>
      </c>
      <c r="C204" s="242" t="s">
        <v>15172</v>
      </c>
      <c r="D204" s="251">
        <v>45.33</v>
      </c>
    </row>
    <row r="205" spans="1:4" x14ac:dyDescent="0.3">
      <c r="A205" s="242" t="s">
        <v>9983</v>
      </c>
      <c r="B205" s="242" t="s">
        <v>9984</v>
      </c>
      <c r="C205" s="242" t="s">
        <v>9982</v>
      </c>
      <c r="D205" s="251">
        <v>41.33</v>
      </c>
    </row>
    <row r="206" spans="1:4" x14ac:dyDescent="0.3">
      <c r="A206" s="242" t="s">
        <v>15173</v>
      </c>
      <c r="B206" s="242" t="s">
        <v>15174</v>
      </c>
      <c r="C206" s="242" t="s">
        <v>15175</v>
      </c>
      <c r="D206" s="251">
        <v>29.99</v>
      </c>
    </row>
    <row r="207" spans="1:4" x14ac:dyDescent="0.3">
      <c r="A207" s="242" t="s">
        <v>8600</v>
      </c>
      <c r="B207" s="242" t="s">
        <v>15176</v>
      </c>
      <c r="C207" s="242" t="s">
        <v>8599</v>
      </c>
      <c r="D207" s="251">
        <v>17.329999999999998</v>
      </c>
    </row>
    <row r="208" spans="1:4" x14ac:dyDescent="0.3">
      <c r="A208" s="242" t="s">
        <v>8603</v>
      </c>
      <c r="B208" s="242" t="s">
        <v>15177</v>
      </c>
      <c r="C208" s="242" t="s">
        <v>8602</v>
      </c>
      <c r="D208" s="251">
        <v>17.329999999999998</v>
      </c>
    </row>
    <row r="209" spans="1:4" x14ac:dyDescent="0.3">
      <c r="A209" s="242" t="s">
        <v>5381</v>
      </c>
      <c r="B209" s="242" t="s">
        <v>5382</v>
      </c>
      <c r="C209" s="242" t="s">
        <v>5380</v>
      </c>
      <c r="D209" s="251">
        <v>72.67</v>
      </c>
    </row>
    <row r="210" spans="1:4" x14ac:dyDescent="0.3">
      <c r="A210" s="242" t="s">
        <v>5384</v>
      </c>
      <c r="B210" s="242" t="s">
        <v>5385</v>
      </c>
      <c r="C210" s="242" t="s">
        <v>5383</v>
      </c>
      <c r="D210" s="251">
        <v>72.67</v>
      </c>
    </row>
    <row r="211" spans="1:4" x14ac:dyDescent="0.3">
      <c r="A211" s="242" t="s">
        <v>5387</v>
      </c>
      <c r="B211" s="242" t="s">
        <v>5388</v>
      </c>
      <c r="C211" s="242" t="s">
        <v>5386</v>
      </c>
      <c r="D211" s="251">
        <v>72.67</v>
      </c>
    </row>
    <row r="212" spans="1:4" x14ac:dyDescent="0.3">
      <c r="A212" s="242" t="s">
        <v>8812</v>
      </c>
      <c r="B212" s="242" t="s">
        <v>15178</v>
      </c>
      <c r="C212" s="242" t="s">
        <v>8811</v>
      </c>
      <c r="D212" s="251">
        <v>51.33</v>
      </c>
    </row>
    <row r="213" spans="1:4" x14ac:dyDescent="0.3">
      <c r="A213" s="242" t="s">
        <v>8815</v>
      </c>
      <c r="B213" s="242" t="s">
        <v>8816</v>
      </c>
      <c r="C213" s="242" t="s">
        <v>8814</v>
      </c>
      <c r="D213" s="251">
        <v>48.66</v>
      </c>
    </row>
    <row r="214" spans="1:4" x14ac:dyDescent="0.3">
      <c r="A214" s="242" t="s">
        <v>8609</v>
      </c>
      <c r="B214" s="242" t="s">
        <v>15179</v>
      </c>
      <c r="C214" s="242" t="s">
        <v>8608</v>
      </c>
      <c r="D214" s="251">
        <v>14.66</v>
      </c>
    </row>
    <row r="215" spans="1:4" x14ac:dyDescent="0.3">
      <c r="A215" s="242" t="s">
        <v>8612</v>
      </c>
      <c r="B215" s="242" t="s">
        <v>8613</v>
      </c>
      <c r="C215" s="242" t="s">
        <v>8611</v>
      </c>
      <c r="D215" s="251">
        <v>15.99</v>
      </c>
    </row>
    <row r="216" spans="1:4" x14ac:dyDescent="0.3">
      <c r="A216" s="242" t="s">
        <v>8615</v>
      </c>
      <c r="B216" s="242" t="s">
        <v>8616</v>
      </c>
      <c r="C216" s="242" t="s">
        <v>8614</v>
      </c>
      <c r="D216" s="251">
        <v>38.659999999999997</v>
      </c>
    </row>
    <row r="217" spans="1:4" x14ac:dyDescent="0.3">
      <c r="A217" s="242" t="s">
        <v>8618</v>
      </c>
      <c r="B217" s="242" t="s">
        <v>15180</v>
      </c>
      <c r="C217" s="242" t="s">
        <v>8617</v>
      </c>
      <c r="D217" s="251">
        <v>52.66</v>
      </c>
    </row>
    <row r="218" spans="1:4" x14ac:dyDescent="0.3">
      <c r="A218" s="242" t="s">
        <v>8620</v>
      </c>
      <c r="B218" s="242" t="s">
        <v>8621</v>
      </c>
      <c r="C218" s="242" t="s">
        <v>8619</v>
      </c>
      <c r="D218" s="251">
        <v>38.659999999999997</v>
      </c>
    </row>
    <row r="219" spans="1:4" x14ac:dyDescent="0.3">
      <c r="A219" s="242" t="s">
        <v>8623</v>
      </c>
      <c r="B219" s="242" t="s">
        <v>8624</v>
      </c>
      <c r="C219" s="242" t="s">
        <v>8622</v>
      </c>
      <c r="D219" s="251">
        <v>25.99</v>
      </c>
    </row>
    <row r="220" spans="1:4" x14ac:dyDescent="0.3">
      <c r="A220" s="242" t="s">
        <v>15181</v>
      </c>
      <c r="B220" s="242" t="s">
        <v>15182</v>
      </c>
      <c r="C220" s="242" t="s">
        <v>15183</v>
      </c>
      <c r="D220" s="251">
        <v>199.33</v>
      </c>
    </row>
    <row r="221" spans="1:4" x14ac:dyDescent="0.3">
      <c r="A221" s="242" t="s">
        <v>8626</v>
      </c>
      <c r="B221" s="242" t="s">
        <v>8627</v>
      </c>
      <c r="C221" s="242" t="s">
        <v>8625</v>
      </c>
      <c r="D221" s="251">
        <v>72.67</v>
      </c>
    </row>
    <row r="222" spans="1:4" x14ac:dyDescent="0.3">
      <c r="A222" s="242" t="s">
        <v>8920</v>
      </c>
      <c r="B222" s="242" t="s">
        <v>8921</v>
      </c>
      <c r="C222" s="242" t="s">
        <v>8919</v>
      </c>
      <c r="D222" s="251">
        <v>14.66</v>
      </c>
    </row>
    <row r="223" spans="1:4" x14ac:dyDescent="0.3">
      <c r="A223" s="242" t="s">
        <v>8923</v>
      </c>
      <c r="B223" s="242" t="s">
        <v>15184</v>
      </c>
      <c r="C223" s="242" t="s">
        <v>8922</v>
      </c>
      <c r="D223" s="251">
        <v>47.33</v>
      </c>
    </row>
    <row r="224" spans="1:4" x14ac:dyDescent="0.3">
      <c r="A224" s="242" t="s">
        <v>9899</v>
      </c>
      <c r="B224" s="242" t="s">
        <v>15185</v>
      </c>
      <c r="C224" s="242" t="s">
        <v>9898</v>
      </c>
      <c r="D224" s="251">
        <v>12.86</v>
      </c>
    </row>
    <row r="225" spans="1:4" x14ac:dyDescent="0.3">
      <c r="A225" s="242" t="s">
        <v>9893</v>
      </c>
      <c r="B225" s="242" t="s">
        <v>15186</v>
      </c>
      <c r="C225" s="242" t="s">
        <v>9892</v>
      </c>
      <c r="D225" s="251">
        <v>10.99</v>
      </c>
    </row>
    <row r="226" spans="1:4" x14ac:dyDescent="0.3">
      <c r="A226" s="242" t="s">
        <v>10022</v>
      </c>
      <c r="B226" s="242" t="s">
        <v>15187</v>
      </c>
      <c r="C226" s="242" t="s">
        <v>10021</v>
      </c>
      <c r="D226" s="251">
        <v>57.33</v>
      </c>
    </row>
    <row r="227" spans="1:4" x14ac:dyDescent="0.3">
      <c r="A227" s="242" t="s">
        <v>8629</v>
      </c>
      <c r="B227" s="242" t="s">
        <v>15188</v>
      </c>
      <c r="C227" s="242" t="s">
        <v>8628</v>
      </c>
      <c r="D227" s="251">
        <v>14.66</v>
      </c>
    </row>
    <row r="228" spans="1:4" x14ac:dyDescent="0.3">
      <c r="A228" s="242" t="s">
        <v>8731</v>
      </c>
      <c r="B228" s="242" t="s">
        <v>15189</v>
      </c>
      <c r="C228" s="242" t="s">
        <v>8730</v>
      </c>
      <c r="D228" s="251">
        <v>47.33</v>
      </c>
    </row>
    <row r="229" spans="1:4" x14ac:dyDescent="0.3">
      <c r="A229" s="242" t="s">
        <v>8734</v>
      </c>
      <c r="B229" s="242" t="s">
        <v>15190</v>
      </c>
      <c r="C229" s="242" t="s">
        <v>8733</v>
      </c>
      <c r="D229" s="251">
        <v>49.33</v>
      </c>
    </row>
    <row r="230" spans="1:4" x14ac:dyDescent="0.3">
      <c r="A230" s="242" t="s">
        <v>8737</v>
      </c>
      <c r="B230" s="242" t="s">
        <v>15191</v>
      </c>
      <c r="C230" s="242" t="s">
        <v>8736</v>
      </c>
      <c r="D230" s="251">
        <v>49.33</v>
      </c>
    </row>
    <row r="231" spans="1:4" x14ac:dyDescent="0.3">
      <c r="A231" s="242" t="s">
        <v>8743</v>
      </c>
      <c r="B231" s="242" t="s">
        <v>15192</v>
      </c>
      <c r="C231" s="242" t="s">
        <v>8742</v>
      </c>
      <c r="D231" s="251">
        <v>47.33</v>
      </c>
    </row>
    <row r="232" spans="1:4" x14ac:dyDescent="0.3">
      <c r="A232" s="242" t="s">
        <v>8746</v>
      </c>
      <c r="B232" s="242" t="s">
        <v>15193</v>
      </c>
      <c r="C232" s="242" t="s">
        <v>8745</v>
      </c>
      <c r="D232" s="251">
        <v>49.33</v>
      </c>
    </row>
    <row r="233" spans="1:4" x14ac:dyDescent="0.3">
      <c r="A233" s="242" t="s">
        <v>8749</v>
      </c>
      <c r="B233" s="242" t="s">
        <v>15194</v>
      </c>
      <c r="C233" s="242" t="s">
        <v>8748</v>
      </c>
      <c r="D233" s="251">
        <v>49.33</v>
      </c>
    </row>
    <row r="234" spans="1:4" x14ac:dyDescent="0.3">
      <c r="A234" s="242" t="s">
        <v>8752</v>
      </c>
      <c r="B234" s="242" t="s">
        <v>15195</v>
      </c>
      <c r="C234" s="242" t="s">
        <v>8751</v>
      </c>
      <c r="D234" s="251">
        <v>49.33</v>
      </c>
    </row>
    <row r="235" spans="1:4" x14ac:dyDescent="0.3">
      <c r="A235" s="242" t="s">
        <v>8755</v>
      </c>
      <c r="B235" s="242" t="s">
        <v>15196</v>
      </c>
      <c r="C235" s="242" t="s">
        <v>8754</v>
      </c>
      <c r="D235" s="251">
        <v>49.33</v>
      </c>
    </row>
    <row r="236" spans="1:4" x14ac:dyDescent="0.3">
      <c r="A236" s="242" t="s">
        <v>8758</v>
      </c>
      <c r="B236" s="242" t="s">
        <v>15197</v>
      </c>
      <c r="C236" s="242" t="s">
        <v>8757</v>
      </c>
      <c r="D236" s="251">
        <v>49.33</v>
      </c>
    </row>
    <row r="237" spans="1:4" x14ac:dyDescent="0.3">
      <c r="A237" s="242" t="s">
        <v>8761</v>
      </c>
      <c r="B237" s="242" t="s">
        <v>15198</v>
      </c>
      <c r="C237" s="242" t="s">
        <v>8760</v>
      </c>
      <c r="D237" s="251">
        <v>49.33</v>
      </c>
    </row>
    <row r="238" spans="1:4" x14ac:dyDescent="0.3">
      <c r="A238" s="242" t="s">
        <v>8764</v>
      </c>
      <c r="B238" s="242" t="s">
        <v>15199</v>
      </c>
      <c r="C238" s="242" t="s">
        <v>8763</v>
      </c>
      <c r="D238" s="251">
        <v>49.33</v>
      </c>
    </row>
    <row r="239" spans="1:4" x14ac:dyDescent="0.3">
      <c r="A239" s="242" t="s">
        <v>8641</v>
      </c>
      <c r="B239" s="242" t="s">
        <v>15200</v>
      </c>
      <c r="C239" s="242" t="s">
        <v>8640</v>
      </c>
      <c r="D239" s="251">
        <v>99.33</v>
      </c>
    </row>
    <row r="240" spans="1:4" x14ac:dyDescent="0.3">
      <c r="A240" s="242" t="s">
        <v>8644</v>
      </c>
      <c r="B240" s="242" t="s">
        <v>15201</v>
      </c>
      <c r="C240" s="242" t="s">
        <v>8643</v>
      </c>
      <c r="D240" s="251">
        <v>99.33</v>
      </c>
    </row>
    <row r="241" spans="1:4" x14ac:dyDescent="0.3">
      <c r="A241" s="242" t="s">
        <v>8647</v>
      </c>
      <c r="B241" s="242" t="s">
        <v>15202</v>
      </c>
      <c r="C241" s="242" t="s">
        <v>8646</v>
      </c>
      <c r="D241" s="251">
        <v>106</v>
      </c>
    </row>
    <row r="242" spans="1:4" x14ac:dyDescent="0.3">
      <c r="A242" s="242" t="s">
        <v>8650</v>
      </c>
      <c r="B242" s="242" t="s">
        <v>15203</v>
      </c>
      <c r="C242" s="242" t="s">
        <v>8649</v>
      </c>
      <c r="D242" s="251">
        <v>99.33</v>
      </c>
    </row>
    <row r="243" spans="1:4" x14ac:dyDescent="0.3">
      <c r="A243" s="242" t="s">
        <v>8656</v>
      </c>
      <c r="B243" s="242" t="s">
        <v>15204</v>
      </c>
      <c r="C243" s="242" t="s">
        <v>8655</v>
      </c>
      <c r="D243" s="251">
        <v>99.33</v>
      </c>
    </row>
    <row r="244" spans="1:4" x14ac:dyDescent="0.3">
      <c r="A244" s="242" t="s">
        <v>8662</v>
      </c>
      <c r="B244" s="242" t="s">
        <v>15205</v>
      </c>
      <c r="C244" s="242" t="s">
        <v>8661</v>
      </c>
      <c r="D244" s="251">
        <v>99.33</v>
      </c>
    </row>
    <row r="245" spans="1:4" x14ac:dyDescent="0.3">
      <c r="A245" s="242" t="s">
        <v>8665</v>
      </c>
      <c r="B245" s="242" t="s">
        <v>15206</v>
      </c>
      <c r="C245" s="242" t="s">
        <v>8664</v>
      </c>
      <c r="D245" s="251">
        <v>99.33</v>
      </c>
    </row>
    <row r="246" spans="1:4" x14ac:dyDescent="0.3">
      <c r="A246" s="242" t="s">
        <v>8668</v>
      </c>
      <c r="B246" s="242" t="s">
        <v>15207</v>
      </c>
      <c r="C246" s="242" t="s">
        <v>8667</v>
      </c>
      <c r="D246" s="251">
        <v>99.33</v>
      </c>
    </row>
    <row r="247" spans="1:4" x14ac:dyDescent="0.3">
      <c r="A247" s="242" t="s">
        <v>8671</v>
      </c>
      <c r="B247" s="242" t="s">
        <v>15208</v>
      </c>
      <c r="C247" s="242" t="s">
        <v>8670</v>
      </c>
      <c r="D247" s="251">
        <v>99.33</v>
      </c>
    </row>
    <row r="248" spans="1:4" x14ac:dyDescent="0.3">
      <c r="A248" s="242" t="s">
        <v>8674</v>
      </c>
      <c r="B248" s="242" t="s">
        <v>15209</v>
      </c>
      <c r="C248" s="242" t="s">
        <v>8673</v>
      </c>
      <c r="D248" s="251">
        <v>99.33</v>
      </c>
    </row>
    <row r="249" spans="1:4" x14ac:dyDescent="0.3">
      <c r="A249" s="242" t="s">
        <v>8677</v>
      </c>
      <c r="B249" s="242" t="s">
        <v>15210</v>
      </c>
      <c r="C249" s="242" t="s">
        <v>8676</v>
      </c>
      <c r="D249" s="251">
        <v>99.33</v>
      </c>
    </row>
    <row r="250" spans="1:4" x14ac:dyDescent="0.3">
      <c r="A250" s="242" t="s">
        <v>8680</v>
      </c>
      <c r="B250" s="242" t="s">
        <v>15211</v>
      </c>
      <c r="C250" s="242" t="s">
        <v>8679</v>
      </c>
      <c r="D250" s="251">
        <v>51.33</v>
      </c>
    </row>
    <row r="251" spans="1:4" x14ac:dyDescent="0.3">
      <c r="A251" s="242" t="s">
        <v>8683</v>
      </c>
      <c r="B251" s="242" t="s">
        <v>15212</v>
      </c>
      <c r="C251" s="242" t="s">
        <v>8682</v>
      </c>
      <c r="D251" s="251">
        <v>51.33</v>
      </c>
    </row>
    <row r="252" spans="1:4" x14ac:dyDescent="0.3">
      <c r="A252" s="242" t="s">
        <v>8686</v>
      </c>
      <c r="B252" s="242" t="s">
        <v>15213</v>
      </c>
      <c r="C252" s="242" t="s">
        <v>8685</v>
      </c>
      <c r="D252" s="251">
        <v>51.33</v>
      </c>
    </row>
    <row r="253" spans="1:4" x14ac:dyDescent="0.3">
      <c r="A253" s="242" t="s">
        <v>8689</v>
      </c>
      <c r="B253" s="242" t="s">
        <v>15214</v>
      </c>
      <c r="C253" s="242" t="s">
        <v>8688</v>
      </c>
      <c r="D253" s="251">
        <v>51.33</v>
      </c>
    </row>
    <row r="254" spans="1:4" x14ac:dyDescent="0.3">
      <c r="A254" s="242" t="s">
        <v>8695</v>
      </c>
      <c r="B254" s="242" t="s">
        <v>15215</v>
      </c>
      <c r="C254" s="242" t="s">
        <v>8694</v>
      </c>
      <c r="D254" s="251">
        <v>51.33</v>
      </c>
    </row>
    <row r="255" spans="1:4" x14ac:dyDescent="0.3">
      <c r="A255" s="242" t="s">
        <v>8701</v>
      </c>
      <c r="B255" s="242" t="s">
        <v>15216</v>
      </c>
      <c r="C255" s="242" t="s">
        <v>8700</v>
      </c>
      <c r="D255" s="251">
        <v>51.33</v>
      </c>
    </row>
    <row r="256" spans="1:4" x14ac:dyDescent="0.3">
      <c r="A256" s="242" t="s">
        <v>8704</v>
      </c>
      <c r="B256" s="242" t="s">
        <v>15217</v>
      </c>
      <c r="C256" s="242" t="s">
        <v>8703</v>
      </c>
      <c r="D256" s="251">
        <v>51.33</v>
      </c>
    </row>
    <row r="257" spans="1:4" x14ac:dyDescent="0.3">
      <c r="A257" s="242" t="s">
        <v>8707</v>
      </c>
      <c r="B257" s="242" t="s">
        <v>15218</v>
      </c>
      <c r="C257" s="242" t="s">
        <v>8706</v>
      </c>
      <c r="D257" s="251">
        <v>51.33</v>
      </c>
    </row>
    <row r="258" spans="1:4" x14ac:dyDescent="0.3">
      <c r="A258" s="242" t="s">
        <v>8710</v>
      </c>
      <c r="B258" s="242" t="s">
        <v>15219</v>
      </c>
      <c r="C258" s="242" t="s">
        <v>8709</v>
      </c>
      <c r="D258" s="251">
        <v>51.33</v>
      </c>
    </row>
    <row r="259" spans="1:4" x14ac:dyDescent="0.3">
      <c r="A259" s="242" t="s">
        <v>8713</v>
      </c>
      <c r="B259" s="242" t="s">
        <v>15220</v>
      </c>
      <c r="C259" s="242" t="s">
        <v>8712</v>
      </c>
      <c r="D259" s="251">
        <v>51.33</v>
      </c>
    </row>
    <row r="260" spans="1:4" x14ac:dyDescent="0.3">
      <c r="A260" s="242" t="s">
        <v>8716</v>
      </c>
      <c r="B260" s="242" t="s">
        <v>15221</v>
      </c>
      <c r="C260" s="242" t="s">
        <v>8715</v>
      </c>
      <c r="D260" s="251">
        <v>51.33</v>
      </c>
    </row>
    <row r="261" spans="1:4" x14ac:dyDescent="0.3">
      <c r="A261" s="242" t="s">
        <v>8728</v>
      </c>
      <c r="B261" s="242" t="s">
        <v>15222</v>
      </c>
      <c r="C261" s="242" t="s">
        <v>8727</v>
      </c>
      <c r="D261" s="251">
        <v>33.99</v>
      </c>
    </row>
    <row r="262" spans="1:4" x14ac:dyDescent="0.3">
      <c r="A262" s="242" t="s">
        <v>8770</v>
      </c>
      <c r="B262" s="242" t="s">
        <v>15223</v>
      </c>
      <c r="C262" s="242" t="s">
        <v>8769</v>
      </c>
      <c r="D262" s="251">
        <v>48.66</v>
      </c>
    </row>
    <row r="263" spans="1:4" x14ac:dyDescent="0.3">
      <c r="A263" s="242" t="s">
        <v>8773</v>
      </c>
      <c r="B263" s="242" t="s">
        <v>15224</v>
      </c>
      <c r="C263" s="242" t="s">
        <v>8772</v>
      </c>
      <c r="D263" s="251">
        <v>48.66</v>
      </c>
    </row>
    <row r="264" spans="1:4" x14ac:dyDescent="0.3">
      <c r="A264" s="242" t="s">
        <v>8776</v>
      </c>
      <c r="B264" s="242" t="s">
        <v>15225</v>
      </c>
      <c r="C264" s="242" t="s">
        <v>8775</v>
      </c>
      <c r="D264" s="251">
        <v>48.66</v>
      </c>
    </row>
    <row r="265" spans="1:4" x14ac:dyDescent="0.3">
      <c r="A265" s="242" t="s">
        <v>8779</v>
      </c>
      <c r="B265" s="242" t="s">
        <v>15226</v>
      </c>
      <c r="C265" s="242" t="s">
        <v>8778</v>
      </c>
      <c r="D265" s="251">
        <v>48.66</v>
      </c>
    </row>
    <row r="266" spans="1:4" x14ac:dyDescent="0.3">
      <c r="A266" s="242" t="s">
        <v>8782</v>
      </c>
      <c r="B266" s="242" t="s">
        <v>15227</v>
      </c>
      <c r="C266" s="242" t="s">
        <v>8781</v>
      </c>
      <c r="D266" s="251">
        <v>48.66</v>
      </c>
    </row>
    <row r="267" spans="1:4" x14ac:dyDescent="0.3">
      <c r="A267" s="242" t="s">
        <v>8785</v>
      </c>
      <c r="B267" s="242" t="s">
        <v>15228</v>
      </c>
      <c r="C267" s="242" t="s">
        <v>8784</v>
      </c>
      <c r="D267" s="251">
        <v>48.66</v>
      </c>
    </row>
    <row r="268" spans="1:4" x14ac:dyDescent="0.3">
      <c r="A268" s="242" t="s">
        <v>8791</v>
      </c>
      <c r="B268" s="242" t="s">
        <v>15229</v>
      </c>
      <c r="C268" s="242" t="s">
        <v>8790</v>
      </c>
      <c r="D268" s="251">
        <v>48.66</v>
      </c>
    </row>
    <row r="269" spans="1:4" x14ac:dyDescent="0.3">
      <c r="A269" s="242" t="s">
        <v>8794</v>
      </c>
      <c r="B269" s="242" t="s">
        <v>15230</v>
      </c>
      <c r="C269" s="242" t="s">
        <v>8793</v>
      </c>
      <c r="D269" s="251">
        <v>48.66</v>
      </c>
    </row>
    <row r="270" spans="1:4" x14ac:dyDescent="0.3">
      <c r="A270" s="242" t="s">
        <v>8797</v>
      </c>
      <c r="B270" s="242" t="s">
        <v>15231</v>
      </c>
      <c r="C270" s="242" t="s">
        <v>8796</v>
      </c>
      <c r="D270" s="251">
        <v>48.66</v>
      </c>
    </row>
    <row r="271" spans="1:4" x14ac:dyDescent="0.3">
      <c r="A271" s="242" t="s">
        <v>8800</v>
      </c>
      <c r="B271" s="242" t="s">
        <v>15232</v>
      </c>
      <c r="C271" s="242" t="s">
        <v>8799</v>
      </c>
      <c r="D271" s="251">
        <v>48.66</v>
      </c>
    </row>
    <row r="272" spans="1:4" x14ac:dyDescent="0.3">
      <c r="A272" s="242" t="s">
        <v>8803</v>
      </c>
      <c r="B272" s="242" t="s">
        <v>15233</v>
      </c>
      <c r="C272" s="242" t="s">
        <v>8802</v>
      </c>
      <c r="D272" s="251">
        <v>48.66</v>
      </c>
    </row>
    <row r="273" spans="1:4" x14ac:dyDescent="0.3">
      <c r="A273" s="242" t="s">
        <v>8806</v>
      </c>
      <c r="B273" s="242" t="s">
        <v>15234</v>
      </c>
      <c r="C273" s="242" t="s">
        <v>8805</v>
      </c>
      <c r="D273" s="251">
        <v>48.66</v>
      </c>
    </row>
    <row r="274" spans="1:4" x14ac:dyDescent="0.3">
      <c r="A274" s="242" t="s">
        <v>8974</v>
      </c>
      <c r="B274" s="242" t="s">
        <v>8975</v>
      </c>
      <c r="C274" s="242" t="s">
        <v>8973</v>
      </c>
      <c r="D274" s="251">
        <v>8.59</v>
      </c>
    </row>
    <row r="275" spans="1:4" x14ac:dyDescent="0.3">
      <c r="A275" s="242" t="s">
        <v>15235</v>
      </c>
      <c r="B275" s="242" t="s">
        <v>15236</v>
      </c>
      <c r="C275" s="242" t="s">
        <v>15237</v>
      </c>
      <c r="D275" s="251">
        <v>126</v>
      </c>
    </row>
    <row r="276" spans="1:4" x14ac:dyDescent="0.3">
      <c r="A276" s="242" t="s">
        <v>15238</v>
      </c>
      <c r="B276" s="242" t="s">
        <v>15239</v>
      </c>
      <c r="C276" s="242" t="s">
        <v>15240</v>
      </c>
      <c r="D276" s="251">
        <v>126</v>
      </c>
    </row>
    <row r="277" spans="1:4" x14ac:dyDescent="0.3">
      <c r="A277" s="242" t="s">
        <v>15241</v>
      </c>
      <c r="B277" s="242" t="s">
        <v>15242</v>
      </c>
      <c r="C277" s="242" t="s">
        <v>15243</v>
      </c>
      <c r="D277" s="251">
        <v>126</v>
      </c>
    </row>
    <row r="278" spans="1:4" x14ac:dyDescent="0.3">
      <c r="A278" s="242" t="s">
        <v>15244</v>
      </c>
      <c r="B278" s="242" t="s">
        <v>15245</v>
      </c>
      <c r="C278" s="242" t="s">
        <v>15246</v>
      </c>
      <c r="D278" s="251">
        <v>126</v>
      </c>
    </row>
    <row r="279" spans="1:4" x14ac:dyDescent="0.3">
      <c r="A279" s="242" t="s">
        <v>5357</v>
      </c>
      <c r="B279" s="242" t="s">
        <v>15247</v>
      </c>
      <c r="C279" s="242" t="s">
        <v>5356</v>
      </c>
      <c r="D279" s="251">
        <v>39.33</v>
      </c>
    </row>
    <row r="280" spans="1:4" x14ac:dyDescent="0.3">
      <c r="A280" s="242" t="s">
        <v>8818</v>
      </c>
      <c r="B280" s="242" t="s">
        <v>15248</v>
      </c>
      <c r="C280" s="242" t="s">
        <v>8817</v>
      </c>
      <c r="D280" s="251">
        <v>15.99</v>
      </c>
    </row>
    <row r="281" spans="1:4" x14ac:dyDescent="0.3">
      <c r="A281" s="242" t="s">
        <v>5360</v>
      </c>
      <c r="B281" s="242" t="s">
        <v>15249</v>
      </c>
      <c r="C281" s="242" t="s">
        <v>5359</v>
      </c>
      <c r="D281" s="251">
        <v>72.67</v>
      </c>
    </row>
    <row r="282" spans="1:4" x14ac:dyDescent="0.3">
      <c r="A282" s="242" t="s">
        <v>5363</v>
      </c>
      <c r="B282" s="242" t="s">
        <v>15250</v>
      </c>
      <c r="C282" s="242" t="s">
        <v>5362</v>
      </c>
      <c r="D282" s="251">
        <v>72.67</v>
      </c>
    </row>
    <row r="283" spans="1:4" x14ac:dyDescent="0.3">
      <c r="A283" s="242" t="s">
        <v>5366</v>
      </c>
      <c r="B283" s="242" t="s">
        <v>15251</v>
      </c>
      <c r="C283" s="242" t="s">
        <v>5365</v>
      </c>
      <c r="D283" s="251">
        <v>72.67</v>
      </c>
    </row>
    <row r="284" spans="1:4" x14ac:dyDescent="0.3">
      <c r="A284" s="242" t="s">
        <v>10648</v>
      </c>
      <c r="B284" s="242" t="s">
        <v>15252</v>
      </c>
      <c r="C284" s="242" t="s">
        <v>10647</v>
      </c>
      <c r="D284" s="251">
        <v>29.33</v>
      </c>
    </row>
    <row r="285" spans="1:4" x14ac:dyDescent="0.3">
      <c r="A285" s="242" t="s">
        <v>10667</v>
      </c>
      <c r="B285" s="242" t="s">
        <v>15253</v>
      </c>
      <c r="C285" s="242" t="s">
        <v>10666</v>
      </c>
      <c r="D285" s="251">
        <v>29.33</v>
      </c>
    </row>
    <row r="286" spans="1:4" x14ac:dyDescent="0.3">
      <c r="A286" s="242" t="s">
        <v>10673</v>
      </c>
      <c r="B286" s="242" t="s">
        <v>15254</v>
      </c>
      <c r="C286" s="242" t="s">
        <v>10672</v>
      </c>
      <c r="D286" s="251">
        <v>43.99</v>
      </c>
    </row>
    <row r="287" spans="1:4" x14ac:dyDescent="0.3">
      <c r="A287" s="242" t="s">
        <v>2321</v>
      </c>
      <c r="B287" s="242" t="s">
        <v>15255</v>
      </c>
      <c r="C287" s="242" t="s">
        <v>2320</v>
      </c>
      <c r="D287" s="251">
        <v>51.99</v>
      </c>
    </row>
    <row r="288" spans="1:4" x14ac:dyDescent="0.3">
      <c r="A288" s="242" t="s">
        <v>10676</v>
      </c>
      <c r="B288" s="242" t="s">
        <v>15256</v>
      </c>
      <c r="C288" s="242" t="s">
        <v>10675</v>
      </c>
      <c r="D288" s="251">
        <v>7.79</v>
      </c>
    </row>
    <row r="289" spans="1:4" x14ac:dyDescent="0.3">
      <c r="A289" s="242" t="s">
        <v>5390</v>
      </c>
      <c r="B289" s="242" t="s">
        <v>15257</v>
      </c>
      <c r="C289" s="242" t="s">
        <v>5389</v>
      </c>
      <c r="D289" s="251">
        <v>28.66</v>
      </c>
    </row>
    <row r="290" spans="1:4" x14ac:dyDescent="0.3">
      <c r="A290" s="242" t="s">
        <v>8824</v>
      </c>
      <c r="B290" s="242" t="s">
        <v>15258</v>
      </c>
      <c r="C290" s="242" t="s">
        <v>8823</v>
      </c>
      <c r="D290" s="251">
        <v>8.33</v>
      </c>
    </row>
    <row r="291" spans="1:4" x14ac:dyDescent="0.3">
      <c r="A291" s="242" t="s">
        <v>8532</v>
      </c>
      <c r="B291" s="242" t="s">
        <v>15259</v>
      </c>
      <c r="C291" s="242" t="s">
        <v>8531</v>
      </c>
      <c r="D291" s="251">
        <v>49.33</v>
      </c>
    </row>
    <row r="292" spans="1:4" x14ac:dyDescent="0.3">
      <c r="A292" s="242" t="s">
        <v>8535</v>
      </c>
      <c r="B292" s="242" t="s">
        <v>15260</v>
      </c>
      <c r="C292" s="242" t="s">
        <v>8534</v>
      </c>
      <c r="D292" s="251">
        <v>49.33</v>
      </c>
    </row>
    <row r="293" spans="1:4" x14ac:dyDescent="0.3">
      <c r="A293" s="242" t="s">
        <v>10727</v>
      </c>
      <c r="B293" s="242" t="s">
        <v>15261</v>
      </c>
      <c r="C293" s="242" t="s">
        <v>10726</v>
      </c>
      <c r="D293" s="251">
        <v>50.66</v>
      </c>
    </row>
    <row r="294" spans="1:4" x14ac:dyDescent="0.3">
      <c r="A294" s="242" t="s">
        <v>15262</v>
      </c>
      <c r="B294" s="242" t="s">
        <v>15263</v>
      </c>
      <c r="C294" s="242" t="s">
        <v>15264</v>
      </c>
      <c r="D294" s="251">
        <v>28.66</v>
      </c>
    </row>
    <row r="295" spans="1:4" x14ac:dyDescent="0.3">
      <c r="A295" s="242" t="s">
        <v>15265</v>
      </c>
      <c r="B295" s="242" t="s">
        <v>15266</v>
      </c>
      <c r="C295" s="242" t="s">
        <v>15267</v>
      </c>
      <c r="D295" s="251">
        <v>92.67</v>
      </c>
    </row>
    <row r="296" spans="1:4" x14ac:dyDescent="0.3">
      <c r="A296" s="242" t="s">
        <v>15268</v>
      </c>
      <c r="B296" s="242" t="s">
        <v>15269</v>
      </c>
      <c r="C296" s="242" t="s">
        <v>15270</v>
      </c>
      <c r="D296" s="251">
        <v>19.329999999999998</v>
      </c>
    </row>
    <row r="297" spans="1:4" x14ac:dyDescent="0.3">
      <c r="A297" s="242" t="s">
        <v>10736</v>
      </c>
      <c r="B297" s="242" t="s">
        <v>15271</v>
      </c>
      <c r="C297" s="242" t="s">
        <v>10735</v>
      </c>
      <c r="D297" s="251">
        <v>19.329999999999998</v>
      </c>
    </row>
    <row r="298" spans="1:4" x14ac:dyDescent="0.3">
      <c r="A298" s="242" t="s">
        <v>15272</v>
      </c>
      <c r="B298" s="242" t="s">
        <v>15273</v>
      </c>
      <c r="C298" s="242" t="s">
        <v>15274</v>
      </c>
      <c r="D298" s="251">
        <v>92.67</v>
      </c>
    </row>
    <row r="299" spans="1:4" x14ac:dyDescent="0.3">
      <c r="A299" s="242" t="s">
        <v>15275</v>
      </c>
      <c r="B299" s="242" t="s">
        <v>15276</v>
      </c>
      <c r="C299" s="242" t="s">
        <v>15277</v>
      </c>
      <c r="D299" s="251">
        <v>39.33</v>
      </c>
    </row>
    <row r="300" spans="1:4" x14ac:dyDescent="0.3">
      <c r="A300" s="242" t="s">
        <v>15278</v>
      </c>
      <c r="B300" s="242" t="s">
        <v>15279</v>
      </c>
      <c r="C300" s="242" t="s">
        <v>15280</v>
      </c>
      <c r="D300" s="251">
        <v>51.33</v>
      </c>
    </row>
    <row r="301" spans="1:4" x14ac:dyDescent="0.3">
      <c r="A301" s="242" t="s">
        <v>15281</v>
      </c>
      <c r="B301" s="242" t="s">
        <v>15282</v>
      </c>
      <c r="C301" s="242" t="s">
        <v>15283</v>
      </c>
      <c r="D301" s="251">
        <v>99.33</v>
      </c>
    </row>
    <row r="302" spans="1:4" x14ac:dyDescent="0.3">
      <c r="A302" s="242" t="s">
        <v>15284</v>
      </c>
      <c r="B302" s="242" t="s">
        <v>15285</v>
      </c>
      <c r="C302" s="242" t="s">
        <v>15286</v>
      </c>
      <c r="D302" s="251">
        <v>15.99</v>
      </c>
    </row>
    <row r="303" spans="1:4" x14ac:dyDescent="0.3">
      <c r="A303" s="242" t="s">
        <v>11171</v>
      </c>
      <c r="B303" s="242" t="s">
        <v>15287</v>
      </c>
      <c r="C303" s="242" t="s">
        <v>11170</v>
      </c>
      <c r="D303" s="251">
        <v>12.59</v>
      </c>
    </row>
    <row r="304" spans="1:4" x14ac:dyDescent="0.3">
      <c r="A304" s="242" t="s">
        <v>11177</v>
      </c>
      <c r="B304" s="242" t="s">
        <v>15288</v>
      </c>
      <c r="C304" s="242" t="s">
        <v>11176</v>
      </c>
      <c r="D304" s="251">
        <v>15.99</v>
      </c>
    </row>
    <row r="305" spans="1:4" x14ac:dyDescent="0.3">
      <c r="A305" s="242" t="s">
        <v>11180</v>
      </c>
      <c r="B305" s="242" t="s">
        <v>15289</v>
      </c>
      <c r="C305" s="242" t="s">
        <v>11179</v>
      </c>
      <c r="D305" s="251">
        <v>9.4600000000000009</v>
      </c>
    </row>
    <row r="306" spans="1:4" x14ac:dyDescent="0.3">
      <c r="A306" s="242" t="s">
        <v>15290</v>
      </c>
      <c r="B306" s="242" t="s">
        <v>15291</v>
      </c>
      <c r="C306" s="242" t="s">
        <v>15292</v>
      </c>
      <c r="D306" s="251">
        <v>48.66</v>
      </c>
    </row>
    <row r="307" spans="1:4" x14ac:dyDescent="0.3">
      <c r="A307" s="242" t="s">
        <v>15293</v>
      </c>
      <c r="B307" s="242" t="s">
        <v>15294</v>
      </c>
      <c r="C307" s="242" t="s">
        <v>15295</v>
      </c>
      <c r="D307" s="251">
        <v>51.33</v>
      </c>
    </row>
    <row r="308" spans="1:4" x14ac:dyDescent="0.3">
      <c r="A308" s="242" t="s">
        <v>15296</v>
      </c>
      <c r="B308" s="242" t="s">
        <v>15297</v>
      </c>
      <c r="C308" s="242" t="s">
        <v>15298</v>
      </c>
      <c r="D308" s="251">
        <v>99.33</v>
      </c>
    </row>
    <row r="309" spans="1:4" x14ac:dyDescent="0.3">
      <c r="A309" s="242" t="s">
        <v>15299</v>
      </c>
      <c r="B309" s="242" t="s">
        <v>15300</v>
      </c>
      <c r="C309" s="242" t="s">
        <v>15301</v>
      </c>
      <c r="D309" s="251">
        <v>49.33</v>
      </c>
    </row>
    <row r="310" spans="1:4" x14ac:dyDescent="0.3">
      <c r="A310" s="242" t="s">
        <v>11234</v>
      </c>
      <c r="B310" s="242" t="s">
        <v>15302</v>
      </c>
      <c r="C310" s="242" t="s">
        <v>11233</v>
      </c>
      <c r="D310" s="251">
        <v>25.33</v>
      </c>
    </row>
    <row r="311" spans="1:4" x14ac:dyDescent="0.3">
      <c r="A311" s="242" t="s">
        <v>11305</v>
      </c>
      <c r="B311" s="242" t="s">
        <v>15303</v>
      </c>
      <c r="C311" s="242" t="s">
        <v>11304</v>
      </c>
      <c r="D311" s="251">
        <v>6.93</v>
      </c>
    </row>
    <row r="312" spans="1:4" x14ac:dyDescent="0.3">
      <c r="A312" s="242" t="s">
        <v>11329</v>
      </c>
      <c r="B312" s="242" t="s">
        <v>15304</v>
      </c>
      <c r="C312" s="242" t="s">
        <v>11328</v>
      </c>
      <c r="D312" s="251">
        <v>19.329999999999998</v>
      </c>
    </row>
    <row r="313" spans="1:4" x14ac:dyDescent="0.3">
      <c r="A313" s="242" t="s">
        <v>11383</v>
      </c>
      <c r="B313" s="242" t="s">
        <v>15305</v>
      </c>
      <c r="C313" s="242" t="s">
        <v>11382</v>
      </c>
      <c r="D313" s="251">
        <v>61.33</v>
      </c>
    </row>
    <row r="314" spans="1:4" x14ac:dyDescent="0.3">
      <c r="A314" s="242" t="s">
        <v>11391</v>
      </c>
      <c r="B314" s="242" t="s">
        <v>15306</v>
      </c>
      <c r="C314" s="242" t="s">
        <v>11390</v>
      </c>
      <c r="D314" s="251">
        <v>51.99</v>
      </c>
    </row>
    <row r="315" spans="1:4" x14ac:dyDescent="0.3">
      <c r="A315" s="242" t="s">
        <v>11449</v>
      </c>
      <c r="B315" s="242" t="s">
        <v>15307</v>
      </c>
      <c r="C315" s="242" t="s">
        <v>11448</v>
      </c>
      <c r="D315" s="251">
        <v>15.99</v>
      </c>
    </row>
    <row r="316" spans="1:4" x14ac:dyDescent="0.3">
      <c r="A316" s="242" t="s">
        <v>11452</v>
      </c>
      <c r="B316" s="242" t="s">
        <v>15308</v>
      </c>
      <c r="C316" s="242" t="s">
        <v>11451</v>
      </c>
      <c r="D316" s="251">
        <v>9.4600000000000009</v>
      </c>
    </row>
    <row r="317" spans="1:4" x14ac:dyDescent="0.3">
      <c r="A317" s="242" t="s">
        <v>15309</v>
      </c>
      <c r="B317" s="242" t="s">
        <v>15310</v>
      </c>
      <c r="C317" s="242" t="s">
        <v>15311</v>
      </c>
      <c r="D317" s="251">
        <v>16.66</v>
      </c>
    </row>
    <row r="318" spans="1:4" x14ac:dyDescent="0.3">
      <c r="A318" s="242" t="s">
        <v>11555</v>
      </c>
      <c r="B318" s="242" t="s">
        <v>15312</v>
      </c>
      <c r="C318" s="242" t="s">
        <v>11554</v>
      </c>
      <c r="D318" s="251">
        <v>25.33</v>
      </c>
    </row>
    <row r="319" spans="1:4" x14ac:dyDescent="0.3">
      <c r="A319" s="242" t="s">
        <v>11558</v>
      </c>
      <c r="B319" s="242" t="s">
        <v>15313</v>
      </c>
      <c r="C319" s="242" t="s">
        <v>11557</v>
      </c>
      <c r="D319" s="251">
        <v>25.33</v>
      </c>
    </row>
    <row r="320" spans="1:4" x14ac:dyDescent="0.3">
      <c r="A320" s="242" t="s">
        <v>11573</v>
      </c>
      <c r="B320" s="242" t="s">
        <v>15314</v>
      </c>
      <c r="C320" s="242" t="s">
        <v>11572</v>
      </c>
      <c r="D320" s="251">
        <v>43.99</v>
      </c>
    </row>
    <row r="321" spans="1:4" x14ac:dyDescent="0.3">
      <c r="A321" s="242" t="s">
        <v>11579</v>
      </c>
      <c r="B321" s="242" t="s">
        <v>15315</v>
      </c>
      <c r="C321" s="242" t="s">
        <v>11578</v>
      </c>
      <c r="D321" s="251">
        <v>57.33</v>
      </c>
    </row>
    <row r="322" spans="1:4" x14ac:dyDescent="0.3">
      <c r="A322" s="242" t="s">
        <v>11582</v>
      </c>
      <c r="B322" s="242" t="s">
        <v>15316</v>
      </c>
      <c r="C322" s="242" t="s">
        <v>11581</v>
      </c>
      <c r="D322" s="251">
        <v>57.33</v>
      </c>
    </row>
    <row r="323" spans="1:4" x14ac:dyDescent="0.3">
      <c r="A323" s="242" t="s">
        <v>11591</v>
      </c>
      <c r="B323" s="242" t="s">
        <v>15317</v>
      </c>
      <c r="C323" s="242" t="s">
        <v>11590</v>
      </c>
      <c r="D323" s="251">
        <v>51.99</v>
      </c>
    </row>
    <row r="324" spans="1:4" x14ac:dyDescent="0.3">
      <c r="A324" s="242" t="s">
        <v>11594</v>
      </c>
      <c r="B324" s="242" t="s">
        <v>15318</v>
      </c>
      <c r="C324" s="242" t="s">
        <v>11593</v>
      </c>
      <c r="D324" s="251">
        <v>51.99</v>
      </c>
    </row>
    <row r="325" spans="1:4" x14ac:dyDescent="0.3">
      <c r="A325" s="242" t="s">
        <v>11619</v>
      </c>
      <c r="B325" s="242" t="s">
        <v>15319</v>
      </c>
      <c r="C325" s="242" t="s">
        <v>11618</v>
      </c>
      <c r="D325" s="251">
        <v>27.33</v>
      </c>
    </row>
    <row r="326" spans="1:4" x14ac:dyDescent="0.3">
      <c r="A326" s="242" t="s">
        <v>11642</v>
      </c>
      <c r="B326" s="242" t="s">
        <v>15320</v>
      </c>
      <c r="C326" s="242" t="s">
        <v>11641</v>
      </c>
      <c r="D326" s="251">
        <v>21.33</v>
      </c>
    </row>
    <row r="327" spans="1:4" x14ac:dyDescent="0.3">
      <c r="A327" s="242" t="s">
        <v>8848</v>
      </c>
      <c r="B327" s="242" t="s">
        <v>15321</v>
      </c>
      <c r="C327" s="242" t="s">
        <v>8847</v>
      </c>
      <c r="D327" s="251">
        <v>15.33</v>
      </c>
    </row>
    <row r="328" spans="1:4" x14ac:dyDescent="0.3">
      <c r="A328" s="242" t="s">
        <v>8851</v>
      </c>
      <c r="B328" s="242" t="s">
        <v>15322</v>
      </c>
      <c r="C328" s="242" t="s">
        <v>8850</v>
      </c>
      <c r="D328" s="251">
        <v>29.33</v>
      </c>
    </row>
    <row r="329" spans="1:4" x14ac:dyDescent="0.3">
      <c r="A329" s="242" t="s">
        <v>8854</v>
      </c>
      <c r="B329" s="242" t="s">
        <v>15323</v>
      </c>
      <c r="C329" s="242" t="s">
        <v>8853</v>
      </c>
      <c r="D329" s="251">
        <v>92.67</v>
      </c>
    </row>
    <row r="330" spans="1:4" x14ac:dyDescent="0.3">
      <c r="A330" s="242" t="s">
        <v>8857</v>
      </c>
      <c r="B330" s="242" t="s">
        <v>15324</v>
      </c>
      <c r="C330" s="242" t="s">
        <v>8856</v>
      </c>
      <c r="D330" s="251">
        <v>19.329999999999998</v>
      </c>
    </row>
    <row r="331" spans="1:4" x14ac:dyDescent="0.3">
      <c r="A331" s="242" t="s">
        <v>8860</v>
      </c>
      <c r="B331" s="242" t="s">
        <v>15325</v>
      </c>
      <c r="C331" s="242" t="s">
        <v>8859</v>
      </c>
      <c r="D331" s="251">
        <v>8.99</v>
      </c>
    </row>
    <row r="332" spans="1:4" x14ac:dyDescent="0.3">
      <c r="A332" s="242" t="s">
        <v>8863</v>
      </c>
      <c r="B332" s="242" t="s">
        <v>15326</v>
      </c>
      <c r="C332" s="242" t="s">
        <v>8862</v>
      </c>
      <c r="D332" s="251">
        <v>19.329999999999998</v>
      </c>
    </row>
    <row r="333" spans="1:4" x14ac:dyDescent="0.3">
      <c r="A333" s="242" t="s">
        <v>8866</v>
      </c>
      <c r="B333" s="242" t="s">
        <v>15327</v>
      </c>
      <c r="C333" s="242" t="s">
        <v>8865</v>
      </c>
      <c r="D333" s="251">
        <v>8.99</v>
      </c>
    </row>
    <row r="334" spans="1:4" x14ac:dyDescent="0.3">
      <c r="A334" s="242" t="s">
        <v>8998</v>
      </c>
      <c r="B334" s="242" t="s">
        <v>15328</v>
      </c>
      <c r="C334" s="242" t="s">
        <v>8997</v>
      </c>
      <c r="D334" s="251">
        <v>752.67</v>
      </c>
    </row>
    <row r="335" spans="1:4" x14ac:dyDescent="0.3">
      <c r="A335" s="242" t="s">
        <v>9004</v>
      </c>
      <c r="B335" s="242" t="s">
        <v>15329</v>
      </c>
      <c r="C335" s="242" t="s">
        <v>9003</v>
      </c>
      <c r="D335" s="251">
        <v>43.99</v>
      </c>
    </row>
    <row r="336" spans="1:4" x14ac:dyDescent="0.3">
      <c r="A336" s="242" t="s">
        <v>9007</v>
      </c>
      <c r="B336" s="242" t="s">
        <v>15330</v>
      </c>
      <c r="C336" s="242" t="s">
        <v>9006</v>
      </c>
      <c r="D336" s="251">
        <v>52.66</v>
      </c>
    </row>
    <row r="337" spans="1:4" x14ac:dyDescent="0.3">
      <c r="A337" s="242" t="s">
        <v>9016</v>
      </c>
      <c r="B337" s="242" t="s">
        <v>15331</v>
      </c>
      <c r="C337" s="242" t="s">
        <v>9015</v>
      </c>
      <c r="D337" s="251">
        <v>72.67</v>
      </c>
    </row>
    <row r="338" spans="1:4" x14ac:dyDescent="0.3">
      <c r="A338" s="242" t="s">
        <v>9019</v>
      </c>
      <c r="B338" s="242" t="s">
        <v>15332</v>
      </c>
      <c r="C338" s="242" t="s">
        <v>9018</v>
      </c>
      <c r="D338" s="251">
        <v>72.67</v>
      </c>
    </row>
    <row r="339" spans="1:4" x14ac:dyDescent="0.3">
      <c r="A339" s="242" t="s">
        <v>9022</v>
      </c>
      <c r="B339" s="242" t="s">
        <v>15333</v>
      </c>
      <c r="C339" s="242" t="s">
        <v>9021</v>
      </c>
      <c r="D339" s="251">
        <v>106</v>
      </c>
    </row>
    <row r="340" spans="1:4" x14ac:dyDescent="0.3">
      <c r="A340" s="242" t="s">
        <v>10001</v>
      </c>
      <c r="B340" s="242" t="s">
        <v>15334</v>
      </c>
      <c r="C340" s="242" t="s">
        <v>10000</v>
      </c>
      <c r="D340" s="251">
        <v>51.33</v>
      </c>
    </row>
    <row r="341" spans="1:4" x14ac:dyDescent="0.3">
      <c r="A341" s="242" t="s">
        <v>5100</v>
      </c>
      <c r="B341" s="242" t="s">
        <v>15335</v>
      </c>
      <c r="C341" s="242" t="s">
        <v>5099</v>
      </c>
      <c r="D341" s="251">
        <v>29.33</v>
      </c>
    </row>
    <row r="342" spans="1:4" x14ac:dyDescent="0.3">
      <c r="A342" s="242" t="s">
        <v>9035</v>
      </c>
      <c r="B342" s="242" t="s">
        <v>9036</v>
      </c>
      <c r="C342" s="242" t="s">
        <v>9034</v>
      </c>
      <c r="D342" s="251">
        <v>22.66</v>
      </c>
    </row>
    <row r="343" spans="1:4" x14ac:dyDescent="0.3">
      <c r="A343" s="242" t="s">
        <v>10004</v>
      </c>
      <c r="B343" s="242" t="s">
        <v>15336</v>
      </c>
      <c r="C343" s="242" t="s">
        <v>10003</v>
      </c>
      <c r="D343" s="251">
        <v>18.66</v>
      </c>
    </row>
    <row r="344" spans="1:4" x14ac:dyDescent="0.3">
      <c r="A344" s="242" t="s">
        <v>5121</v>
      </c>
      <c r="B344" s="242" t="s">
        <v>15337</v>
      </c>
      <c r="C344" s="242" t="s">
        <v>5120</v>
      </c>
      <c r="D344" s="251">
        <v>47.33</v>
      </c>
    </row>
    <row r="345" spans="1:4" x14ac:dyDescent="0.3">
      <c r="A345" s="242" t="s">
        <v>10007</v>
      </c>
      <c r="B345" s="242" t="s">
        <v>15338</v>
      </c>
      <c r="C345" s="242" t="s">
        <v>10006</v>
      </c>
      <c r="D345" s="251">
        <v>52.66</v>
      </c>
    </row>
    <row r="346" spans="1:4" x14ac:dyDescent="0.3">
      <c r="A346" s="242" t="s">
        <v>5124</v>
      </c>
      <c r="B346" s="242" t="s">
        <v>15339</v>
      </c>
      <c r="C346" s="242" t="s">
        <v>5123</v>
      </c>
      <c r="D346" s="251">
        <v>39.33</v>
      </c>
    </row>
    <row r="347" spans="1:4" x14ac:dyDescent="0.3">
      <c r="A347" s="242" t="s">
        <v>5369</v>
      </c>
      <c r="B347" s="242" t="s">
        <v>15340</v>
      </c>
      <c r="C347" s="242" t="s">
        <v>5368</v>
      </c>
      <c r="D347" s="251">
        <v>106</v>
      </c>
    </row>
    <row r="348" spans="1:4" x14ac:dyDescent="0.3">
      <c r="A348" s="242" t="s">
        <v>5372</v>
      </c>
      <c r="B348" s="242" t="s">
        <v>15341</v>
      </c>
      <c r="C348" s="242" t="s">
        <v>5371</v>
      </c>
      <c r="D348" s="251">
        <v>106</v>
      </c>
    </row>
    <row r="349" spans="1:4" x14ac:dyDescent="0.3">
      <c r="A349" s="242" t="s">
        <v>9038</v>
      </c>
      <c r="B349" s="242" t="s">
        <v>15342</v>
      </c>
      <c r="C349" s="242" t="s">
        <v>9037</v>
      </c>
      <c r="D349" s="251">
        <v>39.33</v>
      </c>
    </row>
    <row r="350" spans="1:4" x14ac:dyDescent="0.3">
      <c r="A350" s="242" t="s">
        <v>9041</v>
      </c>
      <c r="B350" s="242" t="s">
        <v>15343</v>
      </c>
      <c r="C350" s="242" t="s">
        <v>9040</v>
      </c>
      <c r="D350" s="251">
        <v>28.66</v>
      </c>
    </row>
    <row r="351" spans="1:4" x14ac:dyDescent="0.3">
      <c r="A351" s="242" t="s">
        <v>5136</v>
      </c>
      <c r="B351" s="242" t="s">
        <v>15344</v>
      </c>
      <c r="C351" s="242" t="s">
        <v>5135</v>
      </c>
      <c r="D351" s="251">
        <v>39.33</v>
      </c>
    </row>
    <row r="352" spans="1:4" x14ac:dyDescent="0.3">
      <c r="A352" s="242" t="s">
        <v>9047</v>
      </c>
      <c r="B352" s="242" t="s">
        <v>15345</v>
      </c>
      <c r="C352" s="242" t="s">
        <v>9046</v>
      </c>
      <c r="D352" s="251">
        <v>72.67</v>
      </c>
    </row>
    <row r="353" spans="1:4" x14ac:dyDescent="0.3">
      <c r="A353" s="242" t="s">
        <v>9050</v>
      </c>
      <c r="B353" s="242" t="s">
        <v>15346</v>
      </c>
      <c r="C353" s="242" t="s">
        <v>9049</v>
      </c>
      <c r="D353" s="251">
        <v>45.33</v>
      </c>
    </row>
    <row r="354" spans="1:4" x14ac:dyDescent="0.3">
      <c r="A354" s="242" t="s">
        <v>9053</v>
      </c>
      <c r="B354" s="242" t="s">
        <v>15347</v>
      </c>
      <c r="C354" s="242" t="s">
        <v>9052</v>
      </c>
      <c r="D354" s="251">
        <v>52.66</v>
      </c>
    </row>
    <row r="355" spans="1:4" x14ac:dyDescent="0.3">
      <c r="A355" s="242" t="s">
        <v>5147</v>
      </c>
      <c r="B355" s="242" t="s">
        <v>15348</v>
      </c>
      <c r="C355" s="242" t="s">
        <v>5146</v>
      </c>
      <c r="D355" s="251">
        <v>72.67</v>
      </c>
    </row>
    <row r="356" spans="1:4" x14ac:dyDescent="0.3">
      <c r="A356" s="242" t="s">
        <v>9056</v>
      </c>
      <c r="B356" s="242" t="s">
        <v>15349</v>
      </c>
      <c r="C356" s="242" t="s">
        <v>9055</v>
      </c>
      <c r="D356" s="251">
        <v>15.33</v>
      </c>
    </row>
    <row r="357" spans="1:4" x14ac:dyDescent="0.3">
      <c r="A357" s="242" t="s">
        <v>9059</v>
      </c>
      <c r="B357" s="242" t="s">
        <v>15350</v>
      </c>
      <c r="C357" s="242" t="s">
        <v>9058</v>
      </c>
      <c r="D357" s="251">
        <v>92.67</v>
      </c>
    </row>
    <row r="358" spans="1:4" x14ac:dyDescent="0.3">
      <c r="A358" s="242" t="s">
        <v>9062</v>
      </c>
      <c r="B358" s="242" t="s">
        <v>15351</v>
      </c>
      <c r="C358" s="242" t="s">
        <v>9061</v>
      </c>
      <c r="D358" s="251">
        <v>92.67</v>
      </c>
    </row>
    <row r="359" spans="1:4" x14ac:dyDescent="0.3">
      <c r="A359" s="242" t="s">
        <v>9065</v>
      </c>
      <c r="B359" s="242" t="s">
        <v>15352</v>
      </c>
      <c r="C359" s="242" t="s">
        <v>9064</v>
      </c>
      <c r="D359" s="251">
        <v>72.67</v>
      </c>
    </row>
    <row r="360" spans="1:4" x14ac:dyDescent="0.3">
      <c r="A360" s="242" t="s">
        <v>5162</v>
      </c>
      <c r="B360" s="242" t="s">
        <v>15353</v>
      </c>
      <c r="C360" s="242" t="s">
        <v>5161</v>
      </c>
      <c r="D360" s="251">
        <v>63.33</v>
      </c>
    </row>
    <row r="361" spans="1:4" x14ac:dyDescent="0.3">
      <c r="A361" s="242" t="s">
        <v>9068</v>
      </c>
      <c r="B361" s="242" t="s">
        <v>15354</v>
      </c>
      <c r="C361" s="242" t="s">
        <v>9067</v>
      </c>
      <c r="D361" s="251">
        <v>72.67</v>
      </c>
    </row>
    <row r="362" spans="1:4" x14ac:dyDescent="0.3">
      <c r="A362" s="242" t="s">
        <v>9071</v>
      </c>
      <c r="B362" s="242" t="s">
        <v>15355</v>
      </c>
      <c r="C362" s="242" t="s">
        <v>9070</v>
      </c>
      <c r="D362" s="251">
        <v>58.66</v>
      </c>
    </row>
    <row r="363" spans="1:4" x14ac:dyDescent="0.3">
      <c r="A363" s="242" t="s">
        <v>9077</v>
      </c>
      <c r="B363" s="242" t="s">
        <v>15356</v>
      </c>
      <c r="C363" s="242" t="s">
        <v>9076</v>
      </c>
      <c r="D363" s="251">
        <v>58.66</v>
      </c>
    </row>
    <row r="364" spans="1:4" x14ac:dyDescent="0.3">
      <c r="A364" s="242" t="s">
        <v>9083</v>
      </c>
      <c r="B364" s="242" t="s">
        <v>15357</v>
      </c>
      <c r="C364" s="242" t="s">
        <v>9082</v>
      </c>
      <c r="D364" s="251">
        <v>29.99</v>
      </c>
    </row>
    <row r="365" spans="1:4" x14ac:dyDescent="0.3">
      <c r="A365" s="242" t="s">
        <v>5375</v>
      </c>
      <c r="B365" s="242" t="s">
        <v>15358</v>
      </c>
      <c r="C365" s="242" t="s">
        <v>5374</v>
      </c>
      <c r="D365" s="251">
        <v>92.67</v>
      </c>
    </row>
    <row r="366" spans="1:4" x14ac:dyDescent="0.3">
      <c r="A366" s="242" t="s">
        <v>9086</v>
      </c>
      <c r="B366" s="242" t="s">
        <v>15359</v>
      </c>
      <c r="C366" s="242" t="s">
        <v>9085</v>
      </c>
      <c r="D366" s="251">
        <v>52.66</v>
      </c>
    </row>
    <row r="367" spans="1:4" x14ac:dyDescent="0.3">
      <c r="A367" s="242" t="s">
        <v>15360</v>
      </c>
      <c r="B367" s="242" t="s">
        <v>15361</v>
      </c>
      <c r="C367" s="242" t="s">
        <v>15362</v>
      </c>
      <c r="D367" s="251">
        <v>28.66</v>
      </c>
    </row>
    <row r="368" spans="1:4" x14ac:dyDescent="0.3">
      <c r="A368" s="242" t="s">
        <v>5198</v>
      </c>
      <c r="B368" s="242" t="s">
        <v>15363</v>
      </c>
      <c r="C368" s="242" t="s">
        <v>5197</v>
      </c>
      <c r="D368" s="251">
        <v>79.33</v>
      </c>
    </row>
    <row r="369" spans="1:4" x14ac:dyDescent="0.3">
      <c r="A369" s="242" t="s">
        <v>15364</v>
      </c>
      <c r="B369" s="242" t="s">
        <v>15365</v>
      </c>
      <c r="C369" s="242" t="s">
        <v>15366</v>
      </c>
      <c r="D369" s="251">
        <v>28.66</v>
      </c>
    </row>
    <row r="370" spans="1:4" x14ac:dyDescent="0.3">
      <c r="A370" s="242" t="s">
        <v>5201</v>
      </c>
      <c r="B370" s="242" t="s">
        <v>15367</v>
      </c>
      <c r="C370" s="242" t="s">
        <v>5200</v>
      </c>
      <c r="D370" s="251">
        <v>79.33</v>
      </c>
    </row>
    <row r="371" spans="1:4" x14ac:dyDescent="0.3">
      <c r="A371" s="242" t="s">
        <v>5204</v>
      </c>
      <c r="B371" s="242" t="s">
        <v>15368</v>
      </c>
      <c r="C371" s="242" t="s">
        <v>5203</v>
      </c>
      <c r="D371" s="251">
        <v>79.33</v>
      </c>
    </row>
    <row r="372" spans="1:4" x14ac:dyDescent="0.3">
      <c r="A372" s="242" t="s">
        <v>5207</v>
      </c>
      <c r="B372" s="242" t="s">
        <v>15369</v>
      </c>
      <c r="C372" s="242" t="s">
        <v>5206</v>
      </c>
      <c r="D372" s="251">
        <v>79.33</v>
      </c>
    </row>
    <row r="373" spans="1:4" x14ac:dyDescent="0.3">
      <c r="A373" s="242" t="s">
        <v>15370</v>
      </c>
      <c r="B373" s="242" t="s">
        <v>15371</v>
      </c>
      <c r="C373" s="242" t="s">
        <v>15372</v>
      </c>
      <c r="D373" s="251">
        <v>92.67</v>
      </c>
    </row>
    <row r="374" spans="1:4" x14ac:dyDescent="0.3">
      <c r="A374" s="242" t="s">
        <v>5210</v>
      </c>
      <c r="B374" s="242" t="s">
        <v>15373</v>
      </c>
      <c r="C374" s="242" t="s">
        <v>5209</v>
      </c>
      <c r="D374" s="251">
        <v>79.33</v>
      </c>
    </row>
    <row r="375" spans="1:4" x14ac:dyDescent="0.3">
      <c r="A375" s="242" t="s">
        <v>15374</v>
      </c>
      <c r="B375" s="242" t="s">
        <v>15375</v>
      </c>
      <c r="C375" s="242" t="s">
        <v>15376</v>
      </c>
      <c r="D375" s="251">
        <v>19.329999999999998</v>
      </c>
    </row>
    <row r="376" spans="1:4" x14ac:dyDescent="0.3">
      <c r="A376" s="242" t="s">
        <v>5213</v>
      </c>
      <c r="B376" s="242" t="s">
        <v>15377</v>
      </c>
      <c r="C376" s="242" t="s">
        <v>5212</v>
      </c>
      <c r="D376" s="251">
        <v>79.33</v>
      </c>
    </row>
    <row r="377" spans="1:4" x14ac:dyDescent="0.3">
      <c r="A377" s="242" t="s">
        <v>5216</v>
      </c>
      <c r="B377" s="242" t="s">
        <v>15378</v>
      </c>
      <c r="C377" s="242" t="s">
        <v>5215</v>
      </c>
      <c r="D377" s="251">
        <v>79.33</v>
      </c>
    </row>
    <row r="378" spans="1:4" x14ac:dyDescent="0.3">
      <c r="A378" s="242" t="s">
        <v>5219</v>
      </c>
      <c r="B378" s="242" t="s">
        <v>15379</v>
      </c>
      <c r="C378" s="242" t="s">
        <v>5218</v>
      </c>
      <c r="D378" s="251">
        <v>79.33</v>
      </c>
    </row>
    <row r="379" spans="1:4" x14ac:dyDescent="0.3">
      <c r="A379" s="242" t="s">
        <v>5222</v>
      </c>
      <c r="B379" s="242" t="s">
        <v>15380</v>
      </c>
      <c r="C379" s="242" t="s">
        <v>5221</v>
      </c>
      <c r="D379" s="251">
        <v>86</v>
      </c>
    </row>
    <row r="380" spans="1:4" x14ac:dyDescent="0.3">
      <c r="A380" s="242" t="s">
        <v>5225</v>
      </c>
      <c r="B380" s="242" t="s">
        <v>15381</v>
      </c>
      <c r="C380" s="242" t="s">
        <v>5224</v>
      </c>
      <c r="D380" s="251">
        <v>86</v>
      </c>
    </row>
    <row r="381" spans="1:4" x14ac:dyDescent="0.3">
      <c r="A381" s="242" t="s">
        <v>5228</v>
      </c>
      <c r="B381" s="242" t="s">
        <v>15382</v>
      </c>
      <c r="C381" s="242" t="s">
        <v>5227</v>
      </c>
      <c r="D381" s="251">
        <v>86</v>
      </c>
    </row>
    <row r="382" spans="1:4" x14ac:dyDescent="0.3">
      <c r="A382" s="242" t="s">
        <v>5231</v>
      </c>
      <c r="B382" s="242" t="s">
        <v>15383</v>
      </c>
      <c r="C382" s="242" t="s">
        <v>5230</v>
      </c>
      <c r="D382" s="251">
        <v>86</v>
      </c>
    </row>
    <row r="383" spans="1:4" x14ac:dyDescent="0.3">
      <c r="A383" s="242" t="s">
        <v>5234</v>
      </c>
      <c r="B383" s="242" t="s">
        <v>15384</v>
      </c>
      <c r="C383" s="242" t="s">
        <v>5233</v>
      </c>
      <c r="D383" s="251">
        <v>86</v>
      </c>
    </row>
    <row r="384" spans="1:4" x14ac:dyDescent="0.3">
      <c r="A384" s="242" t="s">
        <v>5237</v>
      </c>
      <c r="B384" s="242" t="s">
        <v>15385</v>
      </c>
      <c r="C384" s="242" t="s">
        <v>5236</v>
      </c>
      <c r="D384" s="251">
        <v>86</v>
      </c>
    </row>
    <row r="385" spans="1:4" x14ac:dyDescent="0.3">
      <c r="A385" s="242" t="s">
        <v>5240</v>
      </c>
      <c r="B385" s="242" t="s">
        <v>15386</v>
      </c>
      <c r="C385" s="242" t="s">
        <v>5239</v>
      </c>
      <c r="D385" s="251">
        <v>86</v>
      </c>
    </row>
    <row r="386" spans="1:4" x14ac:dyDescent="0.3">
      <c r="A386" s="242" t="s">
        <v>5243</v>
      </c>
      <c r="B386" s="242" t="s">
        <v>15387</v>
      </c>
      <c r="C386" s="242" t="s">
        <v>5242</v>
      </c>
      <c r="D386" s="251">
        <v>86</v>
      </c>
    </row>
    <row r="387" spans="1:4" x14ac:dyDescent="0.3">
      <c r="A387" s="242" t="s">
        <v>5246</v>
      </c>
      <c r="B387" s="242" t="s">
        <v>15388</v>
      </c>
      <c r="C387" s="242" t="s">
        <v>5245</v>
      </c>
      <c r="D387" s="251">
        <v>72.67</v>
      </c>
    </row>
    <row r="388" spans="1:4" x14ac:dyDescent="0.3">
      <c r="A388" s="242" t="s">
        <v>5249</v>
      </c>
      <c r="B388" s="242" t="s">
        <v>15389</v>
      </c>
      <c r="C388" s="242" t="s">
        <v>5248</v>
      </c>
      <c r="D388" s="251">
        <v>86</v>
      </c>
    </row>
    <row r="389" spans="1:4" x14ac:dyDescent="0.3">
      <c r="A389" s="242" t="s">
        <v>5252</v>
      </c>
      <c r="B389" s="242" t="s">
        <v>15390</v>
      </c>
      <c r="C389" s="242" t="s">
        <v>5251</v>
      </c>
      <c r="D389" s="251">
        <v>92.67</v>
      </c>
    </row>
    <row r="390" spans="1:4" x14ac:dyDescent="0.3">
      <c r="A390" s="242" t="s">
        <v>5255</v>
      </c>
      <c r="B390" s="242" t="s">
        <v>15391</v>
      </c>
      <c r="C390" s="242" t="s">
        <v>5254</v>
      </c>
      <c r="D390" s="251">
        <v>92.67</v>
      </c>
    </row>
    <row r="391" spans="1:4" x14ac:dyDescent="0.3">
      <c r="A391" s="242" t="s">
        <v>5291</v>
      </c>
      <c r="B391" s="242" t="s">
        <v>15392</v>
      </c>
      <c r="C391" s="242" t="s">
        <v>5290</v>
      </c>
      <c r="D391" s="251">
        <v>39.33</v>
      </c>
    </row>
    <row r="392" spans="1:4" x14ac:dyDescent="0.3">
      <c r="A392" s="242" t="s">
        <v>5300</v>
      </c>
      <c r="B392" s="242" t="s">
        <v>15393</v>
      </c>
      <c r="C392" s="242" t="s">
        <v>5299</v>
      </c>
      <c r="D392" s="251">
        <v>59.99</v>
      </c>
    </row>
    <row r="393" spans="1:4" x14ac:dyDescent="0.3">
      <c r="A393" s="242" t="s">
        <v>5303</v>
      </c>
      <c r="B393" s="242" t="s">
        <v>15394</v>
      </c>
      <c r="C393" s="242" t="s">
        <v>5302</v>
      </c>
      <c r="D393" s="251">
        <v>59.99</v>
      </c>
    </row>
    <row r="394" spans="1:4" x14ac:dyDescent="0.3">
      <c r="A394" s="242" t="s">
        <v>5306</v>
      </c>
      <c r="B394" s="242" t="s">
        <v>15395</v>
      </c>
      <c r="C394" s="242" t="s">
        <v>5305</v>
      </c>
      <c r="D394" s="251">
        <v>63.33</v>
      </c>
    </row>
    <row r="395" spans="1:4" x14ac:dyDescent="0.3">
      <c r="A395" s="242" t="s">
        <v>5309</v>
      </c>
      <c r="B395" s="242" t="s">
        <v>15396</v>
      </c>
      <c r="C395" s="242" t="s">
        <v>5308</v>
      </c>
      <c r="D395" s="251">
        <v>21.33</v>
      </c>
    </row>
    <row r="396" spans="1:4" x14ac:dyDescent="0.3">
      <c r="A396" s="242" t="s">
        <v>5312</v>
      </c>
      <c r="B396" s="242" t="s">
        <v>15397</v>
      </c>
      <c r="C396" s="242" t="s">
        <v>5311</v>
      </c>
      <c r="D396" s="251">
        <v>25.33</v>
      </c>
    </row>
    <row r="397" spans="1:4" x14ac:dyDescent="0.3">
      <c r="A397" s="242" t="s">
        <v>5315</v>
      </c>
      <c r="B397" s="242" t="s">
        <v>15398</v>
      </c>
      <c r="C397" s="242" t="s">
        <v>5314</v>
      </c>
      <c r="D397" s="251">
        <v>21.33</v>
      </c>
    </row>
    <row r="398" spans="1:4" x14ac:dyDescent="0.3">
      <c r="A398" s="242" t="s">
        <v>5321</v>
      </c>
      <c r="B398" s="242" t="s">
        <v>15399</v>
      </c>
      <c r="C398" s="242" t="s">
        <v>5320</v>
      </c>
      <c r="D398" s="251">
        <v>25.33</v>
      </c>
    </row>
    <row r="399" spans="1:4" x14ac:dyDescent="0.3">
      <c r="A399" s="242" t="s">
        <v>5324</v>
      </c>
      <c r="B399" s="242" t="s">
        <v>15400</v>
      </c>
      <c r="C399" s="242" t="s">
        <v>5323</v>
      </c>
      <c r="D399" s="251">
        <v>50.66</v>
      </c>
    </row>
    <row r="400" spans="1:4" x14ac:dyDescent="0.3">
      <c r="A400" s="242" t="s">
        <v>5327</v>
      </c>
      <c r="B400" s="242" t="s">
        <v>15401</v>
      </c>
      <c r="C400" s="242" t="s">
        <v>5326</v>
      </c>
      <c r="D400" s="251">
        <v>50.66</v>
      </c>
    </row>
    <row r="401" spans="1:4" x14ac:dyDescent="0.3">
      <c r="A401" s="242" t="s">
        <v>5330</v>
      </c>
      <c r="B401" s="242" t="s">
        <v>15402</v>
      </c>
      <c r="C401" s="242" t="s">
        <v>5329</v>
      </c>
      <c r="D401" s="251">
        <v>53.99</v>
      </c>
    </row>
    <row r="402" spans="1:4" x14ac:dyDescent="0.3">
      <c r="A402" s="242" t="s">
        <v>8556</v>
      </c>
      <c r="B402" s="242" t="s">
        <v>15403</v>
      </c>
      <c r="C402" s="242" t="s">
        <v>8555</v>
      </c>
      <c r="D402" s="251">
        <v>58.66</v>
      </c>
    </row>
    <row r="403" spans="1:4" x14ac:dyDescent="0.3">
      <c r="A403" s="242" t="s">
        <v>5339</v>
      </c>
      <c r="B403" s="242" t="s">
        <v>15404</v>
      </c>
      <c r="C403" s="242" t="s">
        <v>5338</v>
      </c>
      <c r="D403" s="251">
        <v>25.99</v>
      </c>
    </row>
    <row r="404" spans="1:4" x14ac:dyDescent="0.3">
      <c r="A404" s="242" t="s">
        <v>8538</v>
      </c>
      <c r="B404" s="242" t="s">
        <v>15405</v>
      </c>
      <c r="C404" s="242" t="s">
        <v>8537</v>
      </c>
      <c r="D404" s="251">
        <v>33.99</v>
      </c>
    </row>
    <row r="405" spans="1:4" x14ac:dyDescent="0.3">
      <c r="A405" s="242" t="s">
        <v>8541</v>
      </c>
      <c r="B405" s="242" t="s">
        <v>15406</v>
      </c>
      <c r="C405" s="242" t="s">
        <v>8540</v>
      </c>
      <c r="D405" s="251">
        <v>79.33</v>
      </c>
    </row>
    <row r="406" spans="1:4" x14ac:dyDescent="0.3">
      <c r="A406" s="242" t="s">
        <v>8544</v>
      </c>
      <c r="B406" s="242" t="s">
        <v>15407</v>
      </c>
      <c r="C406" s="242" t="s">
        <v>8543</v>
      </c>
      <c r="D406" s="251">
        <v>29.33</v>
      </c>
    </row>
    <row r="407" spans="1:4" x14ac:dyDescent="0.3">
      <c r="A407" s="242" t="s">
        <v>8547</v>
      </c>
      <c r="B407" s="242" t="s">
        <v>15408</v>
      </c>
      <c r="C407" s="242" t="s">
        <v>8546</v>
      </c>
      <c r="D407" s="251">
        <v>23.99</v>
      </c>
    </row>
    <row r="408" spans="1:4" x14ac:dyDescent="0.3">
      <c r="A408" s="242" t="s">
        <v>8553</v>
      </c>
      <c r="B408" s="242" t="s">
        <v>15409</v>
      </c>
      <c r="C408" s="242" t="s">
        <v>8552</v>
      </c>
      <c r="D408" s="251">
        <v>40.659999999999997</v>
      </c>
    </row>
    <row r="409" spans="1:4" x14ac:dyDescent="0.3">
      <c r="A409" s="242" t="s">
        <v>8558</v>
      </c>
      <c r="B409" s="242" t="s">
        <v>15410</v>
      </c>
      <c r="C409" s="242" t="s">
        <v>8557</v>
      </c>
      <c r="D409" s="251">
        <v>199.33</v>
      </c>
    </row>
    <row r="410" spans="1:4" x14ac:dyDescent="0.3">
      <c r="A410" s="242" t="s">
        <v>15411</v>
      </c>
      <c r="B410" s="242" t="s">
        <v>15412</v>
      </c>
      <c r="C410" s="242" t="s">
        <v>15413</v>
      </c>
      <c r="D410" s="251">
        <v>39.33</v>
      </c>
    </row>
    <row r="411" spans="1:4" x14ac:dyDescent="0.3">
      <c r="A411" s="242" t="s">
        <v>15414</v>
      </c>
      <c r="B411" s="242" t="s">
        <v>15415</v>
      </c>
      <c r="C411" s="242" t="s">
        <v>15416</v>
      </c>
      <c r="D411" s="251">
        <v>39.33</v>
      </c>
    </row>
    <row r="412" spans="1:4" x14ac:dyDescent="0.3">
      <c r="A412" s="242" t="s">
        <v>15417</v>
      </c>
      <c r="B412" s="242" t="s">
        <v>15418</v>
      </c>
      <c r="C412" s="242" t="s">
        <v>15419</v>
      </c>
      <c r="D412" s="251">
        <v>79.33</v>
      </c>
    </row>
    <row r="413" spans="1:4" x14ac:dyDescent="0.3">
      <c r="A413" s="242" t="s">
        <v>15420</v>
      </c>
      <c r="B413" s="242" t="s">
        <v>15352</v>
      </c>
      <c r="C413" s="242" t="s">
        <v>15421</v>
      </c>
      <c r="D413" s="251">
        <v>119.33</v>
      </c>
    </row>
    <row r="414" spans="1:4" x14ac:dyDescent="0.3">
      <c r="A414" s="242" t="s">
        <v>15422</v>
      </c>
      <c r="B414" s="242" t="s">
        <v>15354</v>
      </c>
      <c r="C414" s="242" t="s">
        <v>15423</v>
      </c>
      <c r="D414" s="251">
        <v>119.33</v>
      </c>
    </row>
    <row r="415" spans="1:4" x14ac:dyDescent="0.3">
      <c r="A415" s="242" t="s">
        <v>15424</v>
      </c>
      <c r="B415" s="242" t="s">
        <v>15425</v>
      </c>
      <c r="C415" s="242" t="s">
        <v>15426</v>
      </c>
      <c r="D415" s="251">
        <v>50.66</v>
      </c>
    </row>
    <row r="416" spans="1:4" x14ac:dyDescent="0.3">
      <c r="A416" s="242" t="s">
        <v>15427</v>
      </c>
      <c r="B416" s="242" t="s">
        <v>15347</v>
      </c>
      <c r="C416" s="242" t="s">
        <v>15428</v>
      </c>
      <c r="D416" s="251">
        <v>86</v>
      </c>
    </row>
    <row r="417" spans="1:4" x14ac:dyDescent="0.3">
      <c r="A417" s="242" t="s">
        <v>15429</v>
      </c>
      <c r="B417" s="242" t="s">
        <v>15430</v>
      </c>
      <c r="C417" s="242" t="s">
        <v>15431</v>
      </c>
      <c r="D417" s="251">
        <v>126</v>
      </c>
    </row>
    <row r="418" spans="1:4" x14ac:dyDescent="0.3">
      <c r="A418" s="242" t="s">
        <v>15432</v>
      </c>
      <c r="B418" s="242" t="s">
        <v>15350</v>
      </c>
      <c r="C418" s="242" t="s">
        <v>15433</v>
      </c>
      <c r="D418" s="251">
        <v>132.66999999999999</v>
      </c>
    </row>
    <row r="419" spans="1:4" x14ac:dyDescent="0.3">
      <c r="A419" s="242" t="s">
        <v>15434</v>
      </c>
      <c r="B419" s="242" t="s">
        <v>15351</v>
      </c>
      <c r="C419" s="242" t="s">
        <v>15435</v>
      </c>
      <c r="D419" s="251">
        <v>132.66999999999999</v>
      </c>
    </row>
    <row r="420" spans="1:4" x14ac:dyDescent="0.3">
      <c r="A420" s="242" t="s">
        <v>15436</v>
      </c>
      <c r="B420" s="242" t="s">
        <v>15437</v>
      </c>
      <c r="C420" s="242" t="s">
        <v>15438</v>
      </c>
      <c r="D420" s="251">
        <v>79.33</v>
      </c>
    </row>
    <row r="421" spans="1:4" x14ac:dyDescent="0.3">
      <c r="A421" s="242" t="s">
        <v>15439</v>
      </c>
      <c r="B421" s="242" t="s">
        <v>15349</v>
      </c>
      <c r="C421" s="242" t="s">
        <v>15440</v>
      </c>
      <c r="D421" s="251">
        <v>26.66</v>
      </c>
    </row>
    <row r="422" spans="1:4" x14ac:dyDescent="0.3">
      <c r="A422" s="242" t="s">
        <v>15441</v>
      </c>
      <c r="B422" s="242" t="s">
        <v>15442</v>
      </c>
      <c r="C422" s="242" t="s">
        <v>15443</v>
      </c>
      <c r="D422" s="251">
        <v>47.33</v>
      </c>
    </row>
    <row r="423" spans="1:4" x14ac:dyDescent="0.3">
      <c r="A423" s="242" t="s">
        <v>15444</v>
      </c>
      <c r="B423" s="242" t="s">
        <v>15346</v>
      </c>
      <c r="C423" s="242" t="s">
        <v>15445</v>
      </c>
      <c r="D423" s="251">
        <v>38.659999999999997</v>
      </c>
    </row>
    <row r="424" spans="1:4" x14ac:dyDescent="0.3">
      <c r="A424" s="242" t="s">
        <v>15446</v>
      </c>
      <c r="B424" s="242" t="s">
        <v>15447</v>
      </c>
      <c r="C424" s="242" t="s">
        <v>15448</v>
      </c>
      <c r="D424" s="251">
        <v>27.99</v>
      </c>
    </row>
    <row r="425" spans="1:4" x14ac:dyDescent="0.3">
      <c r="A425" s="242" t="s">
        <v>15449</v>
      </c>
      <c r="B425" s="242" t="s">
        <v>15450</v>
      </c>
      <c r="C425" s="242" t="s">
        <v>15451</v>
      </c>
      <c r="D425" s="251">
        <v>79.33</v>
      </c>
    </row>
    <row r="426" spans="1:4" x14ac:dyDescent="0.3">
      <c r="A426" s="242" t="s">
        <v>15452</v>
      </c>
      <c r="B426" s="242" t="s">
        <v>15453</v>
      </c>
      <c r="C426" s="242" t="s">
        <v>15454</v>
      </c>
      <c r="D426" s="251">
        <v>12.66</v>
      </c>
    </row>
    <row r="427" spans="1:4" x14ac:dyDescent="0.3">
      <c r="A427" s="242" t="s">
        <v>15455</v>
      </c>
      <c r="B427" s="242" t="s">
        <v>15456</v>
      </c>
      <c r="C427" s="242" t="s">
        <v>15457</v>
      </c>
      <c r="D427" s="251">
        <v>30.66</v>
      </c>
    </row>
    <row r="428" spans="1:4" x14ac:dyDescent="0.3">
      <c r="A428" s="242" t="s">
        <v>9101</v>
      </c>
      <c r="B428" s="242" t="s">
        <v>15458</v>
      </c>
      <c r="C428" s="242" t="s">
        <v>9100</v>
      </c>
      <c r="D428" s="251">
        <v>72.67</v>
      </c>
    </row>
    <row r="429" spans="1:4" x14ac:dyDescent="0.3">
      <c r="A429" s="242" t="s">
        <v>9104</v>
      </c>
      <c r="B429" s="242" t="s">
        <v>15459</v>
      </c>
      <c r="C429" s="242" t="s">
        <v>9103</v>
      </c>
      <c r="D429" s="251">
        <v>22.66</v>
      </c>
    </row>
    <row r="430" spans="1:4" x14ac:dyDescent="0.3">
      <c r="A430" s="242" t="s">
        <v>15460</v>
      </c>
      <c r="B430" s="242" t="s">
        <v>15461</v>
      </c>
      <c r="C430" s="242" t="s">
        <v>15462</v>
      </c>
      <c r="D430" s="251">
        <v>49.33</v>
      </c>
    </row>
    <row r="431" spans="1:4" x14ac:dyDescent="0.3">
      <c r="A431" s="242" t="s">
        <v>15463</v>
      </c>
      <c r="B431" s="242" t="s">
        <v>15464</v>
      </c>
      <c r="C431" s="242" t="s">
        <v>15465</v>
      </c>
      <c r="D431" s="251">
        <v>3.19</v>
      </c>
    </row>
    <row r="432" spans="1:4" x14ac:dyDescent="0.3">
      <c r="A432" s="242" t="s">
        <v>15466</v>
      </c>
      <c r="B432" s="242" t="s">
        <v>15467</v>
      </c>
      <c r="C432" s="242" t="s">
        <v>15468</v>
      </c>
      <c r="D432" s="251">
        <v>54.66</v>
      </c>
    </row>
    <row r="433" spans="1:4" x14ac:dyDescent="0.3">
      <c r="A433" s="242" t="s">
        <v>15469</v>
      </c>
      <c r="B433" s="242" t="s">
        <v>15470</v>
      </c>
      <c r="C433" s="242" t="s">
        <v>15471</v>
      </c>
      <c r="D433" s="251">
        <v>199.33</v>
      </c>
    </row>
    <row r="434" spans="1:4" x14ac:dyDescent="0.3">
      <c r="A434" s="242" t="s">
        <v>15472</v>
      </c>
      <c r="B434" s="242" t="s">
        <v>15473</v>
      </c>
      <c r="C434" s="242" t="s">
        <v>15474</v>
      </c>
      <c r="D434" s="251">
        <v>16.66</v>
      </c>
    </row>
    <row r="435" spans="1:4" x14ac:dyDescent="0.3">
      <c r="A435" s="242" t="s">
        <v>15475</v>
      </c>
      <c r="B435" s="242" t="s">
        <v>15476</v>
      </c>
      <c r="C435" s="242" t="s">
        <v>15477</v>
      </c>
      <c r="D435" s="251">
        <v>11.46</v>
      </c>
    </row>
    <row r="436" spans="1:4" x14ac:dyDescent="0.3">
      <c r="A436" s="242" t="s">
        <v>15478</v>
      </c>
      <c r="B436" s="242" t="s">
        <v>15479</v>
      </c>
      <c r="C436" s="242" t="s">
        <v>15480</v>
      </c>
      <c r="D436" s="251">
        <v>16.66</v>
      </c>
    </row>
    <row r="437" spans="1:4" x14ac:dyDescent="0.3">
      <c r="A437" s="242" t="s">
        <v>15481</v>
      </c>
      <c r="B437" s="242" t="s">
        <v>15482</v>
      </c>
      <c r="C437" s="242" t="s">
        <v>15483</v>
      </c>
      <c r="D437" s="251">
        <v>11.46</v>
      </c>
    </row>
    <row r="438" spans="1:4" x14ac:dyDescent="0.3">
      <c r="A438" s="242" t="s">
        <v>15484</v>
      </c>
      <c r="B438" s="242" t="s">
        <v>15485</v>
      </c>
      <c r="C438" s="242" t="s">
        <v>15486</v>
      </c>
      <c r="D438" s="251">
        <v>42.66</v>
      </c>
    </row>
    <row r="439" spans="1:4" x14ac:dyDescent="0.3">
      <c r="A439" s="242" t="s">
        <v>15487</v>
      </c>
      <c r="B439" s="242" t="s">
        <v>15488</v>
      </c>
      <c r="C439" s="242" t="s">
        <v>15489</v>
      </c>
      <c r="D439" s="251">
        <v>15.99</v>
      </c>
    </row>
    <row r="440" spans="1:4" x14ac:dyDescent="0.3">
      <c r="A440" s="242" t="s">
        <v>15490</v>
      </c>
      <c r="B440" s="242" t="s">
        <v>15491</v>
      </c>
      <c r="C440" s="242" t="s">
        <v>15492</v>
      </c>
      <c r="D440" s="251">
        <v>23.99</v>
      </c>
    </row>
    <row r="441" spans="1:4" x14ac:dyDescent="0.3">
      <c r="A441" s="242" t="s">
        <v>15493</v>
      </c>
      <c r="B441" s="242" t="s">
        <v>14852</v>
      </c>
      <c r="C441" s="242" t="s">
        <v>15494</v>
      </c>
      <c r="D441" s="251">
        <v>37.33</v>
      </c>
    </row>
    <row r="442" spans="1:4" x14ac:dyDescent="0.3">
      <c r="A442" s="242" t="s">
        <v>15495</v>
      </c>
      <c r="B442" s="242" t="s">
        <v>15496</v>
      </c>
      <c r="C442" s="242" t="s">
        <v>15497</v>
      </c>
      <c r="D442" s="251">
        <v>47.99</v>
      </c>
    </row>
    <row r="443" spans="1:4" x14ac:dyDescent="0.3">
      <c r="A443" s="242" t="s">
        <v>15498</v>
      </c>
      <c r="B443" s="242" t="s">
        <v>15499</v>
      </c>
      <c r="C443" s="242" t="s">
        <v>15500</v>
      </c>
      <c r="D443" s="251">
        <v>25.33</v>
      </c>
    </row>
    <row r="444" spans="1:4" x14ac:dyDescent="0.3">
      <c r="A444" s="242" t="s">
        <v>15501</v>
      </c>
      <c r="B444" s="242" t="s">
        <v>15502</v>
      </c>
      <c r="C444" s="242" t="s">
        <v>15503</v>
      </c>
      <c r="D444" s="251">
        <v>31.99</v>
      </c>
    </row>
    <row r="445" spans="1:4" x14ac:dyDescent="0.3">
      <c r="A445" s="242" t="s">
        <v>15504</v>
      </c>
      <c r="B445" s="242" t="s">
        <v>15505</v>
      </c>
      <c r="C445" s="242" t="s">
        <v>15506</v>
      </c>
      <c r="D445" s="251">
        <v>21.33</v>
      </c>
    </row>
    <row r="446" spans="1:4" x14ac:dyDescent="0.3">
      <c r="A446" s="242" t="s">
        <v>15507</v>
      </c>
      <c r="B446" s="242" t="s">
        <v>15508</v>
      </c>
      <c r="C446" s="242" t="s">
        <v>15509</v>
      </c>
      <c r="D446" s="251">
        <v>25.33</v>
      </c>
    </row>
    <row r="447" spans="1:4" x14ac:dyDescent="0.3">
      <c r="A447" s="242" t="s">
        <v>15510</v>
      </c>
      <c r="B447" s="242" t="s">
        <v>15511</v>
      </c>
      <c r="C447" s="242" t="s">
        <v>15512</v>
      </c>
      <c r="D447" s="251">
        <v>35.33</v>
      </c>
    </row>
    <row r="448" spans="1:4" x14ac:dyDescent="0.3">
      <c r="A448" s="242" t="s">
        <v>15513</v>
      </c>
      <c r="B448" s="242" t="s">
        <v>15514</v>
      </c>
      <c r="C448" s="242" t="s">
        <v>15515</v>
      </c>
      <c r="D448" s="251">
        <v>7.93</v>
      </c>
    </row>
    <row r="449" spans="1:4" x14ac:dyDescent="0.3">
      <c r="A449" s="242" t="s">
        <v>15516</v>
      </c>
      <c r="B449" s="242" t="s">
        <v>15517</v>
      </c>
      <c r="C449" s="242" t="s">
        <v>15518</v>
      </c>
      <c r="D449" s="251">
        <v>23.33</v>
      </c>
    </row>
    <row r="450" spans="1:4" x14ac:dyDescent="0.3">
      <c r="A450" s="242" t="s">
        <v>15519</v>
      </c>
      <c r="B450" s="242" t="s">
        <v>15520</v>
      </c>
      <c r="C450" s="242" t="s">
        <v>15521</v>
      </c>
      <c r="D450" s="251">
        <v>27.33</v>
      </c>
    </row>
    <row r="451" spans="1:4" x14ac:dyDescent="0.3">
      <c r="A451" s="242" t="s">
        <v>15522</v>
      </c>
      <c r="B451" s="242" t="s">
        <v>15523</v>
      </c>
      <c r="C451" s="242" t="s">
        <v>15524</v>
      </c>
      <c r="D451" s="251">
        <v>37.99</v>
      </c>
    </row>
    <row r="452" spans="1:4" x14ac:dyDescent="0.3">
      <c r="A452" s="242" t="s">
        <v>15525</v>
      </c>
      <c r="B452" s="242" t="s">
        <v>15526</v>
      </c>
      <c r="C452" s="242" t="s">
        <v>15527</v>
      </c>
      <c r="D452" s="251">
        <v>17.989999999999998</v>
      </c>
    </row>
    <row r="453" spans="1:4" x14ac:dyDescent="0.3">
      <c r="A453" s="242" t="s">
        <v>15528</v>
      </c>
      <c r="B453" s="242" t="s">
        <v>15529</v>
      </c>
      <c r="C453" s="242" t="s">
        <v>15530</v>
      </c>
      <c r="D453" s="251">
        <v>31.99</v>
      </c>
    </row>
    <row r="454" spans="1:4" x14ac:dyDescent="0.3">
      <c r="A454" s="242" t="s">
        <v>15531</v>
      </c>
      <c r="B454" s="242" t="s">
        <v>15532</v>
      </c>
      <c r="C454" s="242" t="s">
        <v>15533</v>
      </c>
      <c r="D454" s="251">
        <v>15.99</v>
      </c>
    </row>
    <row r="455" spans="1:4" x14ac:dyDescent="0.3">
      <c r="A455" s="242" t="s">
        <v>15534</v>
      </c>
      <c r="B455" s="242" t="s">
        <v>15535</v>
      </c>
      <c r="C455" s="242" t="s">
        <v>15536</v>
      </c>
      <c r="D455" s="251">
        <v>47.33</v>
      </c>
    </row>
    <row r="456" spans="1:4" x14ac:dyDescent="0.3">
      <c r="A456" s="242" t="s">
        <v>15537</v>
      </c>
      <c r="B456" s="242" t="s">
        <v>15538</v>
      </c>
      <c r="C456" s="242" t="s">
        <v>15539</v>
      </c>
      <c r="D456" s="251">
        <v>27.33</v>
      </c>
    </row>
    <row r="457" spans="1:4" x14ac:dyDescent="0.3">
      <c r="A457" s="242" t="s">
        <v>15540</v>
      </c>
      <c r="B457" s="242" t="s">
        <v>15541</v>
      </c>
      <c r="C457" s="242" t="s">
        <v>15542</v>
      </c>
      <c r="D457" s="251">
        <v>37.99</v>
      </c>
    </row>
    <row r="458" spans="1:4" x14ac:dyDescent="0.3">
      <c r="A458" s="242" t="s">
        <v>15543</v>
      </c>
      <c r="B458" s="242" t="s">
        <v>15544</v>
      </c>
      <c r="C458" s="242" t="s">
        <v>15545</v>
      </c>
      <c r="D458" s="251">
        <v>17.989999999999998</v>
      </c>
    </row>
    <row r="459" spans="1:4" x14ac:dyDescent="0.3">
      <c r="A459" s="242" t="s">
        <v>15546</v>
      </c>
      <c r="B459" s="242" t="s">
        <v>15547</v>
      </c>
      <c r="C459" s="242" t="s">
        <v>15548</v>
      </c>
      <c r="D459" s="251">
        <v>79.33</v>
      </c>
    </row>
    <row r="460" spans="1:4" x14ac:dyDescent="0.3">
      <c r="A460" s="242" t="s">
        <v>15549</v>
      </c>
      <c r="B460" s="242" t="s">
        <v>15550</v>
      </c>
      <c r="C460" s="242" t="s">
        <v>15551</v>
      </c>
      <c r="D460" s="251">
        <v>15.99</v>
      </c>
    </row>
    <row r="461" spans="1:4" x14ac:dyDescent="0.3">
      <c r="A461" s="242" t="s">
        <v>15552</v>
      </c>
      <c r="B461" s="242" t="s">
        <v>15553</v>
      </c>
      <c r="C461" s="242" t="s">
        <v>15554</v>
      </c>
      <c r="D461" s="251">
        <v>47.33</v>
      </c>
    </row>
    <row r="462" spans="1:4" x14ac:dyDescent="0.3">
      <c r="A462" s="242" t="s">
        <v>15555</v>
      </c>
      <c r="B462" s="242" t="s">
        <v>15556</v>
      </c>
      <c r="C462" s="242" t="s">
        <v>15557</v>
      </c>
      <c r="D462" s="251">
        <v>31.99</v>
      </c>
    </row>
    <row r="463" spans="1:4" x14ac:dyDescent="0.3">
      <c r="A463" s="242" t="s">
        <v>15558</v>
      </c>
      <c r="B463" s="242" t="s">
        <v>15559</v>
      </c>
      <c r="C463" s="242" t="s">
        <v>15560</v>
      </c>
      <c r="D463" s="251">
        <v>15.99</v>
      </c>
    </row>
    <row r="464" spans="1:4" x14ac:dyDescent="0.3">
      <c r="A464" s="242" t="s">
        <v>15561</v>
      </c>
      <c r="B464" s="242" t="s">
        <v>15562</v>
      </c>
      <c r="C464" s="242" t="s">
        <v>15563</v>
      </c>
      <c r="D464" s="251">
        <v>15.99</v>
      </c>
    </row>
    <row r="465" spans="1:4" x14ac:dyDescent="0.3">
      <c r="A465" s="242" t="s">
        <v>15564</v>
      </c>
      <c r="B465" s="242" t="s">
        <v>15565</v>
      </c>
      <c r="C465" s="242" t="s">
        <v>15566</v>
      </c>
      <c r="D465" s="251">
        <v>27.33</v>
      </c>
    </row>
    <row r="466" spans="1:4" x14ac:dyDescent="0.3">
      <c r="A466" s="242" t="s">
        <v>15567</v>
      </c>
      <c r="B466" s="242" t="s">
        <v>15568</v>
      </c>
      <c r="C466" s="242" t="s">
        <v>15569</v>
      </c>
      <c r="D466" s="251">
        <v>37.99</v>
      </c>
    </row>
    <row r="467" spans="1:4" x14ac:dyDescent="0.3">
      <c r="A467" s="242" t="s">
        <v>15570</v>
      </c>
      <c r="B467" s="242" t="s">
        <v>15571</v>
      </c>
      <c r="C467" s="242" t="s">
        <v>15572</v>
      </c>
      <c r="D467" s="251">
        <v>17.989999999999998</v>
      </c>
    </row>
    <row r="468" spans="1:4" x14ac:dyDescent="0.3">
      <c r="A468" s="242" t="s">
        <v>15573</v>
      </c>
      <c r="B468" s="242" t="s">
        <v>15574</v>
      </c>
      <c r="C468" s="242" t="s">
        <v>15575</v>
      </c>
      <c r="D468" s="251">
        <v>79.33</v>
      </c>
    </row>
    <row r="469" spans="1:4" x14ac:dyDescent="0.3">
      <c r="A469" s="242" t="s">
        <v>15576</v>
      </c>
      <c r="B469" s="242" t="s">
        <v>15577</v>
      </c>
      <c r="C469" s="242" t="s">
        <v>15578</v>
      </c>
      <c r="D469" s="251">
        <v>15.99</v>
      </c>
    </row>
    <row r="470" spans="1:4" x14ac:dyDescent="0.3">
      <c r="A470" s="242" t="s">
        <v>15579</v>
      </c>
      <c r="B470" s="242" t="s">
        <v>15580</v>
      </c>
      <c r="C470" s="242" t="s">
        <v>15581</v>
      </c>
      <c r="D470" s="251">
        <v>47.33</v>
      </c>
    </row>
    <row r="471" spans="1:4" x14ac:dyDescent="0.3">
      <c r="A471" s="242" t="s">
        <v>15582</v>
      </c>
      <c r="B471" s="242" t="s">
        <v>15583</v>
      </c>
      <c r="C471" s="242" t="s">
        <v>15584</v>
      </c>
      <c r="D471" s="251">
        <v>31.99</v>
      </c>
    </row>
    <row r="472" spans="1:4" x14ac:dyDescent="0.3">
      <c r="A472" s="242" t="s">
        <v>15585</v>
      </c>
      <c r="B472" s="242" t="s">
        <v>15586</v>
      </c>
      <c r="C472" s="242" t="s">
        <v>15587</v>
      </c>
      <c r="D472" s="251">
        <v>27.33</v>
      </c>
    </row>
    <row r="473" spans="1:4" x14ac:dyDescent="0.3">
      <c r="A473" s="242" t="s">
        <v>15588</v>
      </c>
      <c r="B473" s="242" t="s">
        <v>15589</v>
      </c>
      <c r="C473" s="242" t="s">
        <v>15590</v>
      </c>
      <c r="D473" s="251">
        <v>37.99</v>
      </c>
    </row>
    <row r="474" spans="1:4" x14ac:dyDescent="0.3">
      <c r="A474" s="242" t="s">
        <v>15591</v>
      </c>
      <c r="B474" s="242" t="s">
        <v>15592</v>
      </c>
      <c r="C474" s="242" t="s">
        <v>15593</v>
      </c>
      <c r="D474" s="251">
        <v>17.989999999999998</v>
      </c>
    </row>
    <row r="475" spans="1:4" x14ac:dyDescent="0.3">
      <c r="A475" s="242" t="s">
        <v>15594</v>
      </c>
      <c r="B475" s="242" t="s">
        <v>15595</v>
      </c>
      <c r="C475" s="242" t="s">
        <v>15596</v>
      </c>
      <c r="D475" s="251">
        <v>42.66</v>
      </c>
    </row>
    <row r="476" spans="1:4" x14ac:dyDescent="0.3">
      <c r="A476" s="242" t="s">
        <v>15597</v>
      </c>
      <c r="B476" s="242" t="s">
        <v>15598</v>
      </c>
      <c r="C476" s="242" t="s">
        <v>15599</v>
      </c>
      <c r="D476" s="251">
        <v>47.33</v>
      </c>
    </row>
    <row r="477" spans="1:4" x14ac:dyDescent="0.3">
      <c r="A477" s="242" t="s">
        <v>15600</v>
      </c>
      <c r="B477" s="242" t="s">
        <v>15601</v>
      </c>
      <c r="C477" s="242" t="s">
        <v>15602</v>
      </c>
      <c r="D477" s="251">
        <v>32.659999999999997</v>
      </c>
    </row>
    <row r="478" spans="1:4" x14ac:dyDescent="0.3">
      <c r="A478" s="242" t="s">
        <v>15603</v>
      </c>
      <c r="B478" s="242" t="s">
        <v>15604</v>
      </c>
      <c r="C478" s="242" t="s">
        <v>15605</v>
      </c>
      <c r="D478" s="251">
        <v>27.33</v>
      </c>
    </row>
    <row r="479" spans="1:4" x14ac:dyDescent="0.3">
      <c r="A479" s="242" t="s">
        <v>15606</v>
      </c>
      <c r="B479" s="242" t="s">
        <v>15607</v>
      </c>
      <c r="C479" s="242" t="s">
        <v>15608</v>
      </c>
      <c r="D479" s="251">
        <v>37.99</v>
      </c>
    </row>
    <row r="480" spans="1:4" x14ac:dyDescent="0.3">
      <c r="A480" s="242" t="s">
        <v>15609</v>
      </c>
      <c r="B480" s="242" t="s">
        <v>15610</v>
      </c>
      <c r="C480" s="242" t="s">
        <v>15611</v>
      </c>
      <c r="D480" s="251">
        <v>17.989999999999998</v>
      </c>
    </row>
    <row r="481" spans="1:4" x14ac:dyDescent="0.3">
      <c r="A481" s="242" t="s">
        <v>15612</v>
      </c>
      <c r="B481" s="242" t="s">
        <v>15613</v>
      </c>
      <c r="C481" s="242" t="s">
        <v>15614</v>
      </c>
      <c r="D481" s="251">
        <v>42.66</v>
      </c>
    </row>
    <row r="482" spans="1:4" x14ac:dyDescent="0.3">
      <c r="A482" s="242" t="s">
        <v>15615</v>
      </c>
      <c r="B482" s="242" t="s">
        <v>15616</v>
      </c>
      <c r="C482" s="242" t="s">
        <v>15617</v>
      </c>
      <c r="D482" s="251">
        <v>47.33</v>
      </c>
    </row>
    <row r="483" spans="1:4" x14ac:dyDescent="0.3">
      <c r="A483" s="242" t="s">
        <v>15618</v>
      </c>
      <c r="B483" s="242" t="s">
        <v>15619</v>
      </c>
      <c r="C483" s="242" t="s">
        <v>15620</v>
      </c>
      <c r="D483" s="251">
        <v>27.33</v>
      </c>
    </row>
    <row r="484" spans="1:4" x14ac:dyDescent="0.3">
      <c r="A484" s="242" t="s">
        <v>15621</v>
      </c>
      <c r="B484" s="242" t="s">
        <v>15622</v>
      </c>
      <c r="C484" s="242" t="s">
        <v>15623</v>
      </c>
      <c r="D484" s="251">
        <v>37.99</v>
      </c>
    </row>
    <row r="485" spans="1:4" x14ac:dyDescent="0.3">
      <c r="A485" s="242" t="s">
        <v>15624</v>
      </c>
      <c r="B485" s="242" t="s">
        <v>15625</v>
      </c>
      <c r="C485" s="242" t="s">
        <v>15626</v>
      </c>
      <c r="D485" s="251">
        <v>17.989999999999998</v>
      </c>
    </row>
    <row r="486" spans="1:4" x14ac:dyDescent="0.3">
      <c r="A486" s="242" t="s">
        <v>15627</v>
      </c>
      <c r="B486" s="242" t="s">
        <v>15628</v>
      </c>
      <c r="C486" s="242" t="s">
        <v>15629</v>
      </c>
      <c r="D486" s="251">
        <v>79.33</v>
      </c>
    </row>
    <row r="487" spans="1:4" x14ac:dyDescent="0.3">
      <c r="A487" s="242" t="s">
        <v>15630</v>
      </c>
      <c r="B487" s="242" t="s">
        <v>15631</v>
      </c>
      <c r="C487" s="242" t="s">
        <v>15632</v>
      </c>
      <c r="D487" s="251">
        <v>19.989999999999998</v>
      </c>
    </row>
    <row r="488" spans="1:4" x14ac:dyDescent="0.3">
      <c r="A488" s="242" t="s">
        <v>15633</v>
      </c>
      <c r="B488" s="242" t="s">
        <v>15634</v>
      </c>
      <c r="C488" s="242" t="s">
        <v>15635</v>
      </c>
      <c r="D488" s="251">
        <v>43.33</v>
      </c>
    </row>
    <row r="489" spans="1:4" x14ac:dyDescent="0.3">
      <c r="A489" s="242" t="s">
        <v>15636</v>
      </c>
      <c r="B489" s="242" t="s">
        <v>15637</v>
      </c>
      <c r="C489" s="242" t="s">
        <v>15638</v>
      </c>
      <c r="D489" s="251">
        <v>31.99</v>
      </c>
    </row>
    <row r="490" spans="1:4" x14ac:dyDescent="0.3">
      <c r="A490" s="242" t="s">
        <v>15639</v>
      </c>
      <c r="B490" s="242" t="s">
        <v>15640</v>
      </c>
      <c r="C490" s="242" t="s">
        <v>15641</v>
      </c>
      <c r="D490" s="251">
        <v>15.99</v>
      </c>
    </row>
    <row r="491" spans="1:4" x14ac:dyDescent="0.3">
      <c r="A491" s="242" t="s">
        <v>15642</v>
      </c>
      <c r="B491" s="242" t="s">
        <v>15643</v>
      </c>
      <c r="C491" s="242" t="s">
        <v>15644</v>
      </c>
      <c r="D491" s="251">
        <v>15.99</v>
      </c>
    </row>
    <row r="492" spans="1:4" x14ac:dyDescent="0.3">
      <c r="A492" s="242" t="s">
        <v>15645</v>
      </c>
      <c r="B492" s="242" t="s">
        <v>15646</v>
      </c>
      <c r="C492" s="242" t="s">
        <v>15647</v>
      </c>
      <c r="D492" s="251">
        <v>32.659999999999997</v>
      </c>
    </row>
    <row r="493" spans="1:4" x14ac:dyDescent="0.3">
      <c r="A493" s="242" t="s">
        <v>15648</v>
      </c>
      <c r="B493" s="242" t="s">
        <v>15649</v>
      </c>
      <c r="C493" s="242" t="s">
        <v>15650</v>
      </c>
      <c r="D493" s="251">
        <v>43.33</v>
      </c>
    </row>
    <row r="494" spans="1:4" x14ac:dyDescent="0.3">
      <c r="A494" s="242" t="s">
        <v>15651</v>
      </c>
      <c r="B494" s="242" t="s">
        <v>15652</v>
      </c>
      <c r="C494" s="242" t="s">
        <v>15653</v>
      </c>
      <c r="D494" s="251">
        <v>43.33</v>
      </c>
    </row>
    <row r="495" spans="1:4" x14ac:dyDescent="0.3">
      <c r="A495" s="242" t="s">
        <v>15654</v>
      </c>
      <c r="B495" s="242" t="s">
        <v>15655</v>
      </c>
      <c r="C495" s="242" t="s">
        <v>15656</v>
      </c>
      <c r="D495" s="251">
        <v>43.33</v>
      </c>
    </row>
    <row r="496" spans="1:4" x14ac:dyDescent="0.3">
      <c r="A496" s="242" t="s">
        <v>15657</v>
      </c>
      <c r="B496" s="242" t="s">
        <v>15141</v>
      </c>
      <c r="C496" s="242" t="s">
        <v>15658</v>
      </c>
      <c r="D496" s="251">
        <v>43.33</v>
      </c>
    </row>
    <row r="497" spans="1:4" x14ac:dyDescent="0.3">
      <c r="A497" s="242" t="s">
        <v>15659</v>
      </c>
      <c r="B497" s="242" t="s">
        <v>15660</v>
      </c>
      <c r="C497" s="242" t="s">
        <v>15661</v>
      </c>
      <c r="D497" s="251">
        <v>47.33</v>
      </c>
    </row>
    <row r="498" spans="1:4" x14ac:dyDescent="0.3">
      <c r="A498" s="242" t="s">
        <v>15662</v>
      </c>
      <c r="B498" s="242" t="s">
        <v>15663</v>
      </c>
      <c r="C498" s="242" t="s">
        <v>15664</v>
      </c>
      <c r="D498" s="251">
        <v>11.33</v>
      </c>
    </row>
    <row r="499" spans="1:4" x14ac:dyDescent="0.3">
      <c r="A499" s="242" t="s">
        <v>15665</v>
      </c>
      <c r="B499" s="242" t="s">
        <v>15666</v>
      </c>
      <c r="C499" s="242" t="s">
        <v>15667</v>
      </c>
      <c r="D499" s="251">
        <v>11.33</v>
      </c>
    </row>
    <row r="500" spans="1:4" x14ac:dyDescent="0.3">
      <c r="A500" s="242" t="s">
        <v>15668</v>
      </c>
      <c r="B500" s="242" t="s">
        <v>15669</v>
      </c>
      <c r="C500" s="242" t="s">
        <v>15670</v>
      </c>
      <c r="D500" s="251">
        <v>11.33</v>
      </c>
    </row>
    <row r="501" spans="1:4" x14ac:dyDescent="0.3">
      <c r="A501" s="242" t="s">
        <v>15671</v>
      </c>
      <c r="B501" s="242" t="s">
        <v>15672</v>
      </c>
      <c r="C501" s="242" t="s">
        <v>15673</v>
      </c>
      <c r="D501" s="251">
        <v>7.93</v>
      </c>
    </row>
    <row r="502" spans="1:4" x14ac:dyDescent="0.3">
      <c r="A502" s="242" t="s">
        <v>15674</v>
      </c>
      <c r="B502" s="242" t="s">
        <v>15675</v>
      </c>
      <c r="C502" s="242" t="s">
        <v>15676</v>
      </c>
      <c r="D502" s="251">
        <v>17.329999999999998</v>
      </c>
    </row>
    <row r="503" spans="1:4" x14ac:dyDescent="0.3">
      <c r="A503" s="242" t="s">
        <v>15677</v>
      </c>
      <c r="B503" s="242" t="s">
        <v>15678</v>
      </c>
      <c r="C503" s="242" t="s">
        <v>15679</v>
      </c>
      <c r="D503" s="251">
        <v>13.99</v>
      </c>
    </row>
    <row r="504" spans="1:4" x14ac:dyDescent="0.3">
      <c r="A504" s="242" t="s">
        <v>15680</v>
      </c>
      <c r="B504" s="242" t="s">
        <v>15681</v>
      </c>
      <c r="C504" s="242" t="s">
        <v>15682</v>
      </c>
      <c r="D504" s="251">
        <v>48.66</v>
      </c>
    </row>
    <row r="505" spans="1:4" x14ac:dyDescent="0.3">
      <c r="A505" s="242" t="s">
        <v>15683</v>
      </c>
      <c r="B505" s="242" t="s">
        <v>15684</v>
      </c>
      <c r="C505" s="242" t="s">
        <v>15685</v>
      </c>
      <c r="D505" s="251">
        <v>15.33</v>
      </c>
    </row>
    <row r="506" spans="1:4" x14ac:dyDescent="0.3">
      <c r="A506" s="242" t="s">
        <v>15686</v>
      </c>
      <c r="B506" s="242" t="s">
        <v>15687</v>
      </c>
      <c r="C506" s="242" t="s">
        <v>15688</v>
      </c>
      <c r="D506" s="251">
        <v>10.79</v>
      </c>
    </row>
    <row r="507" spans="1:4" x14ac:dyDescent="0.3">
      <c r="A507" s="242" t="s">
        <v>15689</v>
      </c>
      <c r="B507" s="242" t="s">
        <v>15690</v>
      </c>
      <c r="C507" s="242" t="s">
        <v>15691</v>
      </c>
      <c r="D507" s="251">
        <v>27.33</v>
      </c>
    </row>
    <row r="508" spans="1:4" x14ac:dyDescent="0.3">
      <c r="A508" s="242" t="s">
        <v>15692</v>
      </c>
      <c r="B508" s="242" t="s">
        <v>15693</v>
      </c>
      <c r="C508" s="242" t="s">
        <v>15694</v>
      </c>
      <c r="D508" s="251">
        <v>37.99</v>
      </c>
    </row>
    <row r="509" spans="1:4" x14ac:dyDescent="0.3">
      <c r="A509" s="242" t="s">
        <v>15695</v>
      </c>
      <c r="B509" s="242" t="s">
        <v>15696</v>
      </c>
      <c r="C509" s="242" t="s">
        <v>15697</v>
      </c>
      <c r="D509" s="251">
        <v>17.989999999999998</v>
      </c>
    </row>
    <row r="510" spans="1:4" x14ac:dyDescent="0.3">
      <c r="A510" s="242" t="s">
        <v>15698</v>
      </c>
      <c r="B510" s="242" t="s">
        <v>15699</v>
      </c>
      <c r="C510" s="242" t="s">
        <v>15700</v>
      </c>
      <c r="D510" s="251">
        <v>42.66</v>
      </c>
    </row>
    <row r="511" spans="1:4" x14ac:dyDescent="0.3">
      <c r="A511" s="242" t="s">
        <v>15701</v>
      </c>
      <c r="B511" s="242" t="s">
        <v>15702</v>
      </c>
      <c r="C511" s="242" t="s">
        <v>15703</v>
      </c>
      <c r="D511" s="251">
        <v>47.33</v>
      </c>
    </row>
    <row r="512" spans="1:4" x14ac:dyDescent="0.3">
      <c r="A512" s="242" t="s">
        <v>15704</v>
      </c>
      <c r="B512" s="242" t="s">
        <v>15705</v>
      </c>
      <c r="C512" s="242" t="s">
        <v>15706</v>
      </c>
      <c r="D512" s="251">
        <v>92.67</v>
      </c>
    </row>
    <row r="513" spans="1:4" x14ac:dyDescent="0.3">
      <c r="A513" s="242" t="s">
        <v>15707</v>
      </c>
      <c r="B513" s="242" t="s">
        <v>15708</v>
      </c>
      <c r="C513" s="242" t="s">
        <v>15709</v>
      </c>
      <c r="D513" s="251">
        <v>34.659999999999997</v>
      </c>
    </row>
    <row r="514" spans="1:4" x14ac:dyDescent="0.3">
      <c r="A514" s="242" t="s">
        <v>15710</v>
      </c>
      <c r="B514" s="242" t="s">
        <v>15711</v>
      </c>
      <c r="C514" s="242" t="s">
        <v>15712</v>
      </c>
      <c r="D514" s="251">
        <v>34.659999999999997</v>
      </c>
    </row>
    <row r="515" spans="1:4" x14ac:dyDescent="0.3">
      <c r="A515" s="242" t="s">
        <v>15713</v>
      </c>
      <c r="B515" s="242" t="s">
        <v>15714</v>
      </c>
      <c r="C515" s="242" t="s">
        <v>15715</v>
      </c>
      <c r="D515" s="251">
        <v>13.33</v>
      </c>
    </row>
    <row r="516" spans="1:4" x14ac:dyDescent="0.3">
      <c r="A516" s="242" t="s">
        <v>15716</v>
      </c>
      <c r="B516" s="242" t="s">
        <v>15717</v>
      </c>
      <c r="C516" s="242" t="s">
        <v>15718</v>
      </c>
      <c r="D516" s="251">
        <v>13.33</v>
      </c>
    </row>
    <row r="517" spans="1:4" x14ac:dyDescent="0.3">
      <c r="A517" s="242" t="s">
        <v>15719</v>
      </c>
      <c r="B517" s="242" t="s">
        <v>15720</v>
      </c>
      <c r="C517" s="242" t="s">
        <v>15721</v>
      </c>
      <c r="D517" s="251">
        <v>10.53</v>
      </c>
    </row>
    <row r="518" spans="1:4" x14ac:dyDescent="0.3">
      <c r="A518" s="242" t="s">
        <v>15722</v>
      </c>
      <c r="B518" s="242" t="s">
        <v>15723</v>
      </c>
      <c r="C518" s="242" t="s">
        <v>15724</v>
      </c>
      <c r="D518" s="251">
        <v>6.33</v>
      </c>
    </row>
    <row r="519" spans="1:4" x14ac:dyDescent="0.3">
      <c r="A519" s="242" t="s">
        <v>15725</v>
      </c>
      <c r="B519" s="242" t="s">
        <v>15726</v>
      </c>
      <c r="C519" s="242" t="s">
        <v>15727</v>
      </c>
      <c r="D519" s="251">
        <v>20.66</v>
      </c>
    </row>
    <row r="520" spans="1:4" x14ac:dyDescent="0.3">
      <c r="A520" s="242" t="s">
        <v>15728</v>
      </c>
      <c r="B520" s="242" t="s">
        <v>15729</v>
      </c>
      <c r="C520" s="242" t="s">
        <v>15730</v>
      </c>
      <c r="D520" s="251">
        <v>20.66</v>
      </c>
    </row>
    <row r="521" spans="1:4" x14ac:dyDescent="0.3">
      <c r="A521" s="242" t="s">
        <v>15731</v>
      </c>
      <c r="B521" s="242" t="s">
        <v>15732</v>
      </c>
      <c r="C521" s="242" t="s">
        <v>15733</v>
      </c>
      <c r="D521" s="251">
        <v>34.659999999999997</v>
      </c>
    </row>
    <row r="522" spans="1:4" x14ac:dyDescent="0.3">
      <c r="A522" s="242" t="s">
        <v>15734</v>
      </c>
      <c r="B522" s="242" t="s">
        <v>15735</v>
      </c>
      <c r="C522" s="242" t="s">
        <v>15736</v>
      </c>
      <c r="D522" s="251">
        <v>34.659999999999997</v>
      </c>
    </row>
    <row r="523" spans="1:4" x14ac:dyDescent="0.3">
      <c r="A523" s="242" t="s">
        <v>15737</v>
      </c>
      <c r="B523" s="242" t="s">
        <v>15738</v>
      </c>
      <c r="C523" s="242" t="s">
        <v>15739</v>
      </c>
      <c r="D523" s="251">
        <v>13.33</v>
      </c>
    </row>
    <row r="524" spans="1:4" x14ac:dyDescent="0.3">
      <c r="A524" s="242" t="s">
        <v>15740</v>
      </c>
      <c r="B524" s="242" t="s">
        <v>15741</v>
      </c>
      <c r="C524" s="242" t="s">
        <v>15742</v>
      </c>
      <c r="D524" s="251">
        <v>62.66</v>
      </c>
    </row>
    <row r="525" spans="1:4" x14ac:dyDescent="0.3">
      <c r="A525" s="242" t="s">
        <v>15743</v>
      </c>
      <c r="B525" s="242" t="s">
        <v>15744</v>
      </c>
      <c r="C525" s="242" t="s">
        <v>15745</v>
      </c>
      <c r="D525" s="251">
        <v>31.99</v>
      </c>
    </row>
    <row r="526" spans="1:4" x14ac:dyDescent="0.3">
      <c r="A526" s="242" t="s">
        <v>15746</v>
      </c>
      <c r="B526" s="242" t="s">
        <v>15747</v>
      </c>
      <c r="C526" s="242" t="s">
        <v>15748</v>
      </c>
      <c r="D526" s="251">
        <v>20.66</v>
      </c>
    </row>
    <row r="527" spans="1:4" x14ac:dyDescent="0.3">
      <c r="A527" s="242" t="s">
        <v>15749</v>
      </c>
      <c r="B527" s="242" t="s">
        <v>15750</v>
      </c>
      <c r="C527" s="242" t="s">
        <v>15751</v>
      </c>
      <c r="D527" s="251">
        <v>6.33</v>
      </c>
    </row>
    <row r="528" spans="1:4" x14ac:dyDescent="0.3">
      <c r="A528" s="242" t="s">
        <v>15752</v>
      </c>
      <c r="B528" s="242" t="s">
        <v>15753</v>
      </c>
      <c r="C528" s="242" t="s">
        <v>15754</v>
      </c>
      <c r="D528" s="251">
        <v>17.989999999999998</v>
      </c>
    </row>
    <row r="529" spans="1:4" x14ac:dyDescent="0.3">
      <c r="A529" s="242" t="s">
        <v>15755</v>
      </c>
      <c r="B529" s="242" t="s">
        <v>15756</v>
      </c>
      <c r="C529" s="242" t="s">
        <v>15757</v>
      </c>
      <c r="D529" s="251">
        <v>24.66</v>
      </c>
    </row>
    <row r="530" spans="1:4" x14ac:dyDescent="0.3">
      <c r="A530" s="242" t="s">
        <v>15758</v>
      </c>
      <c r="B530" s="242" t="s">
        <v>15759</v>
      </c>
      <c r="C530" s="242" t="s">
        <v>15760</v>
      </c>
      <c r="D530" s="251">
        <v>35.33</v>
      </c>
    </row>
    <row r="531" spans="1:4" x14ac:dyDescent="0.3">
      <c r="A531" s="242" t="s">
        <v>15761</v>
      </c>
      <c r="B531" s="242" t="s">
        <v>15762</v>
      </c>
      <c r="C531" s="242" t="s">
        <v>15763</v>
      </c>
      <c r="D531" s="251">
        <v>2.13</v>
      </c>
    </row>
    <row r="532" spans="1:4" x14ac:dyDescent="0.3">
      <c r="A532" s="242" t="s">
        <v>15764</v>
      </c>
      <c r="B532" s="242" t="s">
        <v>15765</v>
      </c>
      <c r="C532" s="242" t="s">
        <v>15766</v>
      </c>
      <c r="D532" s="251">
        <v>5.59</v>
      </c>
    </row>
    <row r="533" spans="1:4" x14ac:dyDescent="0.3">
      <c r="A533" s="242" t="s">
        <v>15767</v>
      </c>
      <c r="B533" s="242" t="s">
        <v>15768</v>
      </c>
      <c r="C533" s="242" t="s">
        <v>15769</v>
      </c>
      <c r="D533" s="251">
        <v>7.06</v>
      </c>
    </row>
    <row r="534" spans="1:4" x14ac:dyDescent="0.3">
      <c r="A534" s="242" t="s">
        <v>15770</v>
      </c>
      <c r="B534" s="242" t="s">
        <v>15771</v>
      </c>
      <c r="C534" s="242" t="s">
        <v>15772</v>
      </c>
      <c r="D534" s="251">
        <v>2.13</v>
      </c>
    </row>
    <row r="535" spans="1:4" x14ac:dyDescent="0.3">
      <c r="A535" s="242" t="s">
        <v>15773</v>
      </c>
      <c r="B535" s="242" t="s">
        <v>15774</v>
      </c>
      <c r="C535" s="242" t="s">
        <v>15775</v>
      </c>
      <c r="D535" s="251">
        <v>2.13</v>
      </c>
    </row>
    <row r="536" spans="1:4" x14ac:dyDescent="0.3">
      <c r="A536" s="242" t="s">
        <v>15776</v>
      </c>
      <c r="B536" s="242" t="s">
        <v>15777</v>
      </c>
      <c r="C536" s="242" t="s">
        <v>15778</v>
      </c>
      <c r="D536" s="251">
        <v>2.13</v>
      </c>
    </row>
    <row r="537" spans="1:4" x14ac:dyDescent="0.3">
      <c r="A537" s="242" t="s">
        <v>15779</v>
      </c>
      <c r="B537" s="242" t="s">
        <v>15780</v>
      </c>
      <c r="C537" s="242" t="s">
        <v>15781</v>
      </c>
      <c r="D537" s="251">
        <v>8.4600000000000009</v>
      </c>
    </row>
    <row r="538" spans="1:4" x14ac:dyDescent="0.3">
      <c r="A538" s="242" t="s">
        <v>15782</v>
      </c>
      <c r="B538" s="242" t="s">
        <v>15783</v>
      </c>
      <c r="C538" s="242" t="s">
        <v>15784</v>
      </c>
      <c r="D538" s="251">
        <v>5.59</v>
      </c>
    </row>
    <row r="539" spans="1:4" x14ac:dyDescent="0.3">
      <c r="A539" s="242" t="s">
        <v>15785</v>
      </c>
      <c r="B539" s="242" t="s">
        <v>15786</v>
      </c>
      <c r="C539" s="242" t="s">
        <v>15787</v>
      </c>
      <c r="D539" s="251">
        <v>13.33</v>
      </c>
    </row>
    <row r="540" spans="1:4" x14ac:dyDescent="0.3">
      <c r="A540" s="242" t="s">
        <v>15788</v>
      </c>
      <c r="B540" s="242" t="s">
        <v>15729</v>
      </c>
      <c r="C540" s="242" t="s">
        <v>15789</v>
      </c>
      <c r="D540" s="251">
        <v>20.66</v>
      </c>
    </row>
    <row r="541" spans="1:4" x14ac:dyDescent="0.3">
      <c r="A541" s="242" t="s">
        <v>15790</v>
      </c>
      <c r="B541" s="242" t="s">
        <v>15738</v>
      </c>
      <c r="C541" s="242" t="s">
        <v>15791</v>
      </c>
      <c r="D541" s="251">
        <v>13.33</v>
      </c>
    </row>
    <row r="542" spans="1:4" x14ac:dyDescent="0.3">
      <c r="A542" s="242" t="s">
        <v>15792</v>
      </c>
      <c r="B542" s="242" t="s">
        <v>15793</v>
      </c>
      <c r="C542" s="242" t="s">
        <v>15794</v>
      </c>
      <c r="D542" s="251">
        <v>13.33</v>
      </c>
    </row>
    <row r="543" spans="1:4" x14ac:dyDescent="0.3">
      <c r="A543" s="242" t="s">
        <v>15795</v>
      </c>
      <c r="B543" s="242" t="s">
        <v>15796</v>
      </c>
      <c r="C543" s="242" t="s">
        <v>15797</v>
      </c>
      <c r="D543" s="251">
        <v>41.33</v>
      </c>
    </row>
    <row r="544" spans="1:4" x14ac:dyDescent="0.3">
      <c r="A544" s="242" t="s">
        <v>15798</v>
      </c>
      <c r="B544" s="242" t="s">
        <v>15799</v>
      </c>
      <c r="C544" s="242" t="s">
        <v>15800</v>
      </c>
      <c r="D544" s="251">
        <v>41.33</v>
      </c>
    </row>
    <row r="545" spans="1:4" x14ac:dyDescent="0.3">
      <c r="A545" s="242" t="s">
        <v>15801</v>
      </c>
      <c r="B545" s="242" t="s">
        <v>15708</v>
      </c>
      <c r="C545" s="242" t="s">
        <v>15802</v>
      </c>
      <c r="D545" s="251">
        <v>34.659999999999997</v>
      </c>
    </row>
    <row r="546" spans="1:4" x14ac:dyDescent="0.3">
      <c r="A546" s="242" t="s">
        <v>15803</v>
      </c>
      <c r="B546" s="242" t="s">
        <v>15711</v>
      </c>
      <c r="C546" s="242" t="s">
        <v>15804</v>
      </c>
      <c r="D546" s="251">
        <v>34.659999999999997</v>
      </c>
    </row>
    <row r="547" spans="1:4" x14ac:dyDescent="0.3">
      <c r="A547" s="242" t="s">
        <v>15805</v>
      </c>
      <c r="B547" s="242" t="s">
        <v>15732</v>
      </c>
      <c r="C547" s="242" t="s">
        <v>15806</v>
      </c>
      <c r="D547" s="251">
        <v>34.659999999999997</v>
      </c>
    </row>
    <row r="548" spans="1:4" x14ac:dyDescent="0.3">
      <c r="A548" s="242" t="s">
        <v>15807</v>
      </c>
      <c r="B548" s="242" t="s">
        <v>15808</v>
      </c>
      <c r="C548" s="242" t="s">
        <v>15809</v>
      </c>
      <c r="D548" s="251">
        <v>38.659999999999997</v>
      </c>
    </row>
    <row r="549" spans="1:4" x14ac:dyDescent="0.3">
      <c r="A549" s="242" t="s">
        <v>15810</v>
      </c>
      <c r="B549" s="242" t="s">
        <v>15811</v>
      </c>
      <c r="C549" s="242" t="s">
        <v>15812</v>
      </c>
      <c r="D549" s="251">
        <v>38.659999999999997</v>
      </c>
    </row>
    <row r="550" spans="1:4" x14ac:dyDescent="0.3">
      <c r="A550" s="242" t="s">
        <v>8635</v>
      </c>
      <c r="B550" s="242" t="s">
        <v>15813</v>
      </c>
      <c r="C550" s="242" t="s">
        <v>8634</v>
      </c>
      <c r="D550" s="251">
        <v>20.66</v>
      </c>
    </row>
    <row r="551" spans="1:4" x14ac:dyDescent="0.3">
      <c r="A551" s="242" t="s">
        <v>2067</v>
      </c>
      <c r="B551" s="242" t="s">
        <v>15814</v>
      </c>
      <c r="C551" s="242" t="s">
        <v>2066</v>
      </c>
      <c r="D551" s="251">
        <v>7.33</v>
      </c>
    </row>
    <row r="552" spans="1:4" x14ac:dyDescent="0.3">
      <c r="A552" s="242" t="s">
        <v>2073</v>
      </c>
      <c r="B552" s="242" t="s">
        <v>15815</v>
      </c>
      <c r="C552" s="242" t="s">
        <v>2072</v>
      </c>
      <c r="D552" s="251">
        <v>11.33</v>
      </c>
    </row>
    <row r="553" spans="1:4" x14ac:dyDescent="0.3">
      <c r="A553" s="242" t="s">
        <v>8632</v>
      </c>
      <c r="B553" s="242" t="s">
        <v>15816</v>
      </c>
      <c r="C553" s="242" t="s">
        <v>8631</v>
      </c>
      <c r="D553" s="251">
        <v>106</v>
      </c>
    </row>
    <row r="554" spans="1:4" x14ac:dyDescent="0.3">
      <c r="A554" s="242" t="s">
        <v>15817</v>
      </c>
      <c r="B554" s="242" t="s">
        <v>15818</v>
      </c>
      <c r="C554" s="242" t="s">
        <v>15819</v>
      </c>
      <c r="D554" s="251">
        <v>15.99</v>
      </c>
    </row>
    <row r="555" spans="1:4" x14ac:dyDescent="0.3">
      <c r="A555" s="242" t="s">
        <v>15820</v>
      </c>
      <c r="B555" s="242" t="s">
        <v>15821</v>
      </c>
      <c r="C555" s="242" t="s">
        <v>15822</v>
      </c>
      <c r="D555" s="251">
        <v>10.53</v>
      </c>
    </row>
    <row r="556" spans="1:4" x14ac:dyDescent="0.3">
      <c r="A556" s="242" t="s">
        <v>15823</v>
      </c>
      <c r="B556" s="242" t="s">
        <v>15824</v>
      </c>
      <c r="C556" s="242" t="s">
        <v>15825</v>
      </c>
      <c r="D556" s="251">
        <v>10.53</v>
      </c>
    </row>
    <row r="557" spans="1:4" x14ac:dyDescent="0.3">
      <c r="A557" s="242" t="s">
        <v>15826</v>
      </c>
      <c r="B557" s="242" t="s">
        <v>15827</v>
      </c>
      <c r="C557" s="242" t="s">
        <v>15828</v>
      </c>
      <c r="D557" s="251">
        <v>13.13</v>
      </c>
    </row>
    <row r="558" spans="1:4" x14ac:dyDescent="0.3">
      <c r="A558" s="242" t="s">
        <v>15829</v>
      </c>
      <c r="B558" s="242" t="s">
        <v>15830</v>
      </c>
      <c r="C558" s="242" t="s">
        <v>15831</v>
      </c>
      <c r="D558" s="251">
        <v>15.99</v>
      </c>
    </row>
    <row r="559" spans="1:4" x14ac:dyDescent="0.3">
      <c r="A559" s="242" t="s">
        <v>15832</v>
      </c>
      <c r="B559" s="242" t="s">
        <v>15833</v>
      </c>
      <c r="C559" s="242" t="s">
        <v>15834</v>
      </c>
      <c r="D559" s="251">
        <v>15.99</v>
      </c>
    </row>
    <row r="560" spans="1:4" x14ac:dyDescent="0.3">
      <c r="A560" s="242" t="s">
        <v>15835</v>
      </c>
      <c r="B560" s="242" t="s">
        <v>15836</v>
      </c>
      <c r="C560" s="242" t="s">
        <v>15837</v>
      </c>
      <c r="D560" s="251">
        <v>15.99</v>
      </c>
    </row>
    <row r="561" spans="1:4" x14ac:dyDescent="0.3">
      <c r="A561" s="242" t="s">
        <v>15838</v>
      </c>
      <c r="B561" s="242" t="s">
        <v>15839</v>
      </c>
      <c r="C561" s="242" t="s">
        <v>15840</v>
      </c>
      <c r="D561" s="251">
        <v>13.13</v>
      </c>
    </row>
    <row r="562" spans="1:4" x14ac:dyDescent="0.3">
      <c r="A562" s="242" t="s">
        <v>15841</v>
      </c>
      <c r="B562" s="242" t="s">
        <v>15842</v>
      </c>
      <c r="C562" s="242" t="s">
        <v>15843</v>
      </c>
      <c r="D562" s="251">
        <v>15.99</v>
      </c>
    </row>
    <row r="563" spans="1:4" x14ac:dyDescent="0.3">
      <c r="A563" s="242" t="s">
        <v>15844</v>
      </c>
      <c r="B563" s="242" t="s">
        <v>15845</v>
      </c>
      <c r="C563" s="242" t="s">
        <v>15846</v>
      </c>
      <c r="D563" s="251">
        <v>15.99</v>
      </c>
    </row>
    <row r="564" spans="1:4" x14ac:dyDescent="0.3">
      <c r="A564" s="242" t="s">
        <v>15847</v>
      </c>
      <c r="B564" s="242" t="s">
        <v>15848</v>
      </c>
      <c r="C564" s="242" t="s">
        <v>15849</v>
      </c>
      <c r="D564" s="251">
        <v>10.53</v>
      </c>
    </row>
    <row r="565" spans="1:4" x14ac:dyDescent="0.3">
      <c r="A565" s="242" t="s">
        <v>15850</v>
      </c>
      <c r="B565" s="242" t="s">
        <v>15851</v>
      </c>
      <c r="C565" s="242" t="s">
        <v>15852</v>
      </c>
      <c r="D565" s="251">
        <v>10.53</v>
      </c>
    </row>
    <row r="566" spans="1:4" x14ac:dyDescent="0.3">
      <c r="A566" s="242" t="s">
        <v>15853</v>
      </c>
      <c r="B566" s="242" t="s">
        <v>15854</v>
      </c>
      <c r="C566" s="242" t="s">
        <v>15855</v>
      </c>
      <c r="D566" s="251">
        <v>15.99</v>
      </c>
    </row>
    <row r="567" spans="1:4" x14ac:dyDescent="0.3">
      <c r="A567" s="242" t="s">
        <v>10019</v>
      </c>
      <c r="B567" s="242" t="s">
        <v>15856</v>
      </c>
      <c r="C567" s="242" t="s">
        <v>10018</v>
      </c>
      <c r="D567" s="251">
        <v>23.99</v>
      </c>
    </row>
    <row r="568" spans="1:4" x14ac:dyDescent="0.3">
      <c r="A568" s="242" t="s">
        <v>8389</v>
      </c>
      <c r="B568" s="242" t="s">
        <v>15857</v>
      </c>
      <c r="C568" s="242" t="s">
        <v>8388</v>
      </c>
      <c r="D568" s="251">
        <v>40.659999999999997</v>
      </c>
    </row>
    <row r="569" spans="1:4" x14ac:dyDescent="0.3">
      <c r="A569" s="242" t="s">
        <v>8392</v>
      </c>
      <c r="B569" s="242" t="s">
        <v>15858</v>
      </c>
      <c r="C569" s="242" t="s">
        <v>8391</v>
      </c>
      <c r="D569" s="251">
        <v>10.46</v>
      </c>
    </row>
    <row r="570" spans="1:4" x14ac:dyDescent="0.3">
      <c r="A570" s="242" t="s">
        <v>9107</v>
      </c>
      <c r="B570" s="242" t="s">
        <v>15859</v>
      </c>
      <c r="C570" s="242" t="s">
        <v>9106</v>
      </c>
      <c r="D570" s="251">
        <v>10.99</v>
      </c>
    </row>
    <row r="571" spans="1:4" x14ac:dyDescent="0.3">
      <c r="A571" s="242" t="s">
        <v>15860</v>
      </c>
      <c r="B571" s="242" t="s">
        <v>15861</v>
      </c>
      <c r="C571" s="242" t="s">
        <v>15862</v>
      </c>
      <c r="D571" s="251">
        <v>18.66</v>
      </c>
    </row>
    <row r="572" spans="1:4" x14ac:dyDescent="0.3">
      <c r="A572" s="242" t="s">
        <v>15863</v>
      </c>
      <c r="B572" s="242" t="s">
        <v>15864</v>
      </c>
      <c r="C572" s="242" t="s">
        <v>15865</v>
      </c>
      <c r="D572" s="251">
        <v>37.33</v>
      </c>
    </row>
    <row r="573" spans="1:4" x14ac:dyDescent="0.3">
      <c r="A573" s="242" t="s">
        <v>15866</v>
      </c>
      <c r="B573" s="242" t="s">
        <v>15867</v>
      </c>
      <c r="C573" s="242" t="s">
        <v>15868</v>
      </c>
      <c r="D573" s="251">
        <v>37.33</v>
      </c>
    </row>
    <row r="574" spans="1:4" x14ac:dyDescent="0.3">
      <c r="A574" s="242" t="s">
        <v>15869</v>
      </c>
      <c r="B574" s="242" t="s">
        <v>15870</v>
      </c>
      <c r="C574" s="242" t="s">
        <v>15871</v>
      </c>
      <c r="D574" s="251">
        <v>18.66</v>
      </c>
    </row>
    <row r="575" spans="1:4" x14ac:dyDescent="0.3">
      <c r="A575" s="242" t="s">
        <v>15872</v>
      </c>
      <c r="B575" s="242" t="s">
        <v>15873</v>
      </c>
      <c r="C575" s="242" t="s">
        <v>15874</v>
      </c>
      <c r="D575" s="251">
        <v>18.66</v>
      </c>
    </row>
    <row r="576" spans="1:4" x14ac:dyDescent="0.3">
      <c r="A576" s="242" t="s">
        <v>15875</v>
      </c>
      <c r="B576" s="242" t="s">
        <v>15876</v>
      </c>
      <c r="C576" s="242" t="s">
        <v>15877</v>
      </c>
      <c r="D576" s="251">
        <v>15.99</v>
      </c>
    </row>
    <row r="577" spans="1:4" x14ac:dyDescent="0.3">
      <c r="A577" s="242" t="s">
        <v>15878</v>
      </c>
      <c r="B577" s="242" t="s">
        <v>15879</v>
      </c>
      <c r="C577" s="242" t="s">
        <v>15880</v>
      </c>
      <c r="D577" s="251">
        <v>12.99</v>
      </c>
    </row>
    <row r="578" spans="1:4" x14ac:dyDescent="0.3">
      <c r="A578" s="242" t="s">
        <v>15881</v>
      </c>
      <c r="B578" s="242" t="s">
        <v>15882</v>
      </c>
      <c r="C578" s="242" t="s">
        <v>15883</v>
      </c>
      <c r="D578" s="251">
        <v>10.39</v>
      </c>
    </row>
    <row r="579" spans="1:4" x14ac:dyDescent="0.3">
      <c r="A579" s="242" t="s">
        <v>15884</v>
      </c>
      <c r="B579" s="242" t="s">
        <v>15885</v>
      </c>
      <c r="C579" s="242" t="s">
        <v>15886</v>
      </c>
      <c r="D579" s="251">
        <v>10.39</v>
      </c>
    </row>
    <row r="580" spans="1:4" x14ac:dyDescent="0.3">
      <c r="A580" s="242" t="s">
        <v>15887</v>
      </c>
      <c r="B580" s="242" t="s">
        <v>15888</v>
      </c>
      <c r="C580" s="242" t="s">
        <v>15889</v>
      </c>
      <c r="D580" s="251">
        <v>18.66</v>
      </c>
    </row>
    <row r="581" spans="1:4" x14ac:dyDescent="0.3">
      <c r="A581" s="242" t="s">
        <v>15890</v>
      </c>
      <c r="B581" s="242" t="s">
        <v>15891</v>
      </c>
      <c r="C581" s="242" t="s">
        <v>15892</v>
      </c>
      <c r="D581" s="251">
        <v>10.39</v>
      </c>
    </row>
    <row r="582" spans="1:4" x14ac:dyDescent="0.3">
      <c r="A582" s="242" t="s">
        <v>15893</v>
      </c>
      <c r="B582" s="242" t="s">
        <v>15894</v>
      </c>
      <c r="C582" s="242" t="s">
        <v>15895</v>
      </c>
      <c r="D582" s="251">
        <v>12.99</v>
      </c>
    </row>
    <row r="583" spans="1:4" x14ac:dyDescent="0.3">
      <c r="A583" s="242" t="s">
        <v>15896</v>
      </c>
      <c r="B583" s="242" t="s">
        <v>15897</v>
      </c>
      <c r="C583" s="242" t="s">
        <v>15898</v>
      </c>
      <c r="D583" s="251">
        <v>51.99</v>
      </c>
    </row>
    <row r="584" spans="1:4" x14ac:dyDescent="0.3">
      <c r="A584" s="242" t="s">
        <v>15899</v>
      </c>
      <c r="B584" s="242" t="s">
        <v>15900</v>
      </c>
      <c r="C584" s="242" t="s">
        <v>15901</v>
      </c>
      <c r="D584" s="251">
        <v>41.33</v>
      </c>
    </row>
    <row r="585" spans="1:4" x14ac:dyDescent="0.3">
      <c r="A585" s="242" t="s">
        <v>15902</v>
      </c>
      <c r="B585" s="242" t="s">
        <v>15903</v>
      </c>
      <c r="C585" s="242" t="s">
        <v>15904</v>
      </c>
      <c r="D585" s="251">
        <v>12.99</v>
      </c>
    </row>
    <row r="586" spans="1:4" x14ac:dyDescent="0.3">
      <c r="A586" s="242" t="s">
        <v>15905</v>
      </c>
      <c r="B586" s="242" t="s">
        <v>15906</v>
      </c>
      <c r="C586" s="242" t="s">
        <v>15907</v>
      </c>
      <c r="D586" s="251">
        <v>12.99</v>
      </c>
    </row>
    <row r="587" spans="1:4" x14ac:dyDescent="0.3">
      <c r="A587" s="242" t="s">
        <v>15908</v>
      </c>
      <c r="B587" s="242" t="s">
        <v>15909</v>
      </c>
      <c r="C587" s="242" t="s">
        <v>15910</v>
      </c>
      <c r="D587" s="251">
        <v>12.99</v>
      </c>
    </row>
    <row r="588" spans="1:4" x14ac:dyDescent="0.3">
      <c r="A588" s="242" t="s">
        <v>15911</v>
      </c>
      <c r="B588" s="242" t="s">
        <v>15912</v>
      </c>
      <c r="C588" s="242" t="s">
        <v>15913</v>
      </c>
      <c r="D588" s="251">
        <v>12.99</v>
      </c>
    </row>
    <row r="589" spans="1:4" x14ac:dyDescent="0.3">
      <c r="A589" s="242" t="s">
        <v>15914</v>
      </c>
      <c r="B589" s="242" t="s">
        <v>15915</v>
      </c>
      <c r="C589" s="242" t="s">
        <v>15916</v>
      </c>
      <c r="D589" s="251">
        <v>12.99</v>
      </c>
    </row>
    <row r="590" spans="1:4" x14ac:dyDescent="0.3">
      <c r="A590" s="242" t="s">
        <v>15917</v>
      </c>
      <c r="B590" s="242" t="s">
        <v>15918</v>
      </c>
      <c r="C590" s="242" t="s">
        <v>15919</v>
      </c>
      <c r="D590" s="251">
        <v>12.99</v>
      </c>
    </row>
    <row r="591" spans="1:4" x14ac:dyDescent="0.3">
      <c r="A591" s="242" t="s">
        <v>15920</v>
      </c>
      <c r="B591" s="242" t="s">
        <v>15921</v>
      </c>
      <c r="C591" s="242" t="s">
        <v>15922</v>
      </c>
      <c r="D591" s="251">
        <v>12.99</v>
      </c>
    </row>
    <row r="592" spans="1:4" x14ac:dyDescent="0.3">
      <c r="A592" s="242" t="s">
        <v>15923</v>
      </c>
      <c r="B592" s="242" t="s">
        <v>15924</v>
      </c>
      <c r="C592" s="242" t="s">
        <v>15925</v>
      </c>
      <c r="D592" s="251">
        <v>15.99</v>
      </c>
    </row>
    <row r="593" spans="1:4" x14ac:dyDescent="0.3">
      <c r="A593" s="242" t="s">
        <v>15926</v>
      </c>
      <c r="B593" s="242" t="s">
        <v>15927</v>
      </c>
      <c r="C593" s="242" t="s">
        <v>15928</v>
      </c>
      <c r="D593" s="251">
        <v>15.99</v>
      </c>
    </row>
    <row r="594" spans="1:4" x14ac:dyDescent="0.3">
      <c r="A594" s="242" t="s">
        <v>15929</v>
      </c>
      <c r="B594" s="242" t="s">
        <v>15930</v>
      </c>
      <c r="C594" s="242" t="s">
        <v>15931</v>
      </c>
      <c r="D594" s="251">
        <v>15.99</v>
      </c>
    </row>
    <row r="595" spans="1:4" x14ac:dyDescent="0.3">
      <c r="A595" s="242" t="s">
        <v>15932</v>
      </c>
      <c r="B595" s="242" t="s">
        <v>15933</v>
      </c>
      <c r="C595" s="242" t="s">
        <v>15934</v>
      </c>
      <c r="D595" s="251">
        <v>15.99</v>
      </c>
    </row>
    <row r="596" spans="1:4" x14ac:dyDescent="0.3">
      <c r="A596" s="242" t="s">
        <v>15935</v>
      </c>
      <c r="B596" s="242" t="s">
        <v>15936</v>
      </c>
      <c r="C596" s="242" t="s">
        <v>15937</v>
      </c>
      <c r="D596" s="251">
        <v>15.99</v>
      </c>
    </row>
    <row r="597" spans="1:4" x14ac:dyDescent="0.3">
      <c r="A597" s="242" t="s">
        <v>15938</v>
      </c>
      <c r="B597" s="242" t="s">
        <v>15939</v>
      </c>
      <c r="C597" s="242" t="s">
        <v>15940</v>
      </c>
      <c r="D597" s="251">
        <v>15.99</v>
      </c>
    </row>
    <row r="598" spans="1:4" x14ac:dyDescent="0.3">
      <c r="A598" s="242" t="s">
        <v>15941</v>
      </c>
      <c r="B598" s="242" t="s">
        <v>15942</v>
      </c>
      <c r="C598" s="242" t="s">
        <v>15943</v>
      </c>
      <c r="D598" s="251">
        <v>15.99</v>
      </c>
    </row>
    <row r="599" spans="1:4" x14ac:dyDescent="0.3">
      <c r="A599" s="242" t="s">
        <v>15944</v>
      </c>
      <c r="B599" s="242" t="s">
        <v>15945</v>
      </c>
      <c r="C599" s="242" t="s">
        <v>15946</v>
      </c>
      <c r="D599" s="251">
        <v>15.99</v>
      </c>
    </row>
    <row r="600" spans="1:4" x14ac:dyDescent="0.3">
      <c r="A600" s="242" t="s">
        <v>15947</v>
      </c>
      <c r="B600" s="242" t="s">
        <v>15948</v>
      </c>
      <c r="C600" s="242" t="s">
        <v>15949</v>
      </c>
      <c r="D600" s="251">
        <v>15.99</v>
      </c>
    </row>
    <row r="601" spans="1:4" x14ac:dyDescent="0.3">
      <c r="A601" s="242" t="s">
        <v>15950</v>
      </c>
      <c r="B601" s="242" t="s">
        <v>15951</v>
      </c>
      <c r="C601" s="242" t="s">
        <v>15952</v>
      </c>
      <c r="D601" s="251">
        <v>15.99</v>
      </c>
    </row>
    <row r="602" spans="1:4" x14ac:dyDescent="0.3">
      <c r="A602" s="242" t="s">
        <v>10724</v>
      </c>
      <c r="B602" s="242" t="s">
        <v>15953</v>
      </c>
      <c r="C602" s="242" t="s">
        <v>10723</v>
      </c>
      <c r="D602" s="251">
        <v>19.329999999999998</v>
      </c>
    </row>
    <row r="603" spans="1:4" x14ac:dyDescent="0.3">
      <c r="A603" s="242" t="s">
        <v>10809</v>
      </c>
      <c r="B603" s="242" t="s">
        <v>15954</v>
      </c>
      <c r="C603" s="242" t="s">
        <v>10808</v>
      </c>
      <c r="D603" s="251">
        <v>8.59</v>
      </c>
    </row>
    <row r="604" spans="1:4" x14ac:dyDescent="0.3">
      <c r="A604" s="242" t="s">
        <v>15955</v>
      </c>
      <c r="B604" s="242" t="s">
        <v>15956</v>
      </c>
      <c r="C604" s="242" t="s">
        <v>15957</v>
      </c>
      <c r="D604" s="251">
        <v>15.99</v>
      </c>
    </row>
    <row r="605" spans="1:4" x14ac:dyDescent="0.3">
      <c r="A605" s="242" t="s">
        <v>15958</v>
      </c>
      <c r="B605" s="242" t="s">
        <v>15959</v>
      </c>
      <c r="C605" s="242" t="s">
        <v>15960</v>
      </c>
      <c r="D605" s="251">
        <v>10.53</v>
      </c>
    </row>
    <row r="606" spans="1:4" x14ac:dyDescent="0.3">
      <c r="A606" s="242" t="s">
        <v>15961</v>
      </c>
      <c r="B606" s="242" t="s">
        <v>15962</v>
      </c>
      <c r="C606" s="242" t="s">
        <v>15963</v>
      </c>
      <c r="D606" s="251">
        <v>10.53</v>
      </c>
    </row>
    <row r="607" spans="1:4" x14ac:dyDescent="0.3">
      <c r="A607" s="242" t="s">
        <v>15964</v>
      </c>
      <c r="B607" s="242" t="s">
        <v>15965</v>
      </c>
      <c r="C607" s="242" t="s">
        <v>15966</v>
      </c>
      <c r="D607" s="251">
        <v>13.13</v>
      </c>
    </row>
    <row r="608" spans="1:4" x14ac:dyDescent="0.3">
      <c r="A608" s="242" t="s">
        <v>15967</v>
      </c>
      <c r="B608" s="242" t="s">
        <v>15968</v>
      </c>
      <c r="C608" s="242" t="s">
        <v>15969</v>
      </c>
      <c r="D608" s="251">
        <v>15.99</v>
      </c>
    </row>
    <row r="609" spans="1:4" x14ac:dyDescent="0.3">
      <c r="A609" s="242" t="s">
        <v>15970</v>
      </c>
      <c r="B609" s="242" t="s">
        <v>15971</v>
      </c>
      <c r="C609" s="242" t="s">
        <v>15972</v>
      </c>
      <c r="D609" s="251">
        <v>15.99</v>
      </c>
    </row>
    <row r="610" spans="1:4" x14ac:dyDescent="0.3">
      <c r="A610" s="242" t="s">
        <v>15973</v>
      </c>
      <c r="B610" s="242" t="s">
        <v>15974</v>
      </c>
      <c r="C610" s="242" t="s">
        <v>15975</v>
      </c>
      <c r="D610" s="251">
        <v>15.99</v>
      </c>
    </row>
    <row r="611" spans="1:4" x14ac:dyDescent="0.3">
      <c r="A611" s="242" t="s">
        <v>15976</v>
      </c>
      <c r="B611" s="242" t="s">
        <v>15977</v>
      </c>
      <c r="C611" s="242" t="s">
        <v>15978</v>
      </c>
      <c r="D611" s="251">
        <v>13.13</v>
      </c>
    </row>
    <row r="612" spans="1:4" x14ac:dyDescent="0.3">
      <c r="A612" s="242" t="s">
        <v>15979</v>
      </c>
      <c r="B612" s="242" t="s">
        <v>15980</v>
      </c>
      <c r="C612" s="242" t="s">
        <v>15981</v>
      </c>
      <c r="D612" s="251">
        <v>15.99</v>
      </c>
    </row>
    <row r="613" spans="1:4" x14ac:dyDescent="0.3">
      <c r="A613" s="242" t="s">
        <v>15982</v>
      </c>
      <c r="B613" s="242" t="s">
        <v>15983</v>
      </c>
      <c r="C613" s="242" t="s">
        <v>15984</v>
      </c>
      <c r="D613" s="251">
        <v>15.99</v>
      </c>
    </row>
    <row r="614" spans="1:4" x14ac:dyDescent="0.3">
      <c r="A614" s="242" t="s">
        <v>15985</v>
      </c>
      <c r="B614" s="242" t="s">
        <v>15986</v>
      </c>
      <c r="C614" s="242" t="s">
        <v>15987</v>
      </c>
      <c r="D614" s="251">
        <v>10.53</v>
      </c>
    </row>
    <row r="615" spans="1:4" x14ac:dyDescent="0.3">
      <c r="A615" s="242" t="s">
        <v>15988</v>
      </c>
      <c r="B615" s="242" t="s">
        <v>15989</v>
      </c>
      <c r="C615" s="242" t="s">
        <v>15990</v>
      </c>
      <c r="D615" s="251">
        <v>10.53</v>
      </c>
    </row>
    <row r="616" spans="1:4" x14ac:dyDescent="0.3">
      <c r="A616" s="242" t="s">
        <v>15991</v>
      </c>
      <c r="B616" s="242" t="s">
        <v>15992</v>
      </c>
      <c r="C616" s="242" t="s">
        <v>15993</v>
      </c>
      <c r="D616" s="251">
        <v>13.13</v>
      </c>
    </row>
    <row r="617" spans="1:4" x14ac:dyDescent="0.3">
      <c r="A617" s="242" t="s">
        <v>15994</v>
      </c>
      <c r="B617" s="242" t="s">
        <v>15995</v>
      </c>
      <c r="C617" s="242" t="s">
        <v>15996</v>
      </c>
      <c r="D617" s="251">
        <v>15.99</v>
      </c>
    </row>
    <row r="618" spans="1:4" x14ac:dyDescent="0.3">
      <c r="A618" s="242" t="s">
        <v>15997</v>
      </c>
      <c r="B618" s="242" t="s">
        <v>15998</v>
      </c>
      <c r="C618" s="242" t="s">
        <v>15999</v>
      </c>
      <c r="D618" s="251">
        <v>15.99</v>
      </c>
    </row>
    <row r="619" spans="1:4" x14ac:dyDescent="0.3">
      <c r="A619" s="242" t="s">
        <v>16000</v>
      </c>
      <c r="B619" s="242" t="s">
        <v>16001</v>
      </c>
      <c r="C619" s="242" t="s">
        <v>16002</v>
      </c>
      <c r="D619" s="251">
        <v>15.99</v>
      </c>
    </row>
    <row r="620" spans="1:4" x14ac:dyDescent="0.3">
      <c r="A620" s="242" t="s">
        <v>16003</v>
      </c>
      <c r="B620" s="242" t="s">
        <v>16004</v>
      </c>
      <c r="C620" s="242" t="s">
        <v>16005</v>
      </c>
      <c r="D620" s="251">
        <v>13.13</v>
      </c>
    </row>
    <row r="621" spans="1:4" x14ac:dyDescent="0.3">
      <c r="A621" s="242" t="s">
        <v>16006</v>
      </c>
      <c r="B621" s="242" t="s">
        <v>16007</v>
      </c>
      <c r="C621" s="242" t="s">
        <v>16008</v>
      </c>
      <c r="D621" s="251">
        <v>15.99</v>
      </c>
    </row>
    <row r="622" spans="1:4" x14ac:dyDescent="0.3">
      <c r="A622" s="242" t="s">
        <v>16009</v>
      </c>
      <c r="B622" s="242" t="s">
        <v>16010</v>
      </c>
      <c r="C622" s="242" t="s">
        <v>16011</v>
      </c>
      <c r="D622" s="251">
        <v>15.99</v>
      </c>
    </row>
    <row r="623" spans="1:4" x14ac:dyDescent="0.3">
      <c r="A623" s="242" t="s">
        <v>16012</v>
      </c>
      <c r="B623" s="242" t="s">
        <v>16013</v>
      </c>
      <c r="C623" s="242" t="s">
        <v>16014</v>
      </c>
      <c r="D623" s="251">
        <v>10.53</v>
      </c>
    </row>
    <row r="624" spans="1:4" x14ac:dyDescent="0.3">
      <c r="A624" s="242" t="s">
        <v>16015</v>
      </c>
      <c r="B624" s="242" t="s">
        <v>16016</v>
      </c>
      <c r="C624" s="242" t="s">
        <v>16017</v>
      </c>
      <c r="D624" s="251">
        <v>10.53</v>
      </c>
    </row>
    <row r="625" spans="1:4" x14ac:dyDescent="0.3">
      <c r="A625" s="242" t="s">
        <v>16018</v>
      </c>
      <c r="B625" s="242" t="s">
        <v>16019</v>
      </c>
      <c r="C625" s="242" t="s">
        <v>16020</v>
      </c>
      <c r="D625" s="251">
        <v>13.13</v>
      </c>
    </row>
    <row r="626" spans="1:4" x14ac:dyDescent="0.3">
      <c r="A626" s="242" t="s">
        <v>16021</v>
      </c>
      <c r="B626" s="242" t="s">
        <v>16022</v>
      </c>
      <c r="C626" s="242" t="s">
        <v>16023</v>
      </c>
      <c r="D626" s="251">
        <v>13.13</v>
      </c>
    </row>
    <row r="627" spans="1:4" x14ac:dyDescent="0.3">
      <c r="A627" s="242" t="s">
        <v>16024</v>
      </c>
      <c r="B627" s="242" t="s">
        <v>16025</v>
      </c>
      <c r="C627" s="242" t="s">
        <v>16026</v>
      </c>
      <c r="D627" s="251">
        <v>15.99</v>
      </c>
    </row>
    <row r="628" spans="1:4" x14ac:dyDescent="0.3">
      <c r="A628" s="242" t="s">
        <v>16027</v>
      </c>
      <c r="B628" s="242" t="s">
        <v>16028</v>
      </c>
      <c r="C628" s="242" t="s">
        <v>16029</v>
      </c>
      <c r="D628" s="251">
        <v>15.99</v>
      </c>
    </row>
    <row r="629" spans="1:4" x14ac:dyDescent="0.3">
      <c r="A629" s="242" t="s">
        <v>16030</v>
      </c>
      <c r="B629" s="242" t="s">
        <v>16031</v>
      </c>
      <c r="C629" s="242" t="s">
        <v>16032</v>
      </c>
      <c r="D629" s="251">
        <v>15.99</v>
      </c>
    </row>
    <row r="630" spans="1:4" x14ac:dyDescent="0.3">
      <c r="A630" s="242" t="s">
        <v>16033</v>
      </c>
      <c r="B630" s="242" t="s">
        <v>16034</v>
      </c>
      <c r="C630" s="242" t="s">
        <v>16035</v>
      </c>
      <c r="D630" s="251">
        <v>13.13</v>
      </c>
    </row>
    <row r="631" spans="1:4" x14ac:dyDescent="0.3">
      <c r="A631" s="242" t="s">
        <v>16036</v>
      </c>
      <c r="B631" s="242" t="s">
        <v>16037</v>
      </c>
      <c r="C631" s="242" t="s">
        <v>16038</v>
      </c>
      <c r="D631" s="251">
        <v>15.99</v>
      </c>
    </row>
    <row r="632" spans="1:4" x14ac:dyDescent="0.3">
      <c r="A632" s="242" t="s">
        <v>11645</v>
      </c>
      <c r="B632" s="242" t="s">
        <v>16039</v>
      </c>
      <c r="C632" s="242" t="s">
        <v>11644</v>
      </c>
      <c r="D632" s="251">
        <v>10.46</v>
      </c>
    </row>
    <row r="633" spans="1:4" x14ac:dyDescent="0.3">
      <c r="A633" s="242" t="s">
        <v>16040</v>
      </c>
      <c r="B633" s="242" t="s">
        <v>16041</v>
      </c>
      <c r="C633" s="242" t="s">
        <v>16042</v>
      </c>
      <c r="D633" s="251">
        <v>10.53</v>
      </c>
    </row>
    <row r="634" spans="1:4" x14ac:dyDescent="0.3">
      <c r="A634" s="242" t="s">
        <v>16043</v>
      </c>
      <c r="B634" s="242" t="s">
        <v>16044</v>
      </c>
      <c r="C634" s="242" t="s">
        <v>16045</v>
      </c>
      <c r="D634" s="251">
        <v>10.53</v>
      </c>
    </row>
    <row r="635" spans="1:4" x14ac:dyDescent="0.3">
      <c r="A635" s="242" t="s">
        <v>11651</v>
      </c>
      <c r="B635" s="242" t="s">
        <v>16046</v>
      </c>
      <c r="C635" s="242" t="s">
        <v>11650</v>
      </c>
      <c r="D635" s="251">
        <v>19.329999999999998</v>
      </c>
    </row>
    <row r="636" spans="1:4" x14ac:dyDescent="0.3">
      <c r="A636" s="242" t="s">
        <v>16047</v>
      </c>
      <c r="B636" s="242" t="s">
        <v>16048</v>
      </c>
      <c r="C636" s="242" t="s">
        <v>16049</v>
      </c>
      <c r="D636" s="251">
        <v>13.13</v>
      </c>
    </row>
    <row r="637" spans="1:4" x14ac:dyDescent="0.3">
      <c r="A637" s="242" t="s">
        <v>16050</v>
      </c>
      <c r="B637" s="242" t="s">
        <v>16051</v>
      </c>
      <c r="C637" s="242" t="s">
        <v>16052</v>
      </c>
      <c r="D637" s="251">
        <v>15.99</v>
      </c>
    </row>
    <row r="638" spans="1:4" x14ac:dyDescent="0.3">
      <c r="A638" s="242" t="s">
        <v>16053</v>
      </c>
      <c r="B638" s="242" t="s">
        <v>16054</v>
      </c>
      <c r="C638" s="242" t="s">
        <v>16055</v>
      </c>
      <c r="D638" s="251">
        <v>15.99</v>
      </c>
    </row>
    <row r="639" spans="1:4" x14ac:dyDescent="0.3">
      <c r="A639" s="242" t="s">
        <v>11657</v>
      </c>
      <c r="B639" s="242" t="s">
        <v>15924</v>
      </c>
      <c r="C639" s="242" t="s">
        <v>11656</v>
      </c>
      <c r="D639" s="251">
        <v>12.59</v>
      </c>
    </row>
    <row r="640" spans="1:4" x14ac:dyDescent="0.3">
      <c r="A640" s="242" t="s">
        <v>16056</v>
      </c>
      <c r="B640" s="242" t="s">
        <v>16057</v>
      </c>
      <c r="C640" s="242" t="s">
        <v>16058</v>
      </c>
      <c r="D640" s="251">
        <v>15.99</v>
      </c>
    </row>
    <row r="641" spans="1:4" x14ac:dyDescent="0.3">
      <c r="A641" s="242" t="s">
        <v>16059</v>
      </c>
      <c r="B641" s="242" t="s">
        <v>16060</v>
      </c>
      <c r="C641" s="242" t="s">
        <v>16061</v>
      </c>
      <c r="D641" s="251">
        <v>13.13</v>
      </c>
    </row>
    <row r="642" spans="1:4" x14ac:dyDescent="0.3">
      <c r="A642" s="242" t="s">
        <v>16062</v>
      </c>
      <c r="B642" s="242" t="s">
        <v>16063</v>
      </c>
      <c r="C642" s="242" t="s">
        <v>16064</v>
      </c>
      <c r="D642" s="251">
        <v>15.99</v>
      </c>
    </row>
    <row r="643" spans="1:4" x14ac:dyDescent="0.3">
      <c r="A643" s="242" t="s">
        <v>16065</v>
      </c>
      <c r="B643" s="242" t="s">
        <v>16066</v>
      </c>
      <c r="C643" s="242" t="s">
        <v>16067</v>
      </c>
      <c r="D643" s="251">
        <v>10.53</v>
      </c>
    </row>
    <row r="644" spans="1:4" x14ac:dyDescent="0.3">
      <c r="A644" s="242" t="s">
        <v>16068</v>
      </c>
      <c r="B644" s="242" t="s">
        <v>16069</v>
      </c>
      <c r="C644" s="242" t="s">
        <v>16070</v>
      </c>
      <c r="D644" s="251">
        <v>10.53</v>
      </c>
    </row>
    <row r="645" spans="1:4" x14ac:dyDescent="0.3">
      <c r="A645" s="242" t="s">
        <v>16071</v>
      </c>
      <c r="B645" s="242" t="s">
        <v>16072</v>
      </c>
      <c r="C645" s="242" t="s">
        <v>16073</v>
      </c>
      <c r="D645" s="251">
        <v>13.13</v>
      </c>
    </row>
    <row r="646" spans="1:4" x14ac:dyDescent="0.3">
      <c r="A646" s="242" t="s">
        <v>16074</v>
      </c>
      <c r="B646" s="242" t="s">
        <v>16075</v>
      </c>
      <c r="C646" s="242" t="s">
        <v>16076</v>
      </c>
      <c r="D646" s="251">
        <v>15.99</v>
      </c>
    </row>
    <row r="647" spans="1:4" x14ac:dyDescent="0.3">
      <c r="A647" s="242" t="s">
        <v>16077</v>
      </c>
      <c r="B647" s="242" t="s">
        <v>16078</v>
      </c>
      <c r="C647" s="242" t="s">
        <v>16079</v>
      </c>
      <c r="D647" s="251">
        <v>15.99</v>
      </c>
    </row>
    <row r="648" spans="1:4" x14ac:dyDescent="0.3">
      <c r="A648" s="242" t="s">
        <v>16080</v>
      </c>
      <c r="B648" s="242" t="s">
        <v>16081</v>
      </c>
      <c r="C648" s="242" t="s">
        <v>16082</v>
      </c>
      <c r="D648" s="251">
        <v>15.99</v>
      </c>
    </row>
    <row r="649" spans="1:4" x14ac:dyDescent="0.3">
      <c r="A649" s="242" t="s">
        <v>16083</v>
      </c>
      <c r="B649" s="242" t="s">
        <v>16084</v>
      </c>
      <c r="C649" s="242" t="s">
        <v>16085</v>
      </c>
      <c r="D649" s="251">
        <v>13.13</v>
      </c>
    </row>
    <row r="650" spans="1:4" x14ac:dyDescent="0.3">
      <c r="A650" s="242" t="s">
        <v>5342</v>
      </c>
      <c r="B650" s="242" t="s">
        <v>16086</v>
      </c>
      <c r="C650" s="242" t="s">
        <v>5341</v>
      </c>
      <c r="D650" s="251">
        <v>15.99</v>
      </c>
    </row>
    <row r="651" spans="1:4" x14ac:dyDescent="0.3">
      <c r="A651" s="242" t="s">
        <v>16087</v>
      </c>
      <c r="B651" s="242" t="s">
        <v>16088</v>
      </c>
      <c r="C651" s="242" t="s">
        <v>16089</v>
      </c>
      <c r="D651" s="251">
        <v>15.99</v>
      </c>
    </row>
    <row r="652" spans="1:4" x14ac:dyDescent="0.3">
      <c r="A652" s="242" t="s">
        <v>16090</v>
      </c>
      <c r="B652" s="242" t="s">
        <v>16091</v>
      </c>
      <c r="C652" s="242" t="s">
        <v>16092</v>
      </c>
      <c r="D652" s="251">
        <v>15.99</v>
      </c>
    </row>
    <row r="653" spans="1:4" x14ac:dyDescent="0.3">
      <c r="A653" s="242" t="s">
        <v>16093</v>
      </c>
      <c r="B653" s="242" t="s">
        <v>16094</v>
      </c>
      <c r="C653" s="242" t="s">
        <v>16095</v>
      </c>
      <c r="D653" s="251">
        <v>13.13</v>
      </c>
    </row>
    <row r="654" spans="1:4" x14ac:dyDescent="0.3">
      <c r="A654" s="242" t="s">
        <v>16096</v>
      </c>
      <c r="B654" s="242" t="s">
        <v>16097</v>
      </c>
      <c r="C654" s="242" t="s">
        <v>16098</v>
      </c>
      <c r="D654" s="251">
        <v>15.99</v>
      </c>
    </row>
    <row r="655" spans="1:4" x14ac:dyDescent="0.3">
      <c r="A655" s="242" t="s">
        <v>16099</v>
      </c>
      <c r="B655" s="242" t="s">
        <v>16100</v>
      </c>
      <c r="C655" s="242" t="s">
        <v>16101</v>
      </c>
      <c r="D655" s="251">
        <v>15.99</v>
      </c>
    </row>
    <row r="656" spans="1:4" x14ac:dyDescent="0.3">
      <c r="A656" s="242" t="s">
        <v>16102</v>
      </c>
      <c r="B656" s="242" t="s">
        <v>16103</v>
      </c>
      <c r="C656" s="242" t="s">
        <v>16104</v>
      </c>
      <c r="D656" s="251">
        <v>15.99</v>
      </c>
    </row>
    <row r="657" spans="1:4" x14ac:dyDescent="0.3">
      <c r="A657" s="242" t="s">
        <v>16105</v>
      </c>
      <c r="B657" s="242" t="s">
        <v>16106</v>
      </c>
      <c r="C657" s="242" t="s">
        <v>16107</v>
      </c>
      <c r="D657" s="251">
        <v>15.99</v>
      </c>
    </row>
    <row r="658" spans="1:4" x14ac:dyDescent="0.3">
      <c r="A658" s="242" t="s">
        <v>16108</v>
      </c>
      <c r="B658" s="242" t="s">
        <v>16109</v>
      </c>
      <c r="C658" s="242" t="s">
        <v>16110</v>
      </c>
      <c r="D658" s="251">
        <v>13.13</v>
      </c>
    </row>
    <row r="659" spans="1:4" x14ac:dyDescent="0.3">
      <c r="A659" s="242" t="s">
        <v>16111</v>
      </c>
      <c r="B659" s="242" t="s">
        <v>16112</v>
      </c>
      <c r="C659" s="242" t="s">
        <v>16113</v>
      </c>
      <c r="D659" s="251">
        <v>15.99</v>
      </c>
    </row>
    <row r="660" spans="1:4" x14ac:dyDescent="0.3">
      <c r="A660" s="242" t="s">
        <v>16114</v>
      </c>
      <c r="B660" s="242" t="s">
        <v>16115</v>
      </c>
      <c r="C660" s="242" t="s">
        <v>16116</v>
      </c>
      <c r="D660" s="251">
        <v>15.99</v>
      </c>
    </row>
    <row r="661" spans="1:4" x14ac:dyDescent="0.3">
      <c r="A661" s="242" t="s">
        <v>16117</v>
      </c>
      <c r="B661" s="242" t="s">
        <v>16118</v>
      </c>
      <c r="C661" s="242" t="s">
        <v>16119</v>
      </c>
      <c r="D661" s="251">
        <v>15.99</v>
      </c>
    </row>
    <row r="662" spans="1:4" x14ac:dyDescent="0.3">
      <c r="A662" s="242" t="s">
        <v>16120</v>
      </c>
      <c r="B662" s="242" t="s">
        <v>16121</v>
      </c>
      <c r="C662" s="242" t="s">
        <v>16122</v>
      </c>
      <c r="D662" s="251">
        <v>23.99</v>
      </c>
    </row>
    <row r="663" spans="1:4" x14ac:dyDescent="0.3">
      <c r="A663" s="242" t="s">
        <v>16123</v>
      </c>
      <c r="B663" s="242" t="s">
        <v>16124</v>
      </c>
      <c r="C663" s="242" t="s">
        <v>16125</v>
      </c>
      <c r="D663" s="251">
        <v>40.659999999999997</v>
      </c>
    </row>
    <row r="664" spans="1:4" x14ac:dyDescent="0.3">
      <c r="A664" s="242" t="s">
        <v>16126</v>
      </c>
      <c r="B664" s="242" t="s">
        <v>16127</v>
      </c>
      <c r="C664" s="242" t="s">
        <v>16128</v>
      </c>
      <c r="D664" s="251">
        <v>10.46</v>
      </c>
    </row>
    <row r="665" spans="1:4" x14ac:dyDescent="0.3">
      <c r="A665" s="242" t="s">
        <v>16129</v>
      </c>
      <c r="B665" s="242" t="s">
        <v>16130</v>
      </c>
      <c r="C665" s="242" t="s">
        <v>16131</v>
      </c>
      <c r="D665" s="251">
        <v>8.59</v>
      </c>
    </row>
    <row r="666" spans="1:4" x14ac:dyDescent="0.3">
      <c r="A666" s="242" t="s">
        <v>16132</v>
      </c>
      <c r="B666" s="242" t="s">
        <v>16133</v>
      </c>
      <c r="C666" s="242" t="s">
        <v>16134</v>
      </c>
      <c r="D666" s="251">
        <v>10.39</v>
      </c>
    </row>
    <row r="667" spans="1:4" x14ac:dyDescent="0.3">
      <c r="A667" s="242" t="s">
        <v>16135</v>
      </c>
      <c r="B667" s="242" t="s">
        <v>16136</v>
      </c>
      <c r="C667" s="242" t="s">
        <v>16137</v>
      </c>
      <c r="D667" s="251">
        <v>12.99</v>
      </c>
    </row>
    <row r="668" spans="1:4" x14ac:dyDescent="0.3">
      <c r="A668" s="242" t="s">
        <v>16138</v>
      </c>
      <c r="B668" s="242" t="s">
        <v>16139</v>
      </c>
      <c r="C668" s="242" t="s">
        <v>16140</v>
      </c>
      <c r="D668" s="251">
        <v>19.329999999999998</v>
      </c>
    </row>
    <row r="669" spans="1:4" x14ac:dyDescent="0.3">
      <c r="A669" s="242" t="s">
        <v>16141</v>
      </c>
      <c r="B669" s="242" t="s">
        <v>16142</v>
      </c>
      <c r="C669" s="242" t="s">
        <v>16143</v>
      </c>
      <c r="D669" s="251">
        <v>19.329999999999998</v>
      </c>
    </row>
    <row r="670" spans="1:4" x14ac:dyDescent="0.3">
      <c r="A670" s="242" t="s">
        <v>16144</v>
      </c>
      <c r="B670" s="242" t="s">
        <v>16145</v>
      </c>
      <c r="C670" s="242" t="s">
        <v>16146</v>
      </c>
      <c r="D670" s="251">
        <v>12.99</v>
      </c>
    </row>
    <row r="671" spans="1:4" x14ac:dyDescent="0.3">
      <c r="A671" s="242" t="s">
        <v>16147</v>
      </c>
      <c r="B671" s="242" t="s">
        <v>16148</v>
      </c>
      <c r="C671" s="242" t="s">
        <v>16149</v>
      </c>
      <c r="D671" s="251">
        <v>12.99</v>
      </c>
    </row>
    <row r="672" spans="1:4" x14ac:dyDescent="0.3">
      <c r="A672" s="242" t="s">
        <v>16150</v>
      </c>
      <c r="B672" s="242" t="s">
        <v>16151</v>
      </c>
      <c r="C672" s="242" t="s">
        <v>16152</v>
      </c>
      <c r="D672" s="251">
        <v>12.99</v>
      </c>
    </row>
    <row r="673" spans="1:4" x14ac:dyDescent="0.3">
      <c r="A673" s="242" t="s">
        <v>16153</v>
      </c>
      <c r="B673" s="242" t="s">
        <v>16154</v>
      </c>
      <c r="C673" s="242" t="s">
        <v>16155</v>
      </c>
      <c r="D673" s="251">
        <v>19.329999999999998</v>
      </c>
    </row>
    <row r="674" spans="1:4" x14ac:dyDescent="0.3">
      <c r="A674" s="242" t="s">
        <v>16156</v>
      </c>
      <c r="B674" s="242" t="s">
        <v>16157</v>
      </c>
      <c r="C674" s="242" t="s">
        <v>16158</v>
      </c>
      <c r="D674" s="251">
        <v>10.39</v>
      </c>
    </row>
    <row r="675" spans="1:4" x14ac:dyDescent="0.3">
      <c r="A675" s="242" t="s">
        <v>16159</v>
      </c>
      <c r="B675" s="242" t="s">
        <v>16160</v>
      </c>
      <c r="C675" s="242" t="s">
        <v>16161</v>
      </c>
      <c r="D675" s="251">
        <v>15.99</v>
      </c>
    </row>
    <row r="676" spans="1:4" x14ac:dyDescent="0.3">
      <c r="A676" s="242" t="s">
        <v>16162</v>
      </c>
      <c r="B676" s="242" t="s">
        <v>16163</v>
      </c>
      <c r="C676" s="242" t="s">
        <v>16164</v>
      </c>
      <c r="D676" s="251">
        <v>12.99</v>
      </c>
    </row>
    <row r="677" spans="1:4" x14ac:dyDescent="0.3">
      <c r="A677" s="242" t="s">
        <v>16165</v>
      </c>
      <c r="B677" s="242" t="s">
        <v>16166</v>
      </c>
      <c r="C677" s="242" t="s">
        <v>16167</v>
      </c>
      <c r="D677" s="251">
        <v>10.39</v>
      </c>
    </row>
    <row r="678" spans="1:4" x14ac:dyDescent="0.3">
      <c r="A678" s="242" t="s">
        <v>16168</v>
      </c>
      <c r="B678" s="242" t="s">
        <v>16169</v>
      </c>
      <c r="C678" s="242" t="s">
        <v>16170</v>
      </c>
      <c r="D678" s="251">
        <v>27.33</v>
      </c>
    </row>
    <row r="679" spans="1:4" x14ac:dyDescent="0.3">
      <c r="A679" s="242" t="s">
        <v>16171</v>
      </c>
      <c r="B679" s="242" t="s">
        <v>16172</v>
      </c>
      <c r="C679" s="242" t="s">
        <v>16173</v>
      </c>
      <c r="D679" s="251">
        <v>27.33</v>
      </c>
    </row>
    <row r="680" spans="1:4" x14ac:dyDescent="0.3">
      <c r="A680" s="242" t="s">
        <v>16174</v>
      </c>
      <c r="B680" s="242" t="s">
        <v>16175</v>
      </c>
      <c r="C680" s="242" t="s">
        <v>16176</v>
      </c>
      <c r="D680" s="251">
        <v>27.33</v>
      </c>
    </row>
    <row r="681" spans="1:4" x14ac:dyDescent="0.3">
      <c r="A681" s="242" t="s">
        <v>16177</v>
      </c>
      <c r="B681" s="242" t="s">
        <v>16178</v>
      </c>
      <c r="C681" s="242" t="s">
        <v>16179</v>
      </c>
      <c r="D681" s="251">
        <v>27.33</v>
      </c>
    </row>
    <row r="682" spans="1:4" x14ac:dyDescent="0.3">
      <c r="A682" s="242" t="s">
        <v>16180</v>
      </c>
      <c r="B682" s="242" t="s">
        <v>16181</v>
      </c>
      <c r="C682" s="242" t="s">
        <v>16182</v>
      </c>
      <c r="D682" s="251">
        <v>27.33</v>
      </c>
    </row>
    <row r="683" spans="1:4" x14ac:dyDescent="0.3">
      <c r="A683" s="242" t="s">
        <v>16183</v>
      </c>
      <c r="B683" s="242" t="s">
        <v>16184</v>
      </c>
      <c r="C683" s="242" t="s">
        <v>16185</v>
      </c>
      <c r="D683" s="251">
        <v>27.33</v>
      </c>
    </row>
    <row r="684" spans="1:4" x14ac:dyDescent="0.3">
      <c r="A684" s="242" t="s">
        <v>16186</v>
      </c>
      <c r="B684" s="242" t="s">
        <v>16187</v>
      </c>
      <c r="C684" s="242" t="s">
        <v>16188</v>
      </c>
      <c r="D684" s="251">
        <v>27.33</v>
      </c>
    </row>
    <row r="685" spans="1:4" x14ac:dyDescent="0.3">
      <c r="A685" s="242" t="s">
        <v>16189</v>
      </c>
      <c r="B685" s="242" t="s">
        <v>16190</v>
      </c>
      <c r="C685" s="242" t="s">
        <v>16191</v>
      </c>
      <c r="D685" s="251">
        <v>27.33</v>
      </c>
    </row>
    <row r="686" spans="1:4" x14ac:dyDescent="0.3">
      <c r="A686" s="242" t="s">
        <v>16192</v>
      </c>
      <c r="B686" s="242" t="s">
        <v>16193</v>
      </c>
      <c r="C686" s="242" t="s">
        <v>16194</v>
      </c>
      <c r="D686" s="251">
        <v>17.329999999999998</v>
      </c>
    </row>
    <row r="687" spans="1:4" x14ac:dyDescent="0.3">
      <c r="A687" s="242" t="s">
        <v>16195</v>
      </c>
      <c r="B687" s="242" t="s">
        <v>16196</v>
      </c>
      <c r="C687" s="242" t="s">
        <v>16197</v>
      </c>
      <c r="D687" s="251">
        <v>17.329999999999998</v>
      </c>
    </row>
    <row r="688" spans="1:4" x14ac:dyDescent="0.3">
      <c r="A688" s="242" t="s">
        <v>16198</v>
      </c>
      <c r="B688" s="242" t="s">
        <v>16199</v>
      </c>
      <c r="C688" s="242" t="s">
        <v>16200</v>
      </c>
      <c r="D688" s="251">
        <v>17.329999999999998</v>
      </c>
    </row>
    <row r="689" spans="1:4" x14ac:dyDescent="0.3">
      <c r="A689" s="242" t="s">
        <v>16201</v>
      </c>
      <c r="B689" s="242" t="s">
        <v>16202</v>
      </c>
      <c r="C689" s="242" t="s">
        <v>16203</v>
      </c>
      <c r="D689" s="251">
        <v>17.329999999999998</v>
      </c>
    </row>
    <row r="690" spans="1:4" x14ac:dyDescent="0.3">
      <c r="A690" s="242" t="s">
        <v>16204</v>
      </c>
      <c r="B690" s="242" t="s">
        <v>16205</v>
      </c>
      <c r="C690" s="242" t="s">
        <v>16206</v>
      </c>
      <c r="D690" s="251">
        <v>9.4600000000000009</v>
      </c>
    </row>
    <row r="691" spans="1:4" x14ac:dyDescent="0.3">
      <c r="A691" s="242" t="s">
        <v>16207</v>
      </c>
      <c r="B691" s="242" t="s">
        <v>16208</v>
      </c>
      <c r="C691" s="242" t="s">
        <v>16209</v>
      </c>
      <c r="D691" s="251">
        <v>13.99</v>
      </c>
    </row>
    <row r="692" spans="1:4" x14ac:dyDescent="0.3">
      <c r="A692" s="242" t="s">
        <v>16210</v>
      </c>
      <c r="B692" s="242" t="s">
        <v>16211</v>
      </c>
      <c r="C692" s="242" t="s">
        <v>16212</v>
      </c>
      <c r="D692" s="251">
        <v>13.99</v>
      </c>
    </row>
    <row r="693" spans="1:4" x14ac:dyDescent="0.3">
      <c r="A693" s="242" t="s">
        <v>16213</v>
      </c>
      <c r="B693" s="242" t="s">
        <v>16214</v>
      </c>
      <c r="C693" s="242" t="s">
        <v>16215</v>
      </c>
      <c r="D693" s="251">
        <v>13.99</v>
      </c>
    </row>
    <row r="694" spans="1:4" x14ac:dyDescent="0.3">
      <c r="A694" s="242" t="s">
        <v>16216</v>
      </c>
      <c r="B694" s="242" t="s">
        <v>16217</v>
      </c>
      <c r="C694" s="242" t="s">
        <v>16218</v>
      </c>
      <c r="D694" s="251">
        <v>13.99</v>
      </c>
    </row>
    <row r="695" spans="1:4" x14ac:dyDescent="0.3">
      <c r="A695" s="242" t="s">
        <v>16219</v>
      </c>
      <c r="B695" s="242" t="s">
        <v>16220</v>
      </c>
      <c r="C695" s="242" t="s">
        <v>16221</v>
      </c>
      <c r="D695" s="251">
        <v>9.4600000000000009</v>
      </c>
    </row>
    <row r="696" spans="1:4" x14ac:dyDescent="0.3">
      <c r="A696" s="242" t="s">
        <v>16222</v>
      </c>
      <c r="B696" s="242" t="s">
        <v>16223</v>
      </c>
      <c r="C696" s="242" t="s">
        <v>16224</v>
      </c>
      <c r="D696" s="251">
        <v>9.4600000000000009</v>
      </c>
    </row>
    <row r="697" spans="1:4" x14ac:dyDescent="0.3">
      <c r="A697" s="242" t="s">
        <v>16225</v>
      </c>
      <c r="B697" s="242" t="s">
        <v>16226</v>
      </c>
      <c r="C697" s="242" t="s">
        <v>16227</v>
      </c>
      <c r="D697" s="251">
        <v>9.4600000000000009</v>
      </c>
    </row>
    <row r="698" spans="1:4" x14ac:dyDescent="0.3">
      <c r="A698" s="242" t="s">
        <v>16228</v>
      </c>
      <c r="B698" s="242" t="s">
        <v>16229</v>
      </c>
      <c r="C698" s="242" t="s">
        <v>16230</v>
      </c>
      <c r="D698" s="251">
        <v>9.4600000000000009</v>
      </c>
    </row>
    <row r="699" spans="1:4" x14ac:dyDescent="0.3">
      <c r="A699" s="242" t="s">
        <v>16231</v>
      </c>
      <c r="B699" s="242" t="s">
        <v>16232</v>
      </c>
      <c r="C699" s="242" t="s">
        <v>16233</v>
      </c>
      <c r="D699" s="251">
        <v>9.4600000000000009</v>
      </c>
    </row>
    <row r="700" spans="1:4" x14ac:dyDescent="0.3">
      <c r="A700" s="242" t="s">
        <v>16234</v>
      </c>
      <c r="B700" s="242" t="s">
        <v>16235</v>
      </c>
      <c r="C700" s="242" t="s">
        <v>16236</v>
      </c>
      <c r="D700" s="251">
        <v>9.4600000000000009</v>
      </c>
    </row>
    <row r="701" spans="1:4" x14ac:dyDescent="0.3">
      <c r="A701" s="242" t="s">
        <v>16237</v>
      </c>
      <c r="B701" s="242" t="s">
        <v>16238</v>
      </c>
      <c r="C701" s="242" t="s">
        <v>16239</v>
      </c>
      <c r="D701" s="251">
        <v>9.4600000000000009</v>
      </c>
    </row>
    <row r="702" spans="1:4" x14ac:dyDescent="0.3">
      <c r="A702" s="242" t="s">
        <v>16240</v>
      </c>
      <c r="B702" s="242" t="s">
        <v>16241</v>
      </c>
      <c r="C702" s="242" t="s">
        <v>16242</v>
      </c>
      <c r="D702" s="251">
        <v>12.99</v>
      </c>
    </row>
    <row r="703" spans="1:4" x14ac:dyDescent="0.3">
      <c r="A703" s="242" t="s">
        <v>16243</v>
      </c>
      <c r="B703" s="242" t="s">
        <v>16244</v>
      </c>
      <c r="C703" s="242" t="s">
        <v>16245</v>
      </c>
      <c r="D703" s="251">
        <v>19.329999999999998</v>
      </c>
    </row>
    <row r="704" spans="1:4" x14ac:dyDescent="0.3">
      <c r="A704" s="242" t="s">
        <v>16246</v>
      </c>
      <c r="B704" s="242" t="s">
        <v>16247</v>
      </c>
      <c r="C704" s="242" t="s">
        <v>16248</v>
      </c>
      <c r="D704" s="251">
        <v>10.39</v>
      </c>
    </row>
    <row r="705" spans="1:4" x14ac:dyDescent="0.3">
      <c r="A705" s="242" t="s">
        <v>16249</v>
      </c>
      <c r="B705" s="242" t="s">
        <v>16250</v>
      </c>
      <c r="C705" s="242" t="s">
        <v>16251</v>
      </c>
      <c r="D705" s="251">
        <v>10.39</v>
      </c>
    </row>
    <row r="706" spans="1:4" x14ac:dyDescent="0.3">
      <c r="A706" s="242" t="s">
        <v>16252</v>
      </c>
      <c r="B706" s="242" t="s">
        <v>16253</v>
      </c>
      <c r="C706" s="242" t="s">
        <v>16254</v>
      </c>
      <c r="D706" s="251">
        <v>12.99</v>
      </c>
    </row>
    <row r="707" spans="1:4" x14ac:dyDescent="0.3">
      <c r="A707" s="242" t="s">
        <v>16255</v>
      </c>
      <c r="B707" s="242" t="s">
        <v>16256</v>
      </c>
      <c r="C707" s="242" t="s">
        <v>16257</v>
      </c>
      <c r="D707" s="251">
        <v>51.99</v>
      </c>
    </row>
    <row r="708" spans="1:4" x14ac:dyDescent="0.3">
      <c r="A708" s="242" t="s">
        <v>16258</v>
      </c>
      <c r="B708" s="242" t="s">
        <v>16259</v>
      </c>
      <c r="C708" s="242" t="s">
        <v>16260</v>
      </c>
      <c r="D708" s="251">
        <v>12.99</v>
      </c>
    </row>
    <row r="709" spans="1:4" x14ac:dyDescent="0.3">
      <c r="A709" s="242" t="s">
        <v>16261</v>
      </c>
      <c r="B709" s="242" t="s">
        <v>16262</v>
      </c>
      <c r="C709" s="242" t="s">
        <v>16263</v>
      </c>
      <c r="D709" s="251">
        <v>19.329999999999998</v>
      </c>
    </row>
    <row r="710" spans="1:4" x14ac:dyDescent="0.3">
      <c r="A710" s="242" t="s">
        <v>16264</v>
      </c>
      <c r="B710" s="242" t="s">
        <v>16265</v>
      </c>
      <c r="C710" s="242" t="s">
        <v>16266</v>
      </c>
      <c r="D710" s="251">
        <v>37.33</v>
      </c>
    </row>
    <row r="711" spans="1:4" x14ac:dyDescent="0.3">
      <c r="A711" s="242" t="s">
        <v>16267</v>
      </c>
      <c r="B711" s="242" t="s">
        <v>16086</v>
      </c>
      <c r="C711" s="242" t="s">
        <v>16268</v>
      </c>
      <c r="D711" s="251">
        <v>15.99</v>
      </c>
    </row>
    <row r="712" spans="1:4" x14ac:dyDescent="0.3">
      <c r="A712" s="242" t="s">
        <v>16269</v>
      </c>
      <c r="B712" s="242" t="s">
        <v>16270</v>
      </c>
      <c r="C712" s="242" t="s">
        <v>16271</v>
      </c>
      <c r="D712" s="251">
        <v>106</v>
      </c>
    </row>
    <row r="713" spans="1:4" x14ac:dyDescent="0.3">
      <c r="A713" s="242" t="s">
        <v>16272</v>
      </c>
      <c r="B713" s="242" t="s">
        <v>16273</v>
      </c>
      <c r="C713" s="242" t="s">
        <v>16274</v>
      </c>
      <c r="D713" s="251">
        <v>20.66</v>
      </c>
    </row>
    <row r="714" spans="1:4" x14ac:dyDescent="0.3">
      <c r="A714" s="242" t="s">
        <v>16275</v>
      </c>
      <c r="B714" s="242" t="s">
        <v>16276</v>
      </c>
      <c r="C714" s="242" t="s">
        <v>16277</v>
      </c>
      <c r="D714" s="251">
        <v>23.99</v>
      </c>
    </row>
    <row r="715" spans="1:4" x14ac:dyDescent="0.3">
      <c r="A715" s="242" t="s">
        <v>16278</v>
      </c>
      <c r="B715" s="242" t="s">
        <v>16279</v>
      </c>
      <c r="C715" s="242" t="s">
        <v>16280</v>
      </c>
      <c r="D715" s="251">
        <v>8.4600000000000009</v>
      </c>
    </row>
    <row r="716" spans="1:4" x14ac:dyDescent="0.3">
      <c r="A716" s="242" t="s">
        <v>16281</v>
      </c>
      <c r="B716" s="242" t="s">
        <v>16282</v>
      </c>
      <c r="C716" s="242" t="s">
        <v>16283</v>
      </c>
      <c r="D716" s="251">
        <v>8.4600000000000009</v>
      </c>
    </row>
    <row r="717" spans="1:4" x14ac:dyDescent="0.3">
      <c r="A717" s="242" t="s">
        <v>16284</v>
      </c>
      <c r="B717" s="242" t="s">
        <v>16285</v>
      </c>
      <c r="C717" s="242" t="s">
        <v>16286</v>
      </c>
      <c r="D717" s="251">
        <v>8.4600000000000009</v>
      </c>
    </row>
    <row r="718" spans="1:4" x14ac:dyDescent="0.3">
      <c r="A718" s="242" t="s">
        <v>16287</v>
      </c>
      <c r="B718" s="242" t="s">
        <v>16288</v>
      </c>
      <c r="C718" s="242" t="s">
        <v>16289</v>
      </c>
      <c r="D718" s="251">
        <v>8.4600000000000009</v>
      </c>
    </row>
    <row r="719" spans="1:4" x14ac:dyDescent="0.3">
      <c r="A719" s="242" t="s">
        <v>16290</v>
      </c>
      <c r="B719" s="242" t="s">
        <v>16291</v>
      </c>
      <c r="C719" s="242" t="s">
        <v>16292</v>
      </c>
      <c r="D719" s="251">
        <v>10.53</v>
      </c>
    </row>
    <row r="720" spans="1:4" x14ac:dyDescent="0.3">
      <c r="A720" s="242" t="s">
        <v>16293</v>
      </c>
      <c r="B720" s="242" t="s">
        <v>16294</v>
      </c>
      <c r="C720" s="242" t="s">
        <v>16295</v>
      </c>
      <c r="D720" s="251">
        <v>10.53</v>
      </c>
    </row>
    <row r="721" spans="1:4" x14ac:dyDescent="0.3">
      <c r="A721" s="242" t="s">
        <v>16296</v>
      </c>
      <c r="B721" s="242" t="s">
        <v>16297</v>
      </c>
      <c r="C721" s="242" t="s">
        <v>16298</v>
      </c>
      <c r="D721" s="251">
        <v>10.53</v>
      </c>
    </row>
    <row r="722" spans="1:4" x14ac:dyDescent="0.3">
      <c r="A722" s="242" t="s">
        <v>16299</v>
      </c>
      <c r="B722" s="242" t="s">
        <v>16300</v>
      </c>
      <c r="C722" s="242" t="s">
        <v>16301</v>
      </c>
      <c r="D722" s="251">
        <v>10.53</v>
      </c>
    </row>
    <row r="723" spans="1:4" x14ac:dyDescent="0.3">
      <c r="A723" s="242" t="s">
        <v>16302</v>
      </c>
      <c r="B723" s="242" t="s">
        <v>16303</v>
      </c>
      <c r="C723" s="242" t="s">
        <v>16304</v>
      </c>
      <c r="D723" s="251">
        <v>33.99</v>
      </c>
    </row>
    <row r="724" spans="1:4" x14ac:dyDescent="0.3">
      <c r="A724" s="242" t="s">
        <v>16305</v>
      </c>
      <c r="B724" s="242" t="s">
        <v>16306</v>
      </c>
      <c r="C724" s="242" t="s">
        <v>16307</v>
      </c>
      <c r="D724" s="251">
        <v>33.99</v>
      </c>
    </row>
    <row r="725" spans="1:4" x14ac:dyDescent="0.3">
      <c r="A725" s="242" t="s">
        <v>16308</v>
      </c>
      <c r="B725" s="242" t="s">
        <v>16309</v>
      </c>
      <c r="C725" s="242" t="s">
        <v>16310</v>
      </c>
      <c r="D725" s="251">
        <v>33.99</v>
      </c>
    </row>
    <row r="726" spans="1:4" x14ac:dyDescent="0.3">
      <c r="A726" s="242" t="s">
        <v>16311</v>
      </c>
      <c r="B726" s="242" t="s">
        <v>16312</v>
      </c>
      <c r="C726" s="242" t="s">
        <v>16313</v>
      </c>
      <c r="D726" s="251">
        <v>33.99</v>
      </c>
    </row>
    <row r="727" spans="1:4" x14ac:dyDescent="0.3">
      <c r="A727" s="242" t="s">
        <v>16314</v>
      </c>
      <c r="B727" s="242" t="s">
        <v>16315</v>
      </c>
      <c r="C727" s="242" t="s">
        <v>16316</v>
      </c>
      <c r="D727" s="251">
        <v>10.53</v>
      </c>
    </row>
    <row r="728" spans="1:4" x14ac:dyDescent="0.3">
      <c r="A728" s="242" t="s">
        <v>16317</v>
      </c>
      <c r="B728" s="242" t="s">
        <v>16318</v>
      </c>
      <c r="C728" s="242" t="s">
        <v>16319</v>
      </c>
      <c r="D728" s="251">
        <v>6.33</v>
      </c>
    </row>
    <row r="729" spans="1:4" x14ac:dyDescent="0.3">
      <c r="A729" s="242" t="s">
        <v>16320</v>
      </c>
      <c r="B729" s="242" t="s">
        <v>16321</v>
      </c>
      <c r="C729" s="242" t="s">
        <v>16322</v>
      </c>
      <c r="D729" s="251">
        <v>12.99</v>
      </c>
    </row>
    <row r="730" spans="1:4" x14ac:dyDescent="0.3">
      <c r="A730" s="242" t="s">
        <v>16323</v>
      </c>
      <c r="B730" s="242" t="s">
        <v>16324</v>
      </c>
      <c r="C730" s="242" t="s">
        <v>16325</v>
      </c>
      <c r="D730" s="251">
        <v>19.329999999999998</v>
      </c>
    </row>
    <row r="731" spans="1:4" x14ac:dyDescent="0.3">
      <c r="A731" s="242" t="s">
        <v>16326</v>
      </c>
      <c r="B731" s="242" t="s">
        <v>16327</v>
      </c>
      <c r="C731" s="242" t="s">
        <v>16328</v>
      </c>
      <c r="D731" s="251">
        <v>37.33</v>
      </c>
    </row>
    <row r="732" spans="1:4" x14ac:dyDescent="0.3">
      <c r="A732" s="242" t="s">
        <v>16329</v>
      </c>
      <c r="B732" s="242" t="s">
        <v>16330</v>
      </c>
      <c r="C732" s="242" t="s">
        <v>16331</v>
      </c>
      <c r="D732" s="251">
        <v>51.99</v>
      </c>
    </row>
    <row r="733" spans="1:4" x14ac:dyDescent="0.3">
      <c r="A733" s="242" t="s">
        <v>16332</v>
      </c>
      <c r="B733" s="242" t="s">
        <v>16333</v>
      </c>
      <c r="C733" s="242" t="s">
        <v>16334</v>
      </c>
      <c r="D733" s="251">
        <v>106</v>
      </c>
    </row>
    <row r="734" spans="1:4" x14ac:dyDescent="0.3">
      <c r="A734" s="242" t="s">
        <v>16335</v>
      </c>
      <c r="B734" s="242" t="s">
        <v>16336</v>
      </c>
      <c r="C734" s="242" t="s">
        <v>16337</v>
      </c>
      <c r="D734" s="251">
        <v>12.99</v>
      </c>
    </row>
    <row r="735" spans="1:4" x14ac:dyDescent="0.3">
      <c r="A735" s="242" t="s">
        <v>16338</v>
      </c>
      <c r="B735" s="242" t="s">
        <v>16339</v>
      </c>
      <c r="C735" s="242" t="s">
        <v>16340</v>
      </c>
      <c r="D735" s="251">
        <v>19.329999999999998</v>
      </c>
    </row>
    <row r="736" spans="1:4" x14ac:dyDescent="0.3">
      <c r="A736" s="242" t="s">
        <v>16341</v>
      </c>
      <c r="B736" s="242" t="s">
        <v>16342</v>
      </c>
      <c r="C736" s="242" t="s">
        <v>16343</v>
      </c>
      <c r="D736" s="251">
        <v>12.99</v>
      </c>
    </row>
    <row r="737" spans="1:4" x14ac:dyDescent="0.3">
      <c r="A737" s="242" t="s">
        <v>16344</v>
      </c>
      <c r="B737" s="242" t="s">
        <v>16345</v>
      </c>
      <c r="C737" s="242" t="s">
        <v>16346</v>
      </c>
      <c r="D737" s="251">
        <v>19.329999999999998</v>
      </c>
    </row>
    <row r="738" spans="1:4" x14ac:dyDescent="0.3">
      <c r="A738" s="242" t="s">
        <v>16347</v>
      </c>
      <c r="B738" s="242" t="s">
        <v>16348</v>
      </c>
      <c r="C738" s="242" t="s">
        <v>16349</v>
      </c>
      <c r="D738" s="251">
        <v>12.99</v>
      </c>
    </row>
    <row r="739" spans="1:4" x14ac:dyDescent="0.3">
      <c r="A739" s="242" t="s">
        <v>16350</v>
      </c>
      <c r="B739" s="242" t="s">
        <v>16351</v>
      </c>
      <c r="C739" s="242" t="s">
        <v>16352</v>
      </c>
      <c r="D739" s="251">
        <v>6.33</v>
      </c>
    </row>
    <row r="740" spans="1:4" x14ac:dyDescent="0.3">
      <c r="A740" s="242" t="s">
        <v>16353</v>
      </c>
      <c r="B740" s="242" t="s">
        <v>16354</v>
      </c>
      <c r="C740" s="242" t="s">
        <v>16355</v>
      </c>
      <c r="D740" s="251">
        <v>10.53</v>
      </c>
    </row>
    <row r="741" spans="1:4" x14ac:dyDescent="0.3">
      <c r="A741" s="242" t="s">
        <v>16356</v>
      </c>
      <c r="B741" s="242" t="s">
        <v>16357</v>
      </c>
      <c r="C741" s="242" t="s">
        <v>16358</v>
      </c>
      <c r="D741" s="251">
        <v>6.33</v>
      </c>
    </row>
    <row r="742" spans="1:4" x14ac:dyDescent="0.3">
      <c r="A742" s="242" t="s">
        <v>16359</v>
      </c>
      <c r="B742" s="242" t="s">
        <v>16360</v>
      </c>
      <c r="C742" s="242" t="s">
        <v>16361</v>
      </c>
      <c r="D742" s="251">
        <v>6.33</v>
      </c>
    </row>
    <row r="743" spans="1:4" x14ac:dyDescent="0.3">
      <c r="A743" s="242" t="s">
        <v>16362</v>
      </c>
      <c r="B743" s="242" t="s">
        <v>16363</v>
      </c>
      <c r="C743" s="242" t="s">
        <v>16364</v>
      </c>
      <c r="D743" s="251">
        <v>6.33</v>
      </c>
    </row>
    <row r="744" spans="1:4" x14ac:dyDescent="0.3">
      <c r="A744" s="242" t="s">
        <v>16365</v>
      </c>
      <c r="B744" s="242" t="s">
        <v>16366</v>
      </c>
      <c r="C744" s="242" t="s">
        <v>16367</v>
      </c>
      <c r="D744" s="251">
        <v>10.53</v>
      </c>
    </row>
    <row r="745" spans="1:4" x14ac:dyDescent="0.3">
      <c r="A745" s="242" t="s">
        <v>16368</v>
      </c>
      <c r="B745" s="242" t="s">
        <v>16369</v>
      </c>
      <c r="C745" s="242" t="s">
        <v>16370</v>
      </c>
      <c r="D745" s="251">
        <v>6.33</v>
      </c>
    </row>
    <row r="746" spans="1:4" x14ac:dyDescent="0.3">
      <c r="A746" s="242" t="s">
        <v>16371</v>
      </c>
      <c r="B746" s="242" t="s">
        <v>16372</v>
      </c>
      <c r="C746" s="242" t="s">
        <v>16373</v>
      </c>
      <c r="D746" s="251">
        <v>6.33</v>
      </c>
    </row>
    <row r="747" spans="1:4" x14ac:dyDescent="0.3">
      <c r="A747" s="242" t="s">
        <v>16374</v>
      </c>
      <c r="B747" s="242" t="s">
        <v>16375</v>
      </c>
      <c r="C747" s="242" t="s">
        <v>16376</v>
      </c>
      <c r="D747" s="251">
        <v>6.33</v>
      </c>
    </row>
    <row r="748" spans="1:4" x14ac:dyDescent="0.3">
      <c r="A748" s="242" t="s">
        <v>16377</v>
      </c>
      <c r="B748" s="242" t="s">
        <v>16378</v>
      </c>
      <c r="C748" s="242" t="s">
        <v>16379</v>
      </c>
      <c r="D748" s="251">
        <v>6.33</v>
      </c>
    </row>
    <row r="749" spans="1:4" x14ac:dyDescent="0.3">
      <c r="A749" s="242" t="s">
        <v>16380</v>
      </c>
      <c r="B749" s="242" t="s">
        <v>16381</v>
      </c>
      <c r="C749" s="242" t="s">
        <v>16382</v>
      </c>
      <c r="D749" s="251">
        <v>6.33</v>
      </c>
    </row>
    <row r="750" spans="1:4" x14ac:dyDescent="0.3">
      <c r="A750" s="242" t="s">
        <v>16383</v>
      </c>
      <c r="B750" s="242" t="s">
        <v>16384</v>
      </c>
      <c r="C750" s="242" t="s">
        <v>16385</v>
      </c>
      <c r="D750" s="251">
        <v>6.33</v>
      </c>
    </row>
    <row r="751" spans="1:4" x14ac:dyDescent="0.3">
      <c r="A751" s="242" t="s">
        <v>16386</v>
      </c>
      <c r="B751" s="242" t="s">
        <v>16387</v>
      </c>
      <c r="C751" s="242" t="s">
        <v>16388</v>
      </c>
      <c r="D751" s="251">
        <v>39.99</v>
      </c>
    </row>
    <row r="752" spans="1:4" x14ac:dyDescent="0.3">
      <c r="A752" s="242" t="s">
        <v>16389</v>
      </c>
      <c r="B752" s="242" t="s">
        <v>16390</v>
      </c>
      <c r="C752" s="242" t="s">
        <v>16391</v>
      </c>
      <c r="D752" s="251">
        <v>10.46</v>
      </c>
    </row>
    <row r="753" spans="1:4" x14ac:dyDescent="0.3">
      <c r="A753" s="242" t="s">
        <v>16392</v>
      </c>
      <c r="B753" s="242" t="s">
        <v>16393</v>
      </c>
      <c r="C753" s="242" t="s">
        <v>16394</v>
      </c>
      <c r="D753" s="251">
        <v>37.99</v>
      </c>
    </row>
    <row r="754" spans="1:4" x14ac:dyDescent="0.3">
      <c r="A754" s="242" t="s">
        <v>16395</v>
      </c>
      <c r="B754" s="242" t="s">
        <v>16396</v>
      </c>
      <c r="C754" s="242" t="s">
        <v>16397</v>
      </c>
      <c r="D754" s="251">
        <v>15.99</v>
      </c>
    </row>
    <row r="755" spans="1:4" x14ac:dyDescent="0.3">
      <c r="A755" s="242" t="s">
        <v>16398</v>
      </c>
      <c r="B755" s="242" t="s">
        <v>16399</v>
      </c>
      <c r="C755" s="242" t="s">
        <v>16400</v>
      </c>
      <c r="D755" s="251">
        <v>15.99</v>
      </c>
    </row>
    <row r="756" spans="1:4" x14ac:dyDescent="0.3">
      <c r="A756" s="242" t="s">
        <v>16401</v>
      </c>
      <c r="B756" s="242" t="s">
        <v>16402</v>
      </c>
      <c r="C756" s="242" t="s">
        <v>16403</v>
      </c>
      <c r="D756" s="251">
        <v>15.99</v>
      </c>
    </row>
    <row r="757" spans="1:4" x14ac:dyDescent="0.3">
      <c r="A757" s="242" t="s">
        <v>16404</v>
      </c>
      <c r="B757" s="242" t="s">
        <v>16405</v>
      </c>
      <c r="C757" s="242" t="s">
        <v>16406</v>
      </c>
      <c r="D757" s="251">
        <v>15.99</v>
      </c>
    </row>
    <row r="758" spans="1:4" x14ac:dyDescent="0.3">
      <c r="A758" s="242" t="s">
        <v>16407</v>
      </c>
      <c r="B758" s="242" t="s">
        <v>16408</v>
      </c>
      <c r="C758" s="242" t="s">
        <v>16409</v>
      </c>
      <c r="D758" s="251">
        <v>15.99</v>
      </c>
    </row>
    <row r="759" spans="1:4" x14ac:dyDescent="0.3">
      <c r="A759" s="242" t="s">
        <v>16410</v>
      </c>
      <c r="B759" s="242" t="s">
        <v>16411</v>
      </c>
      <c r="C759" s="242" t="s">
        <v>16412</v>
      </c>
      <c r="D759" s="251">
        <v>15.99</v>
      </c>
    </row>
    <row r="760" spans="1:4" x14ac:dyDescent="0.3">
      <c r="A760" s="242" t="s">
        <v>16413</v>
      </c>
      <c r="B760" s="242" t="s">
        <v>16414</v>
      </c>
      <c r="C760" s="242" t="s">
        <v>16415</v>
      </c>
      <c r="D760" s="251">
        <v>15.99</v>
      </c>
    </row>
    <row r="761" spans="1:4" x14ac:dyDescent="0.3">
      <c r="A761" s="242" t="s">
        <v>16416</v>
      </c>
      <c r="B761" s="242" t="s">
        <v>16417</v>
      </c>
      <c r="C761" s="242" t="s">
        <v>16418</v>
      </c>
      <c r="D761" s="251">
        <v>15.99</v>
      </c>
    </row>
    <row r="762" spans="1:4" x14ac:dyDescent="0.3">
      <c r="A762" s="242" t="s">
        <v>16419</v>
      </c>
      <c r="B762" s="242" t="s">
        <v>16420</v>
      </c>
      <c r="C762" s="242" t="s">
        <v>16421</v>
      </c>
      <c r="D762" s="251">
        <v>15.99</v>
      </c>
    </row>
    <row r="763" spans="1:4" x14ac:dyDescent="0.3">
      <c r="A763" s="242" t="s">
        <v>11944</v>
      </c>
      <c r="B763" s="242" t="s">
        <v>16422</v>
      </c>
      <c r="C763" s="242" t="s">
        <v>11943</v>
      </c>
      <c r="D763" s="251">
        <v>19.329999999999998</v>
      </c>
    </row>
    <row r="764" spans="1:4" x14ac:dyDescent="0.3">
      <c r="A764" s="242" t="s">
        <v>16423</v>
      </c>
      <c r="B764" s="242" t="s">
        <v>16424</v>
      </c>
      <c r="C764" s="242" t="s">
        <v>16425</v>
      </c>
      <c r="D764" s="251">
        <v>15.99</v>
      </c>
    </row>
    <row r="765" spans="1:4" x14ac:dyDescent="0.3">
      <c r="A765" s="242" t="s">
        <v>16426</v>
      </c>
      <c r="B765" s="242" t="s">
        <v>16427</v>
      </c>
      <c r="C765" s="242" t="s">
        <v>16428</v>
      </c>
      <c r="D765" s="251">
        <v>15.99</v>
      </c>
    </row>
    <row r="766" spans="1:4" x14ac:dyDescent="0.3">
      <c r="A766" s="242" t="s">
        <v>16429</v>
      </c>
      <c r="B766" s="242" t="s">
        <v>16430</v>
      </c>
      <c r="C766" s="242" t="s">
        <v>16431</v>
      </c>
      <c r="D766" s="251">
        <v>15.99</v>
      </c>
    </row>
    <row r="767" spans="1:4" x14ac:dyDescent="0.3">
      <c r="A767" s="242" t="s">
        <v>16432</v>
      </c>
      <c r="B767" s="242" t="s">
        <v>16433</v>
      </c>
      <c r="C767" s="242" t="s">
        <v>16434</v>
      </c>
      <c r="D767" s="251">
        <v>15.99</v>
      </c>
    </row>
    <row r="768" spans="1:4" x14ac:dyDescent="0.3">
      <c r="A768" s="242" t="s">
        <v>16435</v>
      </c>
      <c r="B768" s="242" t="s">
        <v>16436</v>
      </c>
      <c r="C768" s="242" t="s">
        <v>16437</v>
      </c>
      <c r="D768" s="251">
        <v>15.99</v>
      </c>
    </row>
    <row r="769" spans="1:4" x14ac:dyDescent="0.3">
      <c r="A769" s="242" t="s">
        <v>11982</v>
      </c>
      <c r="B769" s="242" t="s">
        <v>16438</v>
      </c>
      <c r="C769" s="242" t="s">
        <v>11981</v>
      </c>
      <c r="D769" s="251">
        <v>52.66</v>
      </c>
    </row>
    <row r="770" spans="1:4" x14ac:dyDescent="0.3">
      <c r="A770" s="242" t="s">
        <v>8021</v>
      </c>
      <c r="B770" s="242" t="s">
        <v>16439</v>
      </c>
      <c r="C770" s="242" t="s">
        <v>8020</v>
      </c>
      <c r="D770" s="251">
        <v>15.99</v>
      </c>
    </row>
    <row r="771" spans="1:4" x14ac:dyDescent="0.3">
      <c r="A771" s="242" t="s">
        <v>8935</v>
      </c>
      <c r="B771" s="242" t="s">
        <v>16440</v>
      </c>
      <c r="C771" s="242" t="s">
        <v>8934</v>
      </c>
      <c r="D771" s="251">
        <v>25.33</v>
      </c>
    </row>
    <row r="772" spans="1:4" x14ac:dyDescent="0.3">
      <c r="A772" s="242" t="s">
        <v>8024</v>
      </c>
      <c r="B772" s="242" t="s">
        <v>16441</v>
      </c>
      <c r="C772" s="242" t="s">
        <v>8023</v>
      </c>
      <c r="D772" s="251">
        <v>15.99</v>
      </c>
    </row>
    <row r="773" spans="1:4" x14ac:dyDescent="0.3">
      <c r="A773" s="242" t="s">
        <v>10010</v>
      </c>
      <c r="B773" s="242" t="s">
        <v>16442</v>
      </c>
      <c r="C773" s="242" t="s">
        <v>10009</v>
      </c>
      <c r="D773" s="251">
        <v>37.99</v>
      </c>
    </row>
    <row r="774" spans="1:4" x14ac:dyDescent="0.3">
      <c r="A774" s="242" t="s">
        <v>8926</v>
      </c>
      <c r="B774" s="242" t="s">
        <v>16443</v>
      </c>
      <c r="C774" s="242" t="s">
        <v>8925</v>
      </c>
      <c r="D774" s="251">
        <v>14.66</v>
      </c>
    </row>
    <row r="775" spans="1:4" x14ac:dyDescent="0.3">
      <c r="A775" s="242" t="s">
        <v>8929</v>
      </c>
      <c r="B775" s="242" t="s">
        <v>16444</v>
      </c>
      <c r="C775" s="242" t="s">
        <v>8928</v>
      </c>
      <c r="D775" s="251">
        <v>32.659999999999997</v>
      </c>
    </row>
    <row r="776" spans="1:4" x14ac:dyDescent="0.3">
      <c r="A776" s="242" t="s">
        <v>10028</v>
      </c>
      <c r="B776" s="242" t="s">
        <v>16445</v>
      </c>
      <c r="C776" s="242" t="s">
        <v>10027</v>
      </c>
      <c r="D776" s="251">
        <v>15.33</v>
      </c>
    </row>
    <row r="777" spans="1:4" x14ac:dyDescent="0.3">
      <c r="A777" s="242" t="s">
        <v>10031</v>
      </c>
      <c r="B777" s="242" t="s">
        <v>16446</v>
      </c>
      <c r="C777" s="242" t="s">
        <v>10030</v>
      </c>
      <c r="D777" s="251">
        <v>45.33</v>
      </c>
    </row>
    <row r="778" spans="1:4" x14ac:dyDescent="0.3">
      <c r="A778" s="242" t="s">
        <v>10040</v>
      </c>
      <c r="B778" s="242" t="s">
        <v>16447</v>
      </c>
      <c r="C778" s="242" t="s">
        <v>10039</v>
      </c>
      <c r="D778" s="251">
        <v>15.33</v>
      </c>
    </row>
    <row r="779" spans="1:4" x14ac:dyDescent="0.3">
      <c r="A779" s="242" t="s">
        <v>10043</v>
      </c>
      <c r="B779" s="242" t="s">
        <v>16448</v>
      </c>
      <c r="C779" s="242" t="s">
        <v>10042</v>
      </c>
      <c r="D779" s="251">
        <v>25.33</v>
      </c>
    </row>
    <row r="780" spans="1:4" x14ac:dyDescent="0.3">
      <c r="A780" s="242" t="s">
        <v>10046</v>
      </c>
      <c r="B780" s="242" t="s">
        <v>16449</v>
      </c>
      <c r="C780" s="242" t="s">
        <v>10045</v>
      </c>
      <c r="D780" s="251">
        <v>15.33</v>
      </c>
    </row>
    <row r="781" spans="1:4" x14ac:dyDescent="0.3">
      <c r="A781" s="242" t="s">
        <v>10049</v>
      </c>
      <c r="B781" s="242" t="s">
        <v>16450</v>
      </c>
      <c r="C781" s="242" t="s">
        <v>10048</v>
      </c>
      <c r="D781" s="251">
        <v>29.99</v>
      </c>
    </row>
    <row r="782" spans="1:4" x14ac:dyDescent="0.3">
      <c r="A782" s="242" t="s">
        <v>10052</v>
      </c>
      <c r="B782" s="242" t="s">
        <v>16451</v>
      </c>
      <c r="C782" s="242" t="s">
        <v>10051</v>
      </c>
      <c r="D782" s="251">
        <v>15.33</v>
      </c>
    </row>
    <row r="783" spans="1:4" x14ac:dyDescent="0.3">
      <c r="A783" s="242" t="s">
        <v>16452</v>
      </c>
      <c r="B783" s="242" t="s">
        <v>16453</v>
      </c>
      <c r="C783" s="242" t="s">
        <v>16454</v>
      </c>
      <c r="D783" s="251">
        <v>13.13</v>
      </c>
    </row>
    <row r="784" spans="1:4" x14ac:dyDescent="0.3">
      <c r="A784" s="242" t="s">
        <v>16455</v>
      </c>
      <c r="B784" s="242" t="s">
        <v>16456</v>
      </c>
      <c r="C784" s="242" t="s">
        <v>16457</v>
      </c>
      <c r="D784" s="251">
        <v>15.99</v>
      </c>
    </row>
    <row r="785" spans="1:4" x14ac:dyDescent="0.3">
      <c r="A785" s="242" t="s">
        <v>16458</v>
      </c>
      <c r="B785" s="242" t="s">
        <v>16459</v>
      </c>
      <c r="C785" s="242" t="s">
        <v>16460</v>
      </c>
      <c r="D785" s="251">
        <v>15.99</v>
      </c>
    </row>
    <row r="786" spans="1:4" x14ac:dyDescent="0.3">
      <c r="A786" s="242" t="s">
        <v>16461</v>
      </c>
      <c r="B786" s="242" t="s">
        <v>16462</v>
      </c>
      <c r="C786" s="242" t="s">
        <v>16463</v>
      </c>
      <c r="D786" s="251">
        <v>15.99</v>
      </c>
    </row>
    <row r="787" spans="1:4" x14ac:dyDescent="0.3">
      <c r="A787" s="242" t="s">
        <v>2061</v>
      </c>
      <c r="B787" s="242" t="s">
        <v>16464</v>
      </c>
      <c r="C787" s="242" t="s">
        <v>2060</v>
      </c>
      <c r="D787" s="251">
        <v>11.33</v>
      </c>
    </row>
    <row r="788" spans="1:4" x14ac:dyDescent="0.3">
      <c r="A788" s="242" t="s">
        <v>2097</v>
      </c>
      <c r="B788" s="242" t="s">
        <v>16465</v>
      </c>
      <c r="C788" s="242" t="s">
        <v>2096</v>
      </c>
      <c r="D788" s="251">
        <v>11.33</v>
      </c>
    </row>
    <row r="789" spans="1:4" x14ac:dyDescent="0.3">
      <c r="A789" s="242" t="s">
        <v>10013</v>
      </c>
      <c r="B789" s="242" t="s">
        <v>16466</v>
      </c>
      <c r="C789" s="242" t="s">
        <v>10012</v>
      </c>
      <c r="D789" s="251">
        <v>41.33</v>
      </c>
    </row>
    <row r="790" spans="1:4" x14ac:dyDescent="0.3">
      <c r="A790" s="242" t="s">
        <v>10016</v>
      </c>
      <c r="B790" s="242" t="s">
        <v>16467</v>
      </c>
      <c r="C790" s="242" t="s">
        <v>10015</v>
      </c>
      <c r="D790" s="251">
        <v>41.33</v>
      </c>
    </row>
    <row r="791" spans="1:4" x14ac:dyDescent="0.3">
      <c r="A791" s="242" t="s">
        <v>8944</v>
      </c>
      <c r="B791" s="242" t="s">
        <v>16468</v>
      </c>
      <c r="C791" s="242" t="s">
        <v>8943</v>
      </c>
      <c r="D791" s="251">
        <v>25.33</v>
      </c>
    </row>
    <row r="792" spans="1:4" x14ac:dyDescent="0.3">
      <c r="A792" s="242" t="s">
        <v>8950</v>
      </c>
      <c r="B792" s="242" t="s">
        <v>16469</v>
      </c>
      <c r="C792" s="242" t="s">
        <v>8949</v>
      </c>
      <c r="D792" s="251">
        <v>31.99</v>
      </c>
    </row>
    <row r="793" spans="1:4" x14ac:dyDescent="0.3">
      <c r="A793" s="242" t="s">
        <v>8953</v>
      </c>
      <c r="B793" s="242" t="s">
        <v>16470</v>
      </c>
      <c r="C793" s="242" t="s">
        <v>8952</v>
      </c>
      <c r="D793" s="251">
        <v>63.33</v>
      </c>
    </row>
    <row r="794" spans="1:4" x14ac:dyDescent="0.3">
      <c r="A794" s="242" t="s">
        <v>8956</v>
      </c>
      <c r="B794" s="242" t="s">
        <v>16471</v>
      </c>
      <c r="C794" s="242" t="s">
        <v>8955</v>
      </c>
      <c r="D794" s="251">
        <v>63.33</v>
      </c>
    </row>
    <row r="795" spans="1:4" x14ac:dyDescent="0.3">
      <c r="A795" s="242" t="s">
        <v>8959</v>
      </c>
      <c r="B795" s="242" t="s">
        <v>16472</v>
      </c>
      <c r="C795" s="242" t="s">
        <v>8958</v>
      </c>
      <c r="D795" s="251">
        <v>6.33</v>
      </c>
    </row>
    <row r="796" spans="1:4" x14ac:dyDescent="0.3">
      <c r="A796" s="242" t="s">
        <v>16473</v>
      </c>
      <c r="B796" s="242" t="s">
        <v>16474</v>
      </c>
      <c r="C796" s="242" t="s">
        <v>16475</v>
      </c>
      <c r="D796" s="251">
        <v>21.33</v>
      </c>
    </row>
    <row r="797" spans="1:4" x14ac:dyDescent="0.3">
      <c r="A797" s="242" t="s">
        <v>16476</v>
      </c>
      <c r="B797" s="242" t="s">
        <v>16477</v>
      </c>
      <c r="C797" s="242" t="s">
        <v>16478</v>
      </c>
      <c r="D797" s="251">
        <v>21.33</v>
      </c>
    </row>
    <row r="798" spans="1:4" x14ac:dyDescent="0.3">
      <c r="A798" s="242" t="s">
        <v>16479</v>
      </c>
      <c r="B798" s="242" t="s">
        <v>16480</v>
      </c>
      <c r="C798" s="242" t="s">
        <v>16481</v>
      </c>
      <c r="D798" s="251">
        <v>18.66</v>
      </c>
    </row>
    <row r="799" spans="1:4" x14ac:dyDescent="0.3">
      <c r="A799" s="242" t="s">
        <v>16482</v>
      </c>
      <c r="B799" s="242" t="s">
        <v>16483</v>
      </c>
      <c r="C799" s="242" t="s">
        <v>16484</v>
      </c>
      <c r="D799" s="251">
        <v>18.66</v>
      </c>
    </row>
    <row r="800" spans="1:4" x14ac:dyDescent="0.3">
      <c r="A800" s="242" t="s">
        <v>16485</v>
      </c>
      <c r="B800" s="242" t="s">
        <v>16486</v>
      </c>
      <c r="C800" s="242" t="s">
        <v>16487</v>
      </c>
      <c r="D800" s="251">
        <v>30.66</v>
      </c>
    </row>
    <row r="801" spans="1:4" x14ac:dyDescent="0.3">
      <c r="A801" s="242" t="s">
        <v>16488</v>
      </c>
      <c r="B801" s="242" t="s">
        <v>16489</v>
      </c>
      <c r="C801" s="242" t="s">
        <v>16490</v>
      </c>
      <c r="D801" s="251">
        <v>29.99</v>
      </c>
    </row>
    <row r="802" spans="1:4" x14ac:dyDescent="0.3">
      <c r="A802" s="242" t="s">
        <v>16491</v>
      </c>
      <c r="B802" s="242" t="s">
        <v>16492</v>
      </c>
      <c r="C802" s="242" t="s">
        <v>16493</v>
      </c>
      <c r="D802" s="251">
        <v>29.99</v>
      </c>
    </row>
    <row r="803" spans="1:4" x14ac:dyDescent="0.3">
      <c r="A803" s="242" t="s">
        <v>16494</v>
      </c>
      <c r="B803" s="242" t="s">
        <v>16495</v>
      </c>
      <c r="C803" s="242" t="s">
        <v>16496</v>
      </c>
      <c r="D803" s="251">
        <v>36.659999999999997</v>
      </c>
    </row>
    <row r="804" spans="1:4" x14ac:dyDescent="0.3">
      <c r="A804" s="242" t="s">
        <v>16497</v>
      </c>
      <c r="B804" s="242" t="s">
        <v>16498</v>
      </c>
      <c r="C804" s="242" t="s">
        <v>16499</v>
      </c>
      <c r="D804" s="251">
        <v>15.99</v>
      </c>
    </row>
    <row r="805" spans="1:4" x14ac:dyDescent="0.3">
      <c r="A805" s="242" t="s">
        <v>16500</v>
      </c>
      <c r="B805" s="242" t="s">
        <v>16501</v>
      </c>
      <c r="C805" s="242" t="s">
        <v>16502</v>
      </c>
      <c r="D805" s="251">
        <v>13.13</v>
      </c>
    </row>
    <row r="806" spans="1:4" x14ac:dyDescent="0.3">
      <c r="A806" s="242" t="s">
        <v>16503</v>
      </c>
      <c r="B806" s="242" t="s">
        <v>16504</v>
      </c>
      <c r="C806" s="242" t="s">
        <v>16505</v>
      </c>
      <c r="D806" s="251">
        <v>15.99</v>
      </c>
    </row>
    <row r="807" spans="1:4" x14ac:dyDescent="0.3">
      <c r="A807" s="242" t="s">
        <v>16506</v>
      </c>
      <c r="B807" s="242" t="s">
        <v>16507</v>
      </c>
      <c r="C807" s="242" t="s">
        <v>16508</v>
      </c>
      <c r="D807" s="251">
        <v>15.99</v>
      </c>
    </row>
    <row r="808" spans="1:4" x14ac:dyDescent="0.3">
      <c r="A808" s="242" t="s">
        <v>16509</v>
      </c>
      <c r="B808" s="242" t="s">
        <v>16510</v>
      </c>
      <c r="C808" s="242" t="s">
        <v>16511</v>
      </c>
      <c r="D808" s="251">
        <v>15.99</v>
      </c>
    </row>
    <row r="809" spans="1:4" x14ac:dyDescent="0.3">
      <c r="A809" s="242" t="s">
        <v>11695</v>
      </c>
      <c r="B809" s="242" t="s">
        <v>16512</v>
      </c>
      <c r="C809" s="242" t="s">
        <v>11694</v>
      </c>
      <c r="D809" s="251">
        <v>15.99</v>
      </c>
    </row>
    <row r="810" spans="1:4" x14ac:dyDescent="0.3">
      <c r="A810" s="242" t="s">
        <v>11698</v>
      </c>
      <c r="B810" s="242" t="s">
        <v>16513</v>
      </c>
      <c r="C810" s="242" t="s">
        <v>11697</v>
      </c>
      <c r="D810" s="251">
        <v>13.13</v>
      </c>
    </row>
    <row r="811" spans="1:4" x14ac:dyDescent="0.3">
      <c r="A811" s="242" t="s">
        <v>11701</v>
      </c>
      <c r="B811" s="242" t="s">
        <v>16514</v>
      </c>
      <c r="C811" s="242" t="s">
        <v>11700</v>
      </c>
      <c r="D811" s="251">
        <v>15.99</v>
      </c>
    </row>
    <row r="812" spans="1:4" x14ac:dyDescent="0.3">
      <c r="A812" s="242" t="s">
        <v>11704</v>
      </c>
      <c r="B812" s="242" t="s">
        <v>16515</v>
      </c>
      <c r="C812" s="242" t="s">
        <v>11703</v>
      </c>
      <c r="D812" s="251">
        <v>10.53</v>
      </c>
    </row>
    <row r="813" spans="1:4" x14ac:dyDescent="0.3">
      <c r="A813" s="242" t="s">
        <v>11710</v>
      </c>
      <c r="B813" s="242" t="s">
        <v>16516</v>
      </c>
      <c r="C813" s="242" t="s">
        <v>11709</v>
      </c>
      <c r="D813" s="251">
        <v>26.66</v>
      </c>
    </row>
    <row r="814" spans="1:4" x14ac:dyDescent="0.3">
      <c r="A814" s="242" t="s">
        <v>11713</v>
      </c>
      <c r="B814" s="242" t="s">
        <v>16517</v>
      </c>
      <c r="C814" s="242" t="s">
        <v>11712</v>
      </c>
      <c r="D814" s="251">
        <v>15.99</v>
      </c>
    </row>
    <row r="815" spans="1:4" x14ac:dyDescent="0.3">
      <c r="A815" s="242" t="s">
        <v>11716</v>
      </c>
      <c r="B815" s="242" t="s">
        <v>16518</v>
      </c>
      <c r="C815" s="242" t="s">
        <v>11715</v>
      </c>
      <c r="D815" s="251">
        <v>15.99</v>
      </c>
    </row>
    <row r="816" spans="1:4" x14ac:dyDescent="0.3">
      <c r="A816" s="242" t="s">
        <v>11719</v>
      </c>
      <c r="B816" s="242" t="s">
        <v>14905</v>
      </c>
      <c r="C816" s="242" t="s">
        <v>11718</v>
      </c>
      <c r="D816" s="251">
        <v>13.13</v>
      </c>
    </row>
    <row r="817" spans="1:4" x14ac:dyDescent="0.3">
      <c r="A817" s="242" t="s">
        <v>11722</v>
      </c>
      <c r="B817" s="242" t="s">
        <v>16519</v>
      </c>
      <c r="C817" s="242" t="s">
        <v>11721</v>
      </c>
      <c r="D817" s="251">
        <v>26.66</v>
      </c>
    </row>
    <row r="818" spans="1:4" x14ac:dyDescent="0.3">
      <c r="A818" s="242" t="s">
        <v>11728</v>
      </c>
      <c r="B818" s="242" t="s">
        <v>16520</v>
      </c>
      <c r="C818" s="242" t="s">
        <v>11727</v>
      </c>
      <c r="D818" s="251">
        <v>31.99</v>
      </c>
    </row>
    <row r="819" spans="1:4" x14ac:dyDescent="0.3">
      <c r="A819" s="242" t="s">
        <v>11731</v>
      </c>
      <c r="B819" s="242" t="s">
        <v>16521</v>
      </c>
      <c r="C819" s="242" t="s">
        <v>11730</v>
      </c>
      <c r="D819" s="251">
        <v>15.99</v>
      </c>
    </row>
    <row r="820" spans="1:4" x14ac:dyDescent="0.3">
      <c r="A820" s="242" t="s">
        <v>11734</v>
      </c>
      <c r="B820" s="242" t="s">
        <v>16522</v>
      </c>
      <c r="C820" s="242" t="s">
        <v>11733</v>
      </c>
      <c r="D820" s="251">
        <v>15.99</v>
      </c>
    </row>
    <row r="821" spans="1:4" x14ac:dyDescent="0.3">
      <c r="A821" s="242" t="s">
        <v>11737</v>
      </c>
      <c r="B821" s="242" t="s">
        <v>16523</v>
      </c>
      <c r="C821" s="242" t="s">
        <v>11736</v>
      </c>
      <c r="D821" s="251">
        <v>15.99</v>
      </c>
    </row>
    <row r="822" spans="1:4" x14ac:dyDescent="0.3">
      <c r="A822" s="242" t="s">
        <v>5006</v>
      </c>
      <c r="B822" s="242" t="s">
        <v>16524</v>
      </c>
      <c r="C822" s="242" t="s">
        <v>5005</v>
      </c>
      <c r="D822" s="251">
        <v>37.99</v>
      </c>
    </row>
    <row r="823" spans="1:4" x14ac:dyDescent="0.3">
      <c r="A823" s="242" t="s">
        <v>5009</v>
      </c>
      <c r="B823" s="242" t="s">
        <v>16525</v>
      </c>
      <c r="C823" s="242" t="s">
        <v>5008</v>
      </c>
      <c r="D823" s="251">
        <v>37.99</v>
      </c>
    </row>
    <row r="824" spans="1:4" x14ac:dyDescent="0.3">
      <c r="A824" s="242" t="s">
        <v>11549</v>
      </c>
      <c r="B824" s="242" t="s">
        <v>16526</v>
      </c>
      <c r="C824" s="242" t="s">
        <v>11548</v>
      </c>
      <c r="D824" s="251">
        <v>37.99</v>
      </c>
    </row>
    <row r="825" spans="1:4" x14ac:dyDescent="0.3">
      <c r="A825" s="242" t="s">
        <v>8962</v>
      </c>
      <c r="B825" s="242" t="s">
        <v>16527</v>
      </c>
      <c r="C825" s="242" t="s">
        <v>8961</v>
      </c>
      <c r="D825" s="251">
        <v>59.99</v>
      </c>
    </row>
    <row r="826" spans="1:4" x14ac:dyDescent="0.3">
      <c r="A826" s="242" t="s">
        <v>16528</v>
      </c>
      <c r="B826" s="242" t="s">
        <v>16529</v>
      </c>
      <c r="C826" s="242" t="s">
        <v>16530</v>
      </c>
      <c r="D826" s="251">
        <v>11.33</v>
      </c>
    </row>
    <row r="827" spans="1:4" x14ac:dyDescent="0.3">
      <c r="A827" s="242" t="s">
        <v>8965</v>
      </c>
      <c r="B827" s="242" t="s">
        <v>16531</v>
      </c>
      <c r="C827" s="242" t="s">
        <v>8964</v>
      </c>
      <c r="D827" s="251">
        <v>2.2599999999999998</v>
      </c>
    </row>
    <row r="828" spans="1:4" x14ac:dyDescent="0.3">
      <c r="A828" s="242" t="s">
        <v>16532</v>
      </c>
      <c r="B828" s="242" t="s">
        <v>16533</v>
      </c>
      <c r="C828" s="242" t="s">
        <v>16534</v>
      </c>
      <c r="D828" s="251">
        <v>30.66</v>
      </c>
    </row>
    <row r="829" spans="1:4" x14ac:dyDescent="0.3">
      <c r="A829" s="242" t="s">
        <v>16535</v>
      </c>
      <c r="B829" s="242" t="s">
        <v>16536</v>
      </c>
      <c r="C829" s="242" t="s">
        <v>16537</v>
      </c>
      <c r="D829" s="251">
        <v>15.99</v>
      </c>
    </row>
    <row r="830" spans="1:4" x14ac:dyDescent="0.3">
      <c r="A830" s="242" t="s">
        <v>16538</v>
      </c>
      <c r="B830" s="242" t="s">
        <v>16539</v>
      </c>
      <c r="C830" s="242" t="s">
        <v>16540</v>
      </c>
      <c r="D830" s="251">
        <v>29.99</v>
      </c>
    </row>
    <row r="831" spans="1:4" x14ac:dyDescent="0.3">
      <c r="A831" s="242" t="s">
        <v>16541</v>
      </c>
      <c r="B831" s="242" t="s">
        <v>16542</v>
      </c>
      <c r="C831" s="242" t="s">
        <v>16543</v>
      </c>
      <c r="D831" s="251">
        <v>36.659999999999997</v>
      </c>
    </row>
    <row r="832" spans="1:4" x14ac:dyDescent="0.3">
      <c r="A832" s="242" t="s">
        <v>16544</v>
      </c>
      <c r="B832" s="242" t="s">
        <v>16545</v>
      </c>
      <c r="C832" s="242" t="s">
        <v>16546</v>
      </c>
      <c r="D832" s="251">
        <v>15.99</v>
      </c>
    </row>
    <row r="833" spans="1:4" x14ac:dyDescent="0.3">
      <c r="A833" s="242" t="s">
        <v>16547</v>
      </c>
      <c r="B833" s="242" t="s">
        <v>16548</v>
      </c>
      <c r="C833" s="242" t="s">
        <v>16549</v>
      </c>
      <c r="D833" s="251">
        <v>15.99</v>
      </c>
    </row>
    <row r="834" spans="1:4" x14ac:dyDescent="0.3">
      <c r="A834" s="242" t="s">
        <v>16550</v>
      </c>
      <c r="B834" s="242" t="s">
        <v>16551</v>
      </c>
      <c r="C834" s="242" t="s">
        <v>16552</v>
      </c>
      <c r="D834" s="251">
        <v>15.99</v>
      </c>
    </row>
    <row r="835" spans="1:4" x14ac:dyDescent="0.3">
      <c r="A835" s="242" t="s">
        <v>16553</v>
      </c>
      <c r="B835" s="242" t="s">
        <v>16554</v>
      </c>
      <c r="C835" s="242" t="s">
        <v>16555</v>
      </c>
      <c r="D835" s="251">
        <v>29.99</v>
      </c>
    </row>
    <row r="836" spans="1:4" x14ac:dyDescent="0.3">
      <c r="A836" s="242" t="s">
        <v>16556</v>
      </c>
      <c r="B836" s="242" t="s">
        <v>16557</v>
      </c>
      <c r="C836" s="242" t="s">
        <v>16558</v>
      </c>
      <c r="D836" s="251">
        <v>29.99</v>
      </c>
    </row>
    <row r="837" spans="1:4" x14ac:dyDescent="0.3">
      <c r="A837" s="242" t="s">
        <v>16559</v>
      </c>
      <c r="B837" s="242" t="s">
        <v>16560</v>
      </c>
      <c r="C837" s="242" t="s">
        <v>16561</v>
      </c>
      <c r="D837" s="251">
        <v>21.33</v>
      </c>
    </row>
    <row r="838" spans="1:4" x14ac:dyDescent="0.3">
      <c r="A838" s="242" t="s">
        <v>16562</v>
      </c>
      <c r="B838" s="242" t="s">
        <v>16563</v>
      </c>
      <c r="C838" s="242" t="s">
        <v>16564</v>
      </c>
      <c r="D838" s="251">
        <v>15.99</v>
      </c>
    </row>
    <row r="839" spans="1:4" x14ac:dyDescent="0.3">
      <c r="A839" s="242" t="s">
        <v>16565</v>
      </c>
      <c r="B839" s="242" t="s">
        <v>16566</v>
      </c>
      <c r="C839" s="242" t="s">
        <v>16567</v>
      </c>
      <c r="D839" s="251">
        <v>15.99</v>
      </c>
    </row>
    <row r="840" spans="1:4" x14ac:dyDescent="0.3">
      <c r="A840" s="242" t="s">
        <v>16568</v>
      </c>
      <c r="B840" s="242" t="s">
        <v>16569</v>
      </c>
      <c r="C840" s="242" t="s">
        <v>16570</v>
      </c>
      <c r="D840" s="251">
        <v>15.99</v>
      </c>
    </row>
    <row r="841" spans="1:4" x14ac:dyDescent="0.3">
      <c r="A841" s="242" t="s">
        <v>8932</v>
      </c>
      <c r="B841" s="242" t="s">
        <v>16571</v>
      </c>
      <c r="C841" s="242" t="s">
        <v>8931</v>
      </c>
      <c r="D841" s="251">
        <v>27.33</v>
      </c>
    </row>
    <row r="842" spans="1:4" x14ac:dyDescent="0.3">
      <c r="A842" s="242" t="s">
        <v>8968</v>
      </c>
      <c r="B842" s="242" t="s">
        <v>16572</v>
      </c>
      <c r="C842" s="242" t="s">
        <v>8967</v>
      </c>
      <c r="D842" s="251">
        <v>3.93</v>
      </c>
    </row>
    <row r="843" spans="1:4" x14ac:dyDescent="0.3">
      <c r="A843" s="242" t="s">
        <v>10055</v>
      </c>
      <c r="B843" s="242" t="s">
        <v>16573</v>
      </c>
      <c r="C843" s="242" t="s">
        <v>10054</v>
      </c>
      <c r="D843" s="251">
        <v>13.99</v>
      </c>
    </row>
    <row r="844" spans="1:4" x14ac:dyDescent="0.3">
      <c r="A844" s="242" t="s">
        <v>10058</v>
      </c>
      <c r="B844" s="242" t="s">
        <v>16574</v>
      </c>
      <c r="C844" s="242" t="s">
        <v>10057</v>
      </c>
      <c r="D844" s="251">
        <v>15.99</v>
      </c>
    </row>
    <row r="845" spans="1:4" x14ac:dyDescent="0.3">
      <c r="A845" s="242" t="s">
        <v>10061</v>
      </c>
      <c r="B845" s="242" t="s">
        <v>16575</v>
      </c>
      <c r="C845" s="242" t="s">
        <v>10060</v>
      </c>
      <c r="D845" s="251">
        <v>15.99</v>
      </c>
    </row>
    <row r="846" spans="1:4" x14ac:dyDescent="0.3">
      <c r="A846" s="242" t="s">
        <v>10064</v>
      </c>
      <c r="B846" s="242" t="s">
        <v>16576</v>
      </c>
      <c r="C846" s="242" t="s">
        <v>10063</v>
      </c>
      <c r="D846" s="251">
        <v>15.99</v>
      </c>
    </row>
    <row r="847" spans="1:4" x14ac:dyDescent="0.3">
      <c r="A847" s="242" t="s">
        <v>10070</v>
      </c>
      <c r="B847" s="242" t="s">
        <v>16577</v>
      </c>
      <c r="C847" s="242" t="s">
        <v>10069</v>
      </c>
      <c r="D847" s="251">
        <v>15.99</v>
      </c>
    </row>
    <row r="848" spans="1:4" x14ac:dyDescent="0.3">
      <c r="A848" s="242" t="s">
        <v>16578</v>
      </c>
      <c r="B848" s="242" t="s">
        <v>16579</v>
      </c>
      <c r="C848" s="242" t="s">
        <v>16580</v>
      </c>
      <c r="D848" s="251">
        <v>33.99</v>
      </c>
    </row>
    <row r="849" spans="1:4" x14ac:dyDescent="0.3">
      <c r="A849" s="242" t="s">
        <v>16581</v>
      </c>
      <c r="B849" s="242" t="s">
        <v>16582</v>
      </c>
      <c r="C849" s="242" t="s">
        <v>16583</v>
      </c>
      <c r="D849" s="251">
        <v>15.99</v>
      </c>
    </row>
    <row r="850" spans="1:4" x14ac:dyDescent="0.3">
      <c r="A850" s="242" t="s">
        <v>16584</v>
      </c>
      <c r="B850" s="242" t="s">
        <v>16585</v>
      </c>
      <c r="C850" s="242" t="s">
        <v>16586</v>
      </c>
      <c r="D850" s="251">
        <v>20.66</v>
      </c>
    </row>
    <row r="851" spans="1:4" x14ac:dyDescent="0.3">
      <c r="A851" s="242" t="s">
        <v>10073</v>
      </c>
      <c r="B851" s="242" t="s">
        <v>16587</v>
      </c>
      <c r="C851" s="242" t="s">
        <v>10072</v>
      </c>
      <c r="D851" s="251">
        <v>15.99</v>
      </c>
    </row>
    <row r="852" spans="1:4" x14ac:dyDescent="0.3">
      <c r="A852" s="242" t="s">
        <v>16588</v>
      </c>
      <c r="B852" s="242" t="s">
        <v>16589</v>
      </c>
      <c r="C852" s="242" t="s">
        <v>16590</v>
      </c>
      <c r="D852" s="251">
        <v>15.99</v>
      </c>
    </row>
    <row r="853" spans="1:4" x14ac:dyDescent="0.3">
      <c r="A853" s="242" t="s">
        <v>10076</v>
      </c>
      <c r="B853" s="242" t="s">
        <v>16591</v>
      </c>
      <c r="C853" s="242" t="s">
        <v>10075</v>
      </c>
      <c r="D853" s="251">
        <v>15.99</v>
      </c>
    </row>
    <row r="854" spans="1:4" x14ac:dyDescent="0.3">
      <c r="A854" s="242" t="s">
        <v>16592</v>
      </c>
      <c r="B854" s="242" t="s">
        <v>16593</v>
      </c>
      <c r="C854" s="242" t="s">
        <v>16594</v>
      </c>
      <c r="D854" s="251">
        <v>25.99</v>
      </c>
    </row>
    <row r="855" spans="1:4" x14ac:dyDescent="0.3">
      <c r="A855" s="242" t="s">
        <v>10079</v>
      </c>
      <c r="B855" s="242" t="s">
        <v>16595</v>
      </c>
      <c r="C855" s="242" t="s">
        <v>10078</v>
      </c>
      <c r="D855" s="251">
        <v>13.13</v>
      </c>
    </row>
    <row r="856" spans="1:4" x14ac:dyDescent="0.3">
      <c r="A856" s="242" t="s">
        <v>16596</v>
      </c>
      <c r="B856" s="242" t="s">
        <v>16597</v>
      </c>
      <c r="C856" s="242" t="s">
        <v>16598</v>
      </c>
      <c r="D856" s="251">
        <v>13.33</v>
      </c>
    </row>
    <row r="857" spans="1:4" x14ac:dyDescent="0.3">
      <c r="A857" s="242" t="s">
        <v>10082</v>
      </c>
      <c r="B857" s="242" t="s">
        <v>16599</v>
      </c>
      <c r="C857" s="242" t="s">
        <v>10081</v>
      </c>
      <c r="D857" s="251">
        <v>15.99</v>
      </c>
    </row>
    <row r="858" spans="1:4" x14ac:dyDescent="0.3">
      <c r="A858" s="242" t="s">
        <v>16600</v>
      </c>
      <c r="B858" s="242" t="s">
        <v>16601</v>
      </c>
      <c r="C858" s="242" t="s">
        <v>16602</v>
      </c>
      <c r="D858" s="251">
        <v>31.33</v>
      </c>
    </row>
    <row r="859" spans="1:4" x14ac:dyDescent="0.3">
      <c r="A859" s="242" t="s">
        <v>16603</v>
      </c>
      <c r="B859" s="242" t="s">
        <v>16604</v>
      </c>
      <c r="C859" s="242" t="s">
        <v>16605</v>
      </c>
      <c r="D859" s="251">
        <v>18.66</v>
      </c>
    </row>
    <row r="860" spans="1:4" x14ac:dyDescent="0.3">
      <c r="A860" s="242" t="s">
        <v>10088</v>
      </c>
      <c r="B860" s="242" t="s">
        <v>16606</v>
      </c>
      <c r="C860" s="242" t="s">
        <v>10087</v>
      </c>
      <c r="D860" s="251">
        <v>15.99</v>
      </c>
    </row>
    <row r="861" spans="1:4" x14ac:dyDescent="0.3">
      <c r="A861" s="242" t="s">
        <v>16607</v>
      </c>
      <c r="B861" s="242" t="s">
        <v>16608</v>
      </c>
      <c r="C861" s="242" t="s">
        <v>16609</v>
      </c>
      <c r="D861" s="251">
        <v>18.66</v>
      </c>
    </row>
    <row r="862" spans="1:4" x14ac:dyDescent="0.3">
      <c r="A862" s="242" t="s">
        <v>16610</v>
      </c>
      <c r="B862" s="242" t="s">
        <v>16611</v>
      </c>
      <c r="C862" s="242" t="s">
        <v>16612</v>
      </c>
      <c r="D862" s="251">
        <v>18.66</v>
      </c>
    </row>
    <row r="863" spans="1:4" x14ac:dyDescent="0.3">
      <c r="A863" s="242" t="s">
        <v>16613</v>
      </c>
      <c r="B863" s="242" t="s">
        <v>16614</v>
      </c>
      <c r="C863" s="242" t="s">
        <v>16615</v>
      </c>
      <c r="D863" s="251">
        <v>15.99</v>
      </c>
    </row>
    <row r="864" spans="1:4" x14ac:dyDescent="0.3">
      <c r="A864" s="242" t="s">
        <v>16616</v>
      </c>
      <c r="B864" s="242" t="s">
        <v>16617</v>
      </c>
      <c r="C864" s="242" t="s">
        <v>16618</v>
      </c>
      <c r="D864" s="251">
        <v>29.99</v>
      </c>
    </row>
    <row r="865" spans="1:4" x14ac:dyDescent="0.3">
      <c r="A865" s="242" t="s">
        <v>16619</v>
      </c>
      <c r="B865" s="242" t="s">
        <v>16620</v>
      </c>
      <c r="C865" s="242" t="s">
        <v>16621</v>
      </c>
      <c r="D865" s="251">
        <v>36.659999999999997</v>
      </c>
    </row>
    <row r="866" spans="1:4" x14ac:dyDescent="0.3">
      <c r="A866" s="242" t="s">
        <v>16622</v>
      </c>
      <c r="B866" s="242" t="s">
        <v>16623</v>
      </c>
      <c r="C866" s="242" t="s">
        <v>16624</v>
      </c>
      <c r="D866" s="251">
        <v>15.99</v>
      </c>
    </row>
    <row r="867" spans="1:4" x14ac:dyDescent="0.3">
      <c r="A867" s="242" t="s">
        <v>16625</v>
      </c>
      <c r="B867" s="242" t="s">
        <v>16626</v>
      </c>
      <c r="C867" s="242" t="s">
        <v>16627</v>
      </c>
      <c r="D867" s="251">
        <v>30.66</v>
      </c>
    </row>
    <row r="868" spans="1:4" x14ac:dyDescent="0.3">
      <c r="A868" s="242" t="s">
        <v>16628</v>
      </c>
      <c r="B868" s="242" t="s">
        <v>16629</v>
      </c>
      <c r="C868" s="242" t="s">
        <v>16630</v>
      </c>
      <c r="D868" s="251">
        <v>18.66</v>
      </c>
    </row>
    <row r="869" spans="1:4" x14ac:dyDescent="0.3">
      <c r="A869" s="242" t="s">
        <v>16631</v>
      </c>
      <c r="B869" s="242" t="s">
        <v>16632</v>
      </c>
      <c r="C869" s="242" t="s">
        <v>16633</v>
      </c>
      <c r="D869" s="251">
        <v>18.66</v>
      </c>
    </row>
    <row r="870" spans="1:4" x14ac:dyDescent="0.3">
      <c r="A870" s="242" t="s">
        <v>16634</v>
      </c>
      <c r="B870" s="242" t="s">
        <v>16635</v>
      </c>
      <c r="C870" s="242" t="s">
        <v>16636</v>
      </c>
      <c r="D870" s="251">
        <v>15.99</v>
      </c>
    </row>
    <row r="871" spans="1:4" x14ac:dyDescent="0.3">
      <c r="A871" s="242" t="s">
        <v>16637</v>
      </c>
      <c r="B871" s="242" t="s">
        <v>16638</v>
      </c>
      <c r="C871" s="242" t="s">
        <v>16639</v>
      </c>
      <c r="D871" s="251">
        <v>29.99</v>
      </c>
    </row>
    <row r="872" spans="1:4" x14ac:dyDescent="0.3">
      <c r="A872" s="242" t="s">
        <v>16640</v>
      </c>
      <c r="B872" s="242" t="s">
        <v>16641</v>
      </c>
      <c r="C872" s="242" t="s">
        <v>16642</v>
      </c>
      <c r="D872" s="251">
        <v>36.659999999999997</v>
      </c>
    </row>
    <row r="873" spans="1:4" x14ac:dyDescent="0.3">
      <c r="A873" s="242" t="s">
        <v>16643</v>
      </c>
      <c r="B873" s="242" t="s">
        <v>16644</v>
      </c>
      <c r="C873" s="242" t="s">
        <v>16645</v>
      </c>
      <c r="D873" s="251">
        <v>15.99</v>
      </c>
    </row>
    <row r="874" spans="1:4" x14ac:dyDescent="0.3">
      <c r="A874" s="242" t="s">
        <v>16646</v>
      </c>
      <c r="B874" s="242" t="s">
        <v>16647</v>
      </c>
      <c r="C874" s="242" t="s">
        <v>16648</v>
      </c>
      <c r="D874" s="251">
        <v>30.66</v>
      </c>
    </row>
    <row r="875" spans="1:4" x14ac:dyDescent="0.3">
      <c r="A875" s="242" t="s">
        <v>16649</v>
      </c>
      <c r="B875" s="242" t="s">
        <v>16650</v>
      </c>
      <c r="C875" s="242" t="s">
        <v>16651</v>
      </c>
      <c r="D875" s="251">
        <v>18.66</v>
      </c>
    </row>
    <row r="876" spans="1:4" x14ac:dyDescent="0.3">
      <c r="A876" s="242" t="s">
        <v>16652</v>
      </c>
      <c r="B876" s="242" t="s">
        <v>16653</v>
      </c>
      <c r="C876" s="242" t="s">
        <v>16654</v>
      </c>
      <c r="D876" s="251">
        <v>18.66</v>
      </c>
    </row>
    <row r="877" spans="1:4" x14ac:dyDescent="0.3">
      <c r="A877" s="242" t="s">
        <v>16655</v>
      </c>
      <c r="B877" s="242" t="s">
        <v>16656</v>
      </c>
      <c r="C877" s="242" t="s">
        <v>16657</v>
      </c>
      <c r="D877" s="251">
        <v>18.66</v>
      </c>
    </row>
    <row r="878" spans="1:4" x14ac:dyDescent="0.3">
      <c r="A878" s="242" t="s">
        <v>16658</v>
      </c>
      <c r="B878" s="242" t="s">
        <v>16659</v>
      </c>
      <c r="C878" s="242" t="s">
        <v>16660</v>
      </c>
      <c r="D878" s="251">
        <v>18.66</v>
      </c>
    </row>
    <row r="879" spans="1:4" x14ac:dyDescent="0.3">
      <c r="A879" s="242" t="s">
        <v>16661</v>
      </c>
      <c r="B879" s="242" t="s">
        <v>16662</v>
      </c>
      <c r="C879" s="242" t="s">
        <v>16663</v>
      </c>
      <c r="D879" s="251">
        <v>15.99</v>
      </c>
    </row>
    <row r="880" spans="1:4" x14ac:dyDescent="0.3">
      <c r="A880" s="242" t="s">
        <v>16664</v>
      </c>
      <c r="B880" s="242" t="s">
        <v>16665</v>
      </c>
      <c r="C880" s="242" t="s">
        <v>16666</v>
      </c>
      <c r="D880" s="251">
        <v>29.99</v>
      </c>
    </row>
    <row r="881" spans="1:4" x14ac:dyDescent="0.3">
      <c r="A881" s="242" t="s">
        <v>16667</v>
      </c>
      <c r="B881" s="242" t="s">
        <v>16668</v>
      </c>
      <c r="C881" s="242" t="s">
        <v>16669</v>
      </c>
      <c r="D881" s="251">
        <v>36.659999999999997</v>
      </c>
    </row>
    <row r="882" spans="1:4" x14ac:dyDescent="0.3">
      <c r="A882" s="242" t="s">
        <v>16670</v>
      </c>
      <c r="B882" s="242" t="s">
        <v>16671</v>
      </c>
      <c r="C882" s="242" t="s">
        <v>16672</v>
      </c>
      <c r="D882" s="251">
        <v>15.99</v>
      </c>
    </row>
    <row r="883" spans="1:4" x14ac:dyDescent="0.3">
      <c r="A883" s="242" t="s">
        <v>16673</v>
      </c>
      <c r="B883" s="242" t="s">
        <v>16674</v>
      </c>
      <c r="C883" s="242" t="s">
        <v>16675</v>
      </c>
      <c r="D883" s="251">
        <v>15.99</v>
      </c>
    </row>
    <row r="884" spans="1:4" x14ac:dyDescent="0.3">
      <c r="A884" s="242" t="s">
        <v>16676</v>
      </c>
      <c r="B884" s="242" t="s">
        <v>16677</v>
      </c>
      <c r="C884" s="242" t="s">
        <v>16678</v>
      </c>
      <c r="D884" s="251">
        <v>9.19</v>
      </c>
    </row>
    <row r="885" spans="1:4" x14ac:dyDescent="0.3">
      <c r="A885" s="242" t="s">
        <v>16679</v>
      </c>
      <c r="B885" s="242" t="s">
        <v>16680</v>
      </c>
      <c r="C885" s="242" t="s">
        <v>16681</v>
      </c>
      <c r="D885" s="251">
        <v>25.99</v>
      </c>
    </row>
    <row r="886" spans="1:4" x14ac:dyDescent="0.3">
      <c r="A886" s="242" t="s">
        <v>16682</v>
      </c>
      <c r="B886" s="242" t="s">
        <v>16683</v>
      </c>
      <c r="C886" s="242" t="s">
        <v>16684</v>
      </c>
      <c r="D886" s="251">
        <v>15.99</v>
      </c>
    </row>
    <row r="887" spans="1:4" x14ac:dyDescent="0.3">
      <c r="A887" s="242" t="s">
        <v>16685</v>
      </c>
      <c r="B887" s="242" t="s">
        <v>16686</v>
      </c>
      <c r="C887" s="242" t="s">
        <v>16687</v>
      </c>
      <c r="D887" s="251">
        <v>15.99</v>
      </c>
    </row>
    <row r="888" spans="1:4" x14ac:dyDescent="0.3">
      <c r="A888" s="242" t="s">
        <v>16688</v>
      </c>
      <c r="B888" s="242" t="s">
        <v>16689</v>
      </c>
      <c r="C888" s="242" t="s">
        <v>16690</v>
      </c>
      <c r="D888" s="251">
        <v>10.53</v>
      </c>
    </row>
    <row r="889" spans="1:4" x14ac:dyDescent="0.3">
      <c r="A889" s="242" t="s">
        <v>16691</v>
      </c>
      <c r="B889" s="242" t="s">
        <v>16692</v>
      </c>
      <c r="C889" s="242" t="s">
        <v>16693</v>
      </c>
      <c r="D889" s="251">
        <v>31.99</v>
      </c>
    </row>
    <row r="890" spans="1:4" x14ac:dyDescent="0.3">
      <c r="A890" s="242" t="s">
        <v>16694</v>
      </c>
      <c r="B890" s="242" t="s">
        <v>16695</v>
      </c>
      <c r="C890" s="242" t="s">
        <v>16696</v>
      </c>
      <c r="D890" s="251">
        <v>15.99</v>
      </c>
    </row>
    <row r="891" spans="1:4" x14ac:dyDescent="0.3">
      <c r="A891" s="242" t="s">
        <v>16697</v>
      </c>
      <c r="B891" s="242" t="s">
        <v>16698</v>
      </c>
      <c r="C891" s="242" t="s">
        <v>16699</v>
      </c>
      <c r="D891" s="251">
        <v>15.99</v>
      </c>
    </row>
    <row r="892" spans="1:4" x14ac:dyDescent="0.3">
      <c r="A892" s="242" t="s">
        <v>16700</v>
      </c>
      <c r="B892" s="242" t="s">
        <v>16701</v>
      </c>
      <c r="C892" s="242" t="s">
        <v>16702</v>
      </c>
      <c r="D892" s="251">
        <v>36.659999999999997</v>
      </c>
    </row>
    <row r="893" spans="1:4" x14ac:dyDescent="0.3">
      <c r="A893" s="242" t="s">
        <v>16703</v>
      </c>
      <c r="B893" s="242" t="s">
        <v>16704</v>
      </c>
      <c r="C893" s="242" t="s">
        <v>16705</v>
      </c>
      <c r="D893" s="251">
        <v>21.33</v>
      </c>
    </row>
    <row r="894" spans="1:4" x14ac:dyDescent="0.3">
      <c r="A894" s="242" t="s">
        <v>16706</v>
      </c>
      <c r="B894" s="242" t="s">
        <v>16707</v>
      </c>
      <c r="C894" s="242" t="s">
        <v>16708</v>
      </c>
      <c r="D894" s="251">
        <v>15.99</v>
      </c>
    </row>
    <row r="895" spans="1:4" x14ac:dyDescent="0.3">
      <c r="A895" s="242" t="s">
        <v>8971</v>
      </c>
      <c r="B895" s="242" t="s">
        <v>8972</v>
      </c>
      <c r="C895" s="242" t="s">
        <v>8970</v>
      </c>
      <c r="D895" s="251">
        <v>19.329999999999998</v>
      </c>
    </row>
    <row r="896" spans="1:4" x14ac:dyDescent="0.3">
      <c r="A896" s="242" t="s">
        <v>16709</v>
      </c>
      <c r="B896" s="242" t="s">
        <v>16710</v>
      </c>
      <c r="C896" s="242" t="s">
        <v>16711</v>
      </c>
      <c r="D896" s="251">
        <v>13.99</v>
      </c>
    </row>
    <row r="897" spans="1:4" x14ac:dyDescent="0.3">
      <c r="A897" s="242" t="s">
        <v>16712</v>
      </c>
      <c r="B897" s="242" t="s">
        <v>16713</v>
      </c>
      <c r="C897" s="242" t="s">
        <v>16714</v>
      </c>
      <c r="D897" s="251">
        <v>15.99</v>
      </c>
    </row>
    <row r="898" spans="1:4" x14ac:dyDescent="0.3">
      <c r="A898" s="242" t="s">
        <v>16715</v>
      </c>
      <c r="B898" s="242" t="s">
        <v>16716</v>
      </c>
      <c r="C898" s="242" t="s">
        <v>16717</v>
      </c>
      <c r="D898" s="251">
        <v>18.66</v>
      </c>
    </row>
    <row r="899" spans="1:4" x14ac:dyDescent="0.3">
      <c r="A899" s="242" t="s">
        <v>16718</v>
      </c>
      <c r="B899" s="242" t="s">
        <v>16719</v>
      </c>
      <c r="C899" s="242" t="s">
        <v>16720</v>
      </c>
      <c r="D899" s="251">
        <v>18.66</v>
      </c>
    </row>
    <row r="900" spans="1:4" x14ac:dyDescent="0.3">
      <c r="A900" s="242" t="s">
        <v>16721</v>
      </c>
      <c r="B900" s="242" t="s">
        <v>16722</v>
      </c>
      <c r="C900" s="242" t="s">
        <v>16723</v>
      </c>
      <c r="D900" s="251">
        <v>25.33</v>
      </c>
    </row>
    <row r="901" spans="1:4" x14ac:dyDescent="0.3">
      <c r="A901" s="242" t="s">
        <v>16724</v>
      </c>
      <c r="B901" s="242" t="s">
        <v>16725</v>
      </c>
      <c r="C901" s="242" t="s">
        <v>16726</v>
      </c>
      <c r="D901" s="251">
        <v>25.33</v>
      </c>
    </row>
    <row r="902" spans="1:4" x14ac:dyDescent="0.3">
      <c r="A902" s="242" t="s">
        <v>16727</v>
      </c>
      <c r="B902" s="242" t="s">
        <v>16728</v>
      </c>
      <c r="C902" s="242" t="s">
        <v>16729</v>
      </c>
      <c r="D902" s="251">
        <v>30.66</v>
      </c>
    </row>
    <row r="903" spans="1:4" x14ac:dyDescent="0.3">
      <c r="A903" s="242" t="s">
        <v>16730</v>
      </c>
      <c r="B903" s="242" t="s">
        <v>16731</v>
      </c>
      <c r="C903" s="242" t="s">
        <v>16732</v>
      </c>
      <c r="D903" s="251">
        <v>15.99</v>
      </c>
    </row>
    <row r="904" spans="1:4" x14ac:dyDescent="0.3">
      <c r="A904" s="242" t="s">
        <v>16733</v>
      </c>
      <c r="B904" s="242" t="s">
        <v>16734</v>
      </c>
      <c r="C904" s="242" t="s">
        <v>16735</v>
      </c>
      <c r="D904" s="251">
        <v>15.99</v>
      </c>
    </row>
    <row r="905" spans="1:4" x14ac:dyDescent="0.3">
      <c r="A905" s="242" t="s">
        <v>16736</v>
      </c>
      <c r="B905" s="242" t="s">
        <v>16737</v>
      </c>
      <c r="C905" s="242" t="s">
        <v>16738</v>
      </c>
      <c r="D905" s="251">
        <v>30.66</v>
      </c>
    </row>
    <row r="906" spans="1:4" x14ac:dyDescent="0.3">
      <c r="A906" s="242" t="s">
        <v>16739</v>
      </c>
      <c r="B906" s="242" t="s">
        <v>16740</v>
      </c>
      <c r="C906" s="242" t="s">
        <v>16741</v>
      </c>
      <c r="D906" s="251">
        <v>15.99</v>
      </c>
    </row>
    <row r="907" spans="1:4" x14ac:dyDescent="0.3">
      <c r="A907" s="242" t="s">
        <v>16742</v>
      </c>
      <c r="B907" s="242" t="s">
        <v>16743</v>
      </c>
      <c r="C907" s="242" t="s">
        <v>16744</v>
      </c>
      <c r="D907" s="251">
        <v>30.66</v>
      </c>
    </row>
    <row r="908" spans="1:4" x14ac:dyDescent="0.3">
      <c r="A908" s="242" t="s">
        <v>16745</v>
      </c>
      <c r="B908" s="242" t="s">
        <v>16746</v>
      </c>
      <c r="C908" s="242" t="s">
        <v>16747</v>
      </c>
      <c r="D908" s="251">
        <v>15.33</v>
      </c>
    </row>
    <row r="909" spans="1:4" x14ac:dyDescent="0.3">
      <c r="A909" s="242" t="s">
        <v>16748</v>
      </c>
      <c r="B909" s="242" t="s">
        <v>16749</v>
      </c>
      <c r="C909" s="242" t="s">
        <v>16750</v>
      </c>
      <c r="D909" s="251">
        <v>15.99</v>
      </c>
    </row>
    <row r="910" spans="1:4" x14ac:dyDescent="0.3">
      <c r="A910" s="242" t="s">
        <v>16751</v>
      </c>
      <c r="B910" s="242" t="s">
        <v>16752</v>
      </c>
      <c r="C910" s="242" t="s">
        <v>16753</v>
      </c>
      <c r="D910" s="251">
        <v>15.99</v>
      </c>
    </row>
    <row r="911" spans="1:4" x14ac:dyDescent="0.3">
      <c r="A911" s="242" t="s">
        <v>16754</v>
      </c>
      <c r="B911" s="242" t="s">
        <v>16755</v>
      </c>
      <c r="C911" s="242" t="s">
        <v>16756</v>
      </c>
      <c r="D911" s="251">
        <v>30.66</v>
      </c>
    </row>
    <row r="912" spans="1:4" x14ac:dyDescent="0.3">
      <c r="A912" s="242" t="s">
        <v>16757</v>
      </c>
      <c r="B912" s="242" t="s">
        <v>16758</v>
      </c>
      <c r="C912" s="242" t="s">
        <v>16759</v>
      </c>
      <c r="D912" s="251">
        <v>15.99</v>
      </c>
    </row>
    <row r="913" spans="1:4" x14ac:dyDescent="0.3">
      <c r="A913" s="242" t="s">
        <v>16760</v>
      </c>
      <c r="B913" s="242" t="s">
        <v>16761</v>
      </c>
      <c r="C913" s="242" t="s">
        <v>16762</v>
      </c>
      <c r="D913" s="251">
        <v>52.66</v>
      </c>
    </row>
    <row r="914" spans="1:4" x14ac:dyDescent="0.3">
      <c r="A914" s="242" t="s">
        <v>16763</v>
      </c>
      <c r="B914" s="242" t="s">
        <v>16764</v>
      </c>
      <c r="C914" s="242" t="s">
        <v>16765</v>
      </c>
      <c r="D914" s="251">
        <v>15.33</v>
      </c>
    </row>
    <row r="915" spans="1:4" x14ac:dyDescent="0.3">
      <c r="A915" s="242" t="s">
        <v>16766</v>
      </c>
      <c r="B915" s="242" t="s">
        <v>16767</v>
      </c>
      <c r="C915" s="242" t="s">
        <v>16768</v>
      </c>
      <c r="D915" s="251">
        <v>15.33</v>
      </c>
    </row>
    <row r="916" spans="1:4" x14ac:dyDescent="0.3">
      <c r="A916" s="242" t="s">
        <v>16769</v>
      </c>
      <c r="B916" s="242" t="s">
        <v>16770</v>
      </c>
      <c r="C916" s="242" t="s">
        <v>16771</v>
      </c>
      <c r="D916" s="251">
        <v>11.33</v>
      </c>
    </row>
    <row r="917" spans="1:4" x14ac:dyDescent="0.3">
      <c r="A917" s="242" t="s">
        <v>16772</v>
      </c>
      <c r="B917" s="242" t="s">
        <v>16773</v>
      </c>
      <c r="C917" s="242" t="s">
        <v>16774</v>
      </c>
      <c r="D917" s="251">
        <v>11.33</v>
      </c>
    </row>
    <row r="918" spans="1:4" x14ac:dyDescent="0.3">
      <c r="A918" s="242" t="s">
        <v>16775</v>
      </c>
      <c r="B918" s="242" t="s">
        <v>16776</v>
      </c>
      <c r="C918" s="242" t="s">
        <v>16777</v>
      </c>
      <c r="D918" s="251">
        <v>11.33</v>
      </c>
    </row>
    <row r="919" spans="1:4" x14ac:dyDescent="0.3">
      <c r="A919" s="242" t="s">
        <v>16778</v>
      </c>
      <c r="B919" s="242" t="s">
        <v>16779</v>
      </c>
      <c r="C919" s="242" t="s">
        <v>16780</v>
      </c>
      <c r="D919" s="251">
        <v>13.13</v>
      </c>
    </row>
    <row r="920" spans="1:4" x14ac:dyDescent="0.3">
      <c r="A920" s="242" t="s">
        <v>16781</v>
      </c>
      <c r="B920" s="242" t="s">
        <v>16782</v>
      </c>
      <c r="C920" s="242" t="s">
        <v>16783</v>
      </c>
      <c r="D920" s="251">
        <v>15.99</v>
      </c>
    </row>
    <row r="921" spans="1:4" x14ac:dyDescent="0.3">
      <c r="A921" s="242" t="s">
        <v>4902</v>
      </c>
      <c r="B921" s="242" t="s">
        <v>16784</v>
      </c>
      <c r="C921" s="242" t="s">
        <v>4901</v>
      </c>
      <c r="D921" s="251">
        <v>19.329999999999998</v>
      </c>
    </row>
    <row r="922" spans="1:4" x14ac:dyDescent="0.3">
      <c r="A922" s="242" t="s">
        <v>4908</v>
      </c>
      <c r="B922" s="242" t="s">
        <v>16785</v>
      </c>
      <c r="C922" s="242" t="s">
        <v>4907</v>
      </c>
      <c r="D922" s="251">
        <v>19.329999999999998</v>
      </c>
    </row>
    <row r="923" spans="1:4" x14ac:dyDescent="0.3">
      <c r="A923" s="242" t="s">
        <v>4991</v>
      </c>
      <c r="B923" s="242" t="s">
        <v>16786</v>
      </c>
      <c r="C923" s="242" t="s">
        <v>4990</v>
      </c>
      <c r="D923" s="251">
        <v>37.99</v>
      </c>
    </row>
    <row r="924" spans="1:4" x14ac:dyDescent="0.3">
      <c r="A924" s="242" t="s">
        <v>4994</v>
      </c>
      <c r="B924" s="242" t="s">
        <v>16787</v>
      </c>
      <c r="C924" s="242" t="s">
        <v>4993</v>
      </c>
      <c r="D924" s="251">
        <v>37.99</v>
      </c>
    </row>
    <row r="925" spans="1:4" x14ac:dyDescent="0.3">
      <c r="A925" s="242" t="s">
        <v>4997</v>
      </c>
      <c r="B925" s="242" t="s">
        <v>16788</v>
      </c>
      <c r="C925" s="242" t="s">
        <v>4996</v>
      </c>
      <c r="D925" s="251">
        <v>37.99</v>
      </c>
    </row>
    <row r="926" spans="1:4" x14ac:dyDescent="0.3">
      <c r="A926" s="242" t="s">
        <v>5003</v>
      </c>
      <c r="B926" s="242" t="s">
        <v>16789</v>
      </c>
      <c r="C926" s="242" t="s">
        <v>5002</v>
      </c>
      <c r="D926" s="251">
        <v>37.99</v>
      </c>
    </row>
    <row r="927" spans="1:4" x14ac:dyDescent="0.3">
      <c r="A927" s="242" t="s">
        <v>5026</v>
      </c>
      <c r="B927" s="242" t="s">
        <v>16790</v>
      </c>
      <c r="C927" s="242" t="s">
        <v>5025</v>
      </c>
      <c r="D927" s="251">
        <v>37.99</v>
      </c>
    </row>
    <row r="928" spans="1:4" x14ac:dyDescent="0.3">
      <c r="A928" s="242" t="s">
        <v>5029</v>
      </c>
      <c r="B928" s="242" t="s">
        <v>16791</v>
      </c>
      <c r="C928" s="242" t="s">
        <v>5028</v>
      </c>
      <c r="D928" s="251">
        <v>37.99</v>
      </c>
    </row>
    <row r="929" spans="1:4" x14ac:dyDescent="0.3">
      <c r="A929" s="242" t="s">
        <v>10097</v>
      </c>
      <c r="B929" s="242" t="s">
        <v>16792</v>
      </c>
      <c r="C929" s="242" t="s">
        <v>10096</v>
      </c>
      <c r="D929" s="251">
        <v>15.33</v>
      </c>
    </row>
    <row r="930" spans="1:4" x14ac:dyDescent="0.3">
      <c r="A930" s="242" t="s">
        <v>10100</v>
      </c>
      <c r="B930" s="242" t="s">
        <v>16793</v>
      </c>
      <c r="C930" s="242" t="s">
        <v>10099</v>
      </c>
      <c r="D930" s="251">
        <v>30.66</v>
      </c>
    </row>
    <row r="931" spans="1:4" x14ac:dyDescent="0.3">
      <c r="A931" s="242" t="s">
        <v>10103</v>
      </c>
      <c r="B931" s="242" t="s">
        <v>16794</v>
      </c>
      <c r="C931" s="242" t="s">
        <v>10102</v>
      </c>
      <c r="D931" s="251">
        <v>30.66</v>
      </c>
    </row>
    <row r="932" spans="1:4" x14ac:dyDescent="0.3">
      <c r="A932" s="242" t="s">
        <v>10105</v>
      </c>
      <c r="B932" s="242" t="s">
        <v>16795</v>
      </c>
      <c r="C932" s="242" t="s">
        <v>10104</v>
      </c>
      <c r="D932" s="251">
        <v>14.66</v>
      </c>
    </row>
    <row r="933" spans="1:4" x14ac:dyDescent="0.3">
      <c r="A933" s="242" t="s">
        <v>10107</v>
      </c>
      <c r="B933" s="242" t="s">
        <v>16796</v>
      </c>
      <c r="C933" s="242" t="s">
        <v>10106</v>
      </c>
      <c r="D933" s="251">
        <v>14.66</v>
      </c>
    </row>
    <row r="934" spans="1:4" x14ac:dyDescent="0.3">
      <c r="A934" s="242" t="s">
        <v>16797</v>
      </c>
      <c r="B934" s="242" t="s">
        <v>16798</v>
      </c>
      <c r="C934" s="242" t="s">
        <v>16799</v>
      </c>
      <c r="D934" s="251">
        <v>37.99</v>
      </c>
    </row>
    <row r="935" spans="1:4" x14ac:dyDescent="0.3">
      <c r="A935" s="242" t="s">
        <v>10110</v>
      </c>
      <c r="B935" s="242" t="s">
        <v>16800</v>
      </c>
      <c r="C935" s="242" t="s">
        <v>10109</v>
      </c>
      <c r="D935" s="251">
        <v>14.66</v>
      </c>
    </row>
    <row r="936" spans="1:4" x14ac:dyDescent="0.3">
      <c r="A936" s="242" t="s">
        <v>16801</v>
      </c>
      <c r="B936" s="242" t="s">
        <v>16802</v>
      </c>
      <c r="C936" s="242" t="s">
        <v>16803</v>
      </c>
      <c r="D936" s="251">
        <v>37.99</v>
      </c>
    </row>
    <row r="937" spans="1:4" x14ac:dyDescent="0.3">
      <c r="A937" s="242" t="s">
        <v>16804</v>
      </c>
      <c r="B937" s="242" t="s">
        <v>16805</v>
      </c>
      <c r="C937" s="242" t="s">
        <v>16806</v>
      </c>
      <c r="D937" s="251">
        <v>12.59</v>
      </c>
    </row>
    <row r="938" spans="1:4" x14ac:dyDescent="0.3">
      <c r="A938" s="242" t="s">
        <v>16807</v>
      </c>
      <c r="B938" s="242" t="s">
        <v>16808</v>
      </c>
      <c r="C938" s="242" t="s">
        <v>16809</v>
      </c>
      <c r="D938" s="251">
        <v>14.66</v>
      </c>
    </row>
    <row r="939" spans="1:4" x14ac:dyDescent="0.3">
      <c r="A939" s="242" t="s">
        <v>16810</v>
      </c>
      <c r="B939" s="242" t="s">
        <v>16811</v>
      </c>
      <c r="C939" s="242" t="s">
        <v>16812</v>
      </c>
      <c r="D939" s="251">
        <v>19.329999999999998</v>
      </c>
    </row>
    <row r="940" spans="1:4" x14ac:dyDescent="0.3">
      <c r="A940" s="242" t="s">
        <v>16813</v>
      </c>
      <c r="B940" s="242" t="s">
        <v>16814</v>
      </c>
      <c r="C940" s="242" t="s">
        <v>16815</v>
      </c>
      <c r="D940" s="251">
        <v>9.19</v>
      </c>
    </row>
    <row r="941" spans="1:4" x14ac:dyDescent="0.3">
      <c r="A941" s="242" t="s">
        <v>16816</v>
      </c>
      <c r="B941" s="242" t="s">
        <v>16817</v>
      </c>
      <c r="C941" s="242" t="s">
        <v>16818</v>
      </c>
      <c r="D941" s="251">
        <v>27.33</v>
      </c>
    </row>
    <row r="942" spans="1:4" x14ac:dyDescent="0.3">
      <c r="A942" s="242" t="s">
        <v>16819</v>
      </c>
      <c r="B942" s="242" t="s">
        <v>16820</v>
      </c>
      <c r="C942" s="242" t="s">
        <v>16821</v>
      </c>
      <c r="D942" s="251">
        <v>31.99</v>
      </c>
    </row>
    <row r="943" spans="1:4" x14ac:dyDescent="0.3">
      <c r="A943" s="242" t="s">
        <v>16822</v>
      </c>
      <c r="B943" s="242" t="s">
        <v>16823</v>
      </c>
      <c r="C943" s="242" t="s">
        <v>16824</v>
      </c>
      <c r="D943" s="251">
        <v>15.99</v>
      </c>
    </row>
    <row r="944" spans="1:4" x14ac:dyDescent="0.3">
      <c r="A944" s="242" t="s">
        <v>16825</v>
      </c>
      <c r="B944" s="242" t="s">
        <v>16826</v>
      </c>
      <c r="C944" s="242" t="s">
        <v>16827</v>
      </c>
      <c r="D944" s="251">
        <v>32.659999999999997</v>
      </c>
    </row>
    <row r="945" spans="1:4" x14ac:dyDescent="0.3">
      <c r="A945" s="242" t="s">
        <v>11749</v>
      </c>
      <c r="B945" s="242" t="s">
        <v>16828</v>
      </c>
      <c r="C945" s="242" t="s">
        <v>11748</v>
      </c>
      <c r="D945" s="251">
        <v>15.99</v>
      </c>
    </row>
    <row r="946" spans="1:4" x14ac:dyDescent="0.3">
      <c r="A946" s="242" t="s">
        <v>11752</v>
      </c>
      <c r="B946" s="242" t="s">
        <v>16829</v>
      </c>
      <c r="C946" s="242" t="s">
        <v>11751</v>
      </c>
      <c r="D946" s="251">
        <v>15.99</v>
      </c>
    </row>
    <row r="947" spans="1:4" x14ac:dyDescent="0.3">
      <c r="A947" s="242" t="s">
        <v>11755</v>
      </c>
      <c r="B947" s="242" t="s">
        <v>16830</v>
      </c>
      <c r="C947" s="242" t="s">
        <v>11754</v>
      </c>
      <c r="D947" s="251">
        <v>15.99</v>
      </c>
    </row>
    <row r="948" spans="1:4" x14ac:dyDescent="0.3">
      <c r="A948" s="242" t="s">
        <v>11758</v>
      </c>
      <c r="B948" s="242" t="s">
        <v>16831</v>
      </c>
      <c r="C948" s="242" t="s">
        <v>11757</v>
      </c>
      <c r="D948" s="251">
        <v>26.66</v>
      </c>
    </row>
    <row r="949" spans="1:4" x14ac:dyDescent="0.3">
      <c r="A949" s="242" t="s">
        <v>11761</v>
      </c>
      <c r="B949" s="242" t="s">
        <v>11762</v>
      </c>
      <c r="C949" s="242" t="s">
        <v>11760</v>
      </c>
      <c r="D949" s="251">
        <v>15.99</v>
      </c>
    </row>
    <row r="950" spans="1:4" x14ac:dyDescent="0.3">
      <c r="A950" s="242" t="s">
        <v>11764</v>
      </c>
      <c r="B950" s="242" t="s">
        <v>16832</v>
      </c>
      <c r="C950" s="242" t="s">
        <v>11763</v>
      </c>
      <c r="D950" s="251">
        <v>31.99</v>
      </c>
    </row>
    <row r="951" spans="1:4" x14ac:dyDescent="0.3">
      <c r="A951" s="242" t="s">
        <v>16833</v>
      </c>
      <c r="B951" s="242" t="s">
        <v>16834</v>
      </c>
      <c r="C951" s="242" t="s">
        <v>16835</v>
      </c>
      <c r="D951" s="251">
        <v>19.329999999999998</v>
      </c>
    </row>
    <row r="952" spans="1:4" x14ac:dyDescent="0.3">
      <c r="A952" s="242" t="s">
        <v>16836</v>
      </c>
      <c r="B952" s="242" t="s">
        <v>16837</v>
      </c>
      <c r="C952" s="242" t="s">
        <v>16838</v>
      </c>
      <c r="D952" s="251">
        <v>19.329999999999998</v>
      </c>
    </row>
    <row r="953" spans="1:4" x14ac:dyDescent="0.3">
      <c r="A953" s="242" t="s">
        <v>16839</v>
      </c>
      <c r="B953" s="242" t="s">
        <v>16840</v>
      </c>
      <c r="C953" s="242" t="s">
        <v>16841</v>
      </c>
      <c r="D953" s="251">
        <v>13.13</v>
      </c>
    </row>
    <row r="954" spans="1:4" x14ac:dyDescent="0.3">
      <c r="A954" s="242" t="s">
        <v>16842</v>
      </c>
      <c r="B954" s="242" t="s">
        <v>16843</v>
      </c>
      <c r="C954" s="242" t="s">
        <v>16844</v>
      </c>
      <c r="D954" s="251">
        <v>15.99</v>
      </c>
    </row>
    <row r="955" spans="1:4" x14ac:dyDescent="0.3">
      <c r="A955" s="242" t="s">
        <v>16845</v>
      </c>
      <c r="B955" s="242" t="s">
        <v>16846</v>
      </c>
      <c r="C955" s="242" t="s">
        <v>16847</v>
      </c>
      <c r="D955" s="251">
        <v>15.99</v>
      </c>
    </row>
    <row r="956" spans="1:4" x14ac:dyDescent="0.3">
      <c r="A956" s="242" t="s">
        <v>10497</v>
      </c>
      <c r="B956" s="242" t="s">
        <v>16848</v>
      </c>
      <c r="C956" s="242" t="s">
        <v>10496</v>
      </c>
      <c r="D956" s="251">
        <v>25.33</v>
      </c>
    </row>
    <row r="957" spans="1:4" x14ac:dyDescent="0.3">
      <c r="A957" s="242" t="s">
        <v>10506</v>
      </c>
      <c r="B957" s="242" t="s">
        <v>16849</v>
      </c>
      <c r="C957" s="242" t="s">
        <v>10505</v>
      </c>
      <c r="D957" s="251">
        <v>25.33</v>
      </c>
    </row>
    <row r="958" spans="1:4" x14ac:dyDescent="0.3">
      <c r="A958" s="242" t="s">
        <v>10509</v>
      </c>
      <c r="B958" s="242" t="s">
        <v>16850</v>
      </c>
      <c r="C958" s="242" t="s">
        <v>10508</v>
      </c>
      <c r="D958" s="251">
        <v>25.33</v>
      </c>
    </row>
    <row r="959" spans="1:4" x14ac:dyDescent="0.3">
      <c r="A959" s="242" t="s">
        <v>16851</v>
      </c>
      <c r="B959" s="242" t="s">
        <v>16852</v>
      </c>
      <c r="C959" s="242" t="s">
        <v>16853</v>
      </c>
      <c r="D959" s="251">
        <v>15.33</v>
      </c>
    </row>
    <row r="960" spans="1:4" x14ac:dyDescent="0.3">
      <c r="A960" s="242" t="s">
        <v>16854</v>
      </c>
      <c r="B960" s="242" t="s">
        <v>16855</v>
      </c>
      <c r="C960" s="242" t="s">
        <v>16856</v>
      </c>
      <c r="D960" s="251">
        <v>15.99</v>
      </c>
    </row>
    <row r="961" spans="1:4" x14ac:dyDescent="0.3">
      <c r="A961" s="242" t="s">
        <v>16857</v>
      </c>
      <c r="B961" s="242" t="s">
        <v>16858</v>
      </c>
      <c r="C961" s="242" t="s">
        <v>16859</v>
      </c>
      <c r="D961" s="251">
        <v>15.99</v>
      </c>
    </row>
    <row r="962" spans="1:4" x14ac:dyDescent="0.3">
      <c r="A962" s="242" t="s">
        <v>16860</v>
      </c>
      <c r="B962" s="242" t="s">
        <v>16861</v>
      </c>
      <c r="C962" s="242" t="s">
        <v>16862</v>
      </c>
      <c r="D962" s="251">
        <v>29.99</v>
      </c>
    </row>
    <row r="963" spans="1:4" x14ac:dyDescent="0.3">
      <c r="A963" s="242" t="s">
        <v>16863</v>
      </c>
      <c r="B963" s="242" t="s">
        <v>16864</v>
      </c>
      <c r="C963" s="242" t="s">
        <v>16865</v>
      </c>
      <c r="D963" s="251">
        <v>29.99</v>
      </c>
    </row>
    <row r="964" spans="1:4" x14ac:dyDescent="0.3">
      <c r="A964" s="242" t="s">
        <v>16866</v>
      </c>
      <c r="B964" s="242" t="s">
        <v>16867</v>
      </c>
      <c r="C964" s="242" t="s">
        <v>16868</v>
      </c>
      <c r="D964" s="251">
        <v>31.33</v>
      </c>
    </row>
    <row r="965" spans="1:4" x14ac:dyDescent="0.3">
      <c r="A965" s="242" t="s">
        <v>16869</v>
      </c>
      <c r="B965" s="242" t="s">
        <v>16870</v>
      </c>
      <c r="C965" s="242" t="s">
        <v>16871</v>
      </c>
      <c r="D965" s="251">
        <v>27.33</v>
      </c>
    </row>
    <row r="966" spans="1:4" x14ac:dyDescent="0.3">
      <c r="A966" s="242" t="s">
        <v>16872</v>
      </c>
      <c r="B966" s="242" t="s">
        <v>16873</v>
      </c>
      <c r="C966" s="242" t="s">
        <v>16874</v>
      </c>
      <c r="D966" s="251">
        <v>10.73</v>
      </c>
    </row>
    <row r="967" spans="1:4" x14ac:dyDescent="0.3">
      <c r="A967" s="242" t="s">
        <v>16875</v>
      </c>
      <c r="B967" s="242" t="s">
        <v>16876</v>
      </c>
      <c r="C967" s="242" t="s">
        <v>16877</v>
      </c>
      <c r="D967" s="251">
        <v>17.329999999999998</v>
      </c>
    </row>
    <row r="968" spans="1:4" x14ac:dyDescent="0.3">
      <c r="A968" s="242" t="s">
        <v>16878</v>
      </c>
      <c r="B968" s="242" t="s">
        <v>16879</v>
      </c>
      <c r="C968" s="242" t="s">
        <v>16880</v>
      </c>
      <c r="D968" s="251">
        <v>31.33</v>
      </c>
    </row>
    <row r="969" spans="1:4" x14ac:dyDescent="0.3">
      <c r="A969" s="242" t="s">
        <v>16881</v>
      </c>
      <c r="B969" s="242" t="s">
        <v>16882</v>
      </c>
      <c r="C969" s="242" t="s">
        <v>16883</v>
      </c>
      <c r="D969" s="251">
        <v>25.33</v>
      </c>
    </row>
    <row r="970" spans="1:4" x14ac:dyDescent="0.3">
      <c r="A970" s="242" t="s">
        <v>16884</v>
      </c>
      <c r="B970" s="242" t="s">
        <v>16885</v>
      </c>
      <c r="C970" s="242" t="s">
        <v>16886</v>
      </c>
      <c r="D970" s="251">
        <v>15.33</v>
      </c>
    </row>
    <row r="971" spans="1:4" x14ac:dyDescent="0.3">
      <c r="A971" s="242" t="s">
        <v>16887</v>
      </c>
      <c r="B971" s="242" t="s">
        <v>16888</v>
      </c>
      <c r="C971" s="242" t="s">
        <v>16889</v>
      </c>
      <c r="D971" s="251">
        <v>25.33</v>
      </c>
    </row>
    <row r="972" spans="1:4" x14ac:dyDescent="0.3">
      <c r="A972" s="242" t="s">
        <v>16890</v>
      </c>
      <c r="B972" s="242" t="s">
        <v>16891</v>
      </c>
      <c r="C972" s="242" t="s">
        <v>16892</v>
      </c>
      <c r="D972" s="251">
        <v>41.99</v>
      </c>
    </row>
    <row r="973" spans="1:4" x14ac:dyDescent="0.3">
      <c r="A973" s="242" t="s">
        <v>16893</v>
      </c>
      <c r="B973" s="242" t="s">
        <v>16894</v>
      </c>
      <c r="C973" s="242" t="s">
        <v>16895</v>
      </c>
      <c r="D973" s="251">
        <v>27.33</v>
      </c>
    </row>
    <row r="974" spans="1:4" x14ac:dyDescent="0.3">
      <c r="A974" s="242" t="s">
        <v>16896</v>
      </c>
      <c r="B974" s="242" t="s">
        <v>16897</v>
      </c>
      <c r="C974" s="242" t="s">
        <v>16898</v>
      </c>
      <c r="D974" s="251">
        <v>39.99</v>
      </c>
    </row>
    <row r="975" spans="1:4" x14ac:dyDescent="0.3">
      <c r="A975" s="242" t="s">
        <v>16899</v>
      </c>
      <c r="B975" s="242" t="s">
        <v>16900</v>
      </c>
      <c r="C975" s="242" t="s">
        <v>16901</v>
      </c>
      <c r="D975" s="251">
        <v>39.33</v>
      </c>
    </row>
    <row r="976" spans="1:4" x14ac:dyDescent="0.3">
      <c r="A976" s="242" t="s">
        <v>16902</v>
      </c>
      <c r="B976" s="242" t="s">
        <v>16903</v>
      </c>
      <c r="C976" s="242" t="s">
        <v>16904</v>
      </c>
      <c r="D976" s="251">
        <v>31.99</v>
      </c>
    </row>
    <row r="977" spans="1:4" x14ac:dyDescent="0.3">
      <c r="A977" s="242" t="s">
        <v>16905</v>
      </c>
      <c r="B977" s="242" t="s">
        <v>16906</v>
      </c>
      <c r="C977" s="242" t="s">
        <v>16907</v>
      </c>
      <c r="D977" s="251">
        <v>52.66</v>
      </c>
    </row>
    <row r="978" spans="1:4" x14ac:dyDescent="0.3">
      <c r="A978" s="242" t="s">
        <v>16908</v>
      </c>
      <c r="B978" s="242" t="s">
        <v>16909</v>
      </c>
      <c r="C978" s="242" t="s">
        <v>16910</v>
      </c>
      <c r="D978" s="251">
        <v>17.329999999999998</v>
      </c>
    </row>
    <row r="979" spans="1:4" x14ac:dyDescent="0.3">
      <c r="A979" s="242" t="s">
        <v>16911</v>
      </c>
      <c r="B979" s="242" t="s">
        <v>16912</v>
      </c>
      <c r="C979" s="242" t="s">
        <v>16913</v>
      </c>
      <c r="D979" s="251">
        <v>31.33</v>
      </c>
    </row>
    <row r="980" spans="1:4" x14ac:dyDescent="0.3">
      <c r="A980" s="242" t="s">
        <v>16914</v>
      </c>
      <c r="B980" s="242" t="s">
        <v>16915</v>
      </c>
      <c r="C980" s="242" t="s">
        <v>16916</v>
      </c>
      <c r="D980" s="251">
        <v>15.33</v>
      </c>
    </row>
    <row r="981" spans="1:4" x14ac:dyDescent="0.3">
      <c r="A981" s="242" t="s">
        <v>16917</v>
      </c>
      <c r="B981" s="242" t="s">
        <v>16918</v>
      </c>
      <c r="C981" s="242" t="s">
        <v>16919</v>
      </c>
      <c r="D981" s="251">
        <v>41.99</v>
      </c>
    </row>
    <row r="982" spans="1:4" x14ac:dyDescent="0.3">
      <c r="A982" s="242" t="s">
        <v>16920</v>
      </c>
      <c r="B982" s="242" t="s">
        <v>16921</v>
      </c>
      <c r="C982" s="242" t="s">
        <v>16922</v>
      </c>
      <c r="D982" s="251">
        <v>52.66</v>
      </c>
    </row>
    <row r="983" spans="1:4" x14ac:dyDescent="0.3">
      <c r="A983" s="242" t="s">
        <v>16923</v>
      </c>
      <c r="B983" s="242" t="s">
        <v>16924</v>
      </c>
      <c r="C983" s="242" t="s">
        <v>16925</v>
      </c>
      <c r="D983" s="251">
        <v>17.329999999999998</v>
      </c>
    </row>
    <row r="984" spans="1:4" x14ac:dyDescent="0.3">
      <c r="A984" s="242" t="s">
        <v>16926</v>
      </c>
      <c r="B984" s="242" t="s">
        <v>16927</v>
      </c>
      <c r="C984" s="242" t="s">
        <v>16928</v>
      </c>
      <c r="D984" s="251">
        <v>31.33</v>
      </c>
    </row>
    <row r="985" spans="1:4" x14ac:dyDescent="0.3">
      <c r="A985" s="242" t="s">
        <v>16929</v>
      </c>
      <c r="B985" s="242" t="s">
        <v>16930</v>
      </c>
      <c r="C985" s="242" t="s">
        <v>16931</v>
      </c>
      <c r="D985" s="251">
        <v>15.33</v>
      </c>
    </row>
    <row r="986" spans="1:4" x14ac:dyDescent="0.3">
      <c r="A986" s="242" t="s">
        <v>16932</v>
      </c>
      <c r="B986" s="242" t="s">
        <v>16933</v>
      </c>
      <c r="C986" s="242" t="s">
        <v>16934</v>
      </c>
      <c r="D986" s="251">
        <v>29.99</v>
      </c>
    </row>
    <row r="987" spans="1:4" x14ac:dyDescent="0.3">
      <c r="A987" s="242" t="s">
        <v>16935</v>
      </c>
      <c r="B987" s="242" t="s">
        <v>16936</v>
      </c>
      <c r="C987" s="242" t="s">
        <v>16937</v>
      </c>
      <c r="D987" s="251">
        <v>41.99</v>
      </c>
    </row>
    <row r="988" spans="1:4" x14ac:dyDescent="0.3">
      <c r="A988" s="242" t="s">
        <v>16938</v>
      </c>
      <c r="B988" s="242" t="s">
        <v>16939</v>
      </c>
      <c r="C988" s="242" t="s">
        <v>16940</v>
      </c>
      <c r="D988" s="251">
        <v>30.66</v>
      </c>
    </row>
    <row r="989" spans="1:4" x14ac:dyDescent="0.3">
      <c r="A989" s="242" t="s">
        <v>16941</v>
      </c>
      <c r="B989" s="242" t="s">
        <v>16942</v>
      </c>
      <c r="C989" s="242" t="s">
        <v>16943</v>
      </c>
      <c r="D989" s="251">
        <v>17.329999999999998</v>
      </c>
    </row>
    <row r="990" spans="1:4" x14ac:dyDescent="0.3">
      <c r="A990" s="242" t="s">
        <v>16944</v>
      </c>
      <c r="B990" s="242" t="s">
        <v>16945</v>
      </c>
      <c r="C990" s="242" t="s">
        <v>16946</v>
      </c>
      <c r="D990" s="251">
        <v>40.659999999999997</v>
      </c>
    </row>
    <row r="991" spans="1:4" x14ac:dyDescent="0.3">
      <c r="A991" s="242" t="s">
        <v>16947</v>
      </c>
      <c r="B991" s="242" t="s">
        <v>16948</v>
      </c>
      <c r="C991" s="242" t="s">
        <v>16949</v>
      </c>
      <c r="D991" s="251">
        <v>15.99</v>
      </c>
    </row>
    <row r="992" spans="1:4" x14ac:dyDescent="0.3">
      <c r="A992" s="242" t="s">
        <v>16950</v>
      </c>
      <c r="B992" s="242" t="s">
        <v>16951</v>
      </c>
      <c r="C992" s="242" t="s">
        <v>16952</v>
      </c>
      <c r="D992" s="251">
        <v>40.659999999999997</v>
      </c>
    </row>
    <row r="993" spans="1:4" x14ac:dyDescent="0.3">
      <c r="A993" s="242" t="s">
        <v>16953</v>
      </c>
      <c r="B993" s="242" t="s">
        <v>16954</v>
      </c>
      <c r="C993" s="242" t="s">
        <v>16955</v>
      </c>
      <c r="D993" s="251">
        <v>40.659999999999997</v>
      </c>
    </row>
    <row r="994" spans="1:4" x14ac:dyDescent="0.3">
      <c r="A994" s="242" t="s">
        <v>16956</v>
      </c>
      <c r="B994" s="242" t="s">
        <v>16957</v>
      </c>
      <c r="C994" s="242" t="s">
        <v>16958</v>
      </c>
      <c r="D994" s="251">
        <v>40.659999999999997</v>
      </c>
    </row>
    <row r="995" spans="1:4" x14ac:dyDescent="0.3">
      <c r="A995" s="242" t="s">
        <v>16959</v>
      </c>
      <c r="B995" s="242" t="s">
        <v>16960</v>
      </c>
      <c r="C995" s="242" t="s">
        <v>16961</v>
      </c>
      <c r="D995" s="251">
        <v>40.659999999999997</v>
      </c>
    </row>
    <row r="996" spans="1:4" x14ac:dyDescent="0.3">
      <c r="A996" s="242" t="s">
        <v>16962</v>
      </c>
      <c r="B996" s="242" t="s">
        <v>16963</v>
      </c>
      <c r="C996" s="242" t="s">
        <v>16964</v>
      </c>
      <c r="D996" s="251">
        <v>40.659999999999997</v>
      </c>
    </row>
    <row r="997" spans="1:4" x14ac:dyDescent="0.3">
      <c r="A997" s="242" t="s">
        <v>16965</v>
      </c>
      <c r="B997" s="242" t="s">
        <v>16966</v>
      </c>
      <c r="C997" s="242" t="s">
        <v>16967</v>
      </c>
      <c r="D997" s="251">
        <v>40.659999999999997</v>
      </c>
    </row>
    <row r="998" spans="1:4" x14ac:dyDescent="0.3">
      <c r="A998" s="242" t="s">
        <v>16968</v>
      </c>
      <c r="B998" s="242" t="s">
        <v>16969</v>
      </c>
      <c r="C998" s="242" t="s">
        <v>16970</v>
      </c>
      <c r="D998" s="251">
        <v>15.99</v>
      </c>
    </row>
    <row r="999" spans="1:4" x14ac:dyDescent="0.3">
      <c r="A999" s="242" t="s">
        <v>16971</v>
      </c>
      <c r="B999" s="242" t="s">
        <v>16972</v>
      </c>
      <c r="C999" s="242" t="s">
        <v>16973</v>
      </c>
      <c r="D999" s="251">
        <v>30.66</v>
      </c>
    </row>
    <row r="1000" spans="1:4" x14ac:dyDescent="0.3">
      <c r="A1000" s="242" t="s">
        <v>16974</v>
      </c>
      <c r="B1000" s="242" t="s">
        <v>16975</v>
      </c>
      <c r="C1000" s="242" t="s">
        <v>16976</v>
      </c>
      <c r="D1000" s="251">
        <v>29.99</v>
      </c>
    </row>
    <row r="1001" spans="1:4" x14ac:dyDescent="0.3">
      <c r="A1001" s="242" t="s">
        <v>16977</v>
      </c>
      <c r="B1001" s="242" t="s">
        <v>16978</v>
      </c>
      <c r="C1001" s="242" t="s">
        <v>16979</v>
      </c>
      <c r="D1001" s="251">
        <v>36.659999999999997</v>
      </c>
    </row>
    <row r="1002" spans="1:4" x14ac:dyDescent="0.3">
      <c r="A1002" s="242" t="s">
        <v>16980</v>
      </c>
      <c r="B1002" s="242" t="s">
        <v>16981</v>
      </c>
      <c r="C1002" s="242" t="s">
        <v>16982</v>
      </c>
      <c r="D1002" s="251">
        <v>15.99</v>
      </c>
    </row>
    <row r="1003" spans="1:4" x14ac:dyDescent="0.3">
      <c r="A1003" s="242" t="s">
        <v>16983</v>
      </c>
      <c r="B1003" s="242" t="s">
        <v>16984</v>
      </c>
      <c r="C1003" s="242" t="s">
        <v>16985</v>
      </c>
      <c r="D1003" s="251">
        <v>18.66</v>
      </c>
    </row>
    <row r="1004" spans="1:4" x14ac:dyDescent="0.3">
      <c r="A1004" s="242" t="s">
        <v>16986</v>
      </c>
      <c r="B1004" s="242" t="s">
        <v>16987</v>
      </c>
      <c r="C1004" s="242" t="s">
        <v>16988</v>
      </c>
      <c r="D1004" s="251">
        <v>18.66</v>
      </c>
    </row>
    <row r="1005" spans="1:4" x14ac:dyDescent="0.3">
      <c r="A1005" s="242" t="s">
        <v>16989</v>
      </c>
      <c r="B1005" s="242" t="s">
        <v>16990</v>
      </c>
      <c r="C1005" s="242" t="s">
        <v>16991</v>
      </c>
      <c r="D1005" s="251">
        <v>15.99</v>
      </c>
    </row>
    <row r="1006" spans="1:4" x14ac:dyDescent="0.3">
      <c r="A1006" s="242" t="s">
        <v>16992</v>
      </c>
      <c r="B1006" s="242" t="s">
        <v>16993</v>
      </c>
      <c r="C1006" s="242" t="s">
        <v>16994</v>
      </c>
      <c r="D1006" s="251">
        <v>29.99</v>
      </c>
    </row>
    <row r="1007" spans="1:4" x14ac:dyDescent="0.3">
      <c r="A1007" s="242" t="s">
        <v>16995</v>
      </c>
      <c r="B1007" s="242" t="s">
        <v>16996</v>
      </c>
      <c r="C1007" s="242" t="s">
        <v>16997</v>
      </c>
      <c r="D1007" s="251">
        <v>15.99</v>
      </c>
    </row>
    <row r="1008" spans="1:4" x14ac:dyDescent="0.3">
      <c r="A1008" s="242" t="s">
        <v>16998</v>
      </c>
      <c r="B1008" s="242" t="s">
        <v>16999</v>
      </c>
      <c r="C1008" s="242" t="s">
        <v>17000</v>
      </c>
      <c r="D1008" s="251">
        <v>13.13</v>
      </c>
    </row>
    <row r="1009" spans="1:4" x14ac:dyDescent="0.3">
      <c r="A1009" s="242" t="s">
        <v>17001</v>
      </c>
      <c r="B1009" s="242" t="s">
        <v>17002</v>
      </c>
      <c r="C1009" s="242" t="s">
        <v>17003</v>
      </c>
      <c r="D1009" s="251">
        <v>15.99</v>
      </c>
    </row>
    <row r="1010" spans="1:4" x14ac:dyDescent="0.3">
      <c r="A1010" s="242" t="s">
        <v>17004</v>
      </c>
      <c r="B1010" s="242" t="s">
        <v>17005</v>
      </c>
      <c r="C1010" s="242" t="s">
        <v>17006</v>
      </c>
      <c r="D1010" s="251">
        <v>15.99</v>
      </c>
    </row>
    <row r="1011" spans="1:4" x14ac:dyDescent="0.3">
      <c r="A1011" s="242" t="s">
        <v>17007</v>
      </c>
      <c r="B1011" s="242" t="s">
        <v>17008</v>
      </c>
      <c r="C1011" s="242" t="s">
        <v>17009</v>
      </c>
      <c r="D1011" s="251">
        <v>31.33</v>
      </c>
    </row>
    <row r="1012" spans="1:4" x14ac:dyDescent="0.3">
      <c r="A1012" s="242" t="s">
        <v>17010</v>
      </c>
      <c r="B1012" s="242" t="s">
        <v>17011</v>
      </c>
      <c r="C1012" s="242" t="s">
        <v>17012</v>
      </c>
      <c r="D1012" s="251">
        <v>41.99</v>
      </c>
    </row>
    <row r="1013" spans="1:4" x14ac:dyDescent="0.3">
      <c r="A1013" s="242" t="s">
        <v>9989</v>
      </c>
      <c r="B1013" s="242" t="s">
        <v>17013</v>
      </c>
      <c r="C1013" s="242" t="s">
        <v>9988</v>
      </c>
      <c r="D1013" s="251">
        <v>37.99</v>
      </c>
    </row>
    <row r="1014" spans="1:4" x14ac:dyDescent="0.3">
      <c r="A1014" s="242" t="s">
        <v>17014</v>
      </c>
      <c r="B1014" s="242" t="s">
        <v>17015</v>
      </c>
      <c r="C1014" s="242" t="s">
        <v>17016</v>
      </c>
      <c r="D1014" s="251">
        <v>9.19</v>
      </c>
    </row>
    <row r="1015" spans="1:4" x14ac:dyDescent="0.3">
      <c r="A1015" s="242" t="s">
        <v>17017</v>
      </c>
      <c r="B1015" s="242" t="s">
        <v>17018</v>
      </c>
      <c r="C1015" s="242" t="s">
        <v>17019</v>
      </c>
      <c r="D1015" s="251">
        <v>9.5299999999999994</v>
      </c>
    </row>
    <row r="1016" spans="1:4" x14ac:dyDescent="0.3">
      <c r="A1016" s="242" t="s">
        <v>10113</v>
      </c>
      <c r="B1016" s="242" t="s">
        <v>17020</v>
      </c>
      <c r="C1016" s="242" t="s">
        <v>10112</v>
      </c>
      <c r="D1016" s="251">
        <v>9.19</v>
      </c>
    </row>
    <row r="1017" spans="1:4" x14ac:dyDescent="0.3">
      <c r="A1017" s="242" t="s">
        <v>10115</v>
      </c>
      <c r="B1017" s="242" t="s">
        <v>17021</v>
      </c>
      <c r="C1017" s="242" t="s">
        <v>17022</v>
      </c>
      <c r="D1017" s="251">
        <v>15.99</v>
      </c>
    </row>
    <row r="1018" spans="1:4" x14ac:dyDescent="0.3">
      <c r="A1018" s="242" t="s">
        <v>10117</v>
      </c>
      <c r="B1018" s="242" t="s">
        <v>10118</v>
      </c>
      <c r="C1018" s="242" t="s">
        <v>17023</v>
      </c>
      <c r="D1018" s="251">
        <v>15.99</v>
      </c>
    </row>
    <row r="1019" spans="1:4" x14ac:dyDescent="0.3">
      <c r="A1019" s="242" t="s">
        <v>10119</v>
      </c>
      <c r="B1019" s="242" t="s">
        <v>17024</v>
      </c>
      <c r="C1019" s="242" t="s">
        <v>17025</v>
      </c>
      <c r="D1019" s="251">
        <v>10.53</v>
      </c>
    </row>
    <row r="1020" spans="1:4" x14ac:dyDescent="0.3">
      <c r="A1020" s="242" t="s">
        <v>10121</v>
      </c>
      <c r="B1020" s="242" t="s">
        <v>17026</v>
      </c>
      <c r="C1020" s="242" t="s">
        <v>17027</v>
      </c>
      <c r="D1020" s="251">
        <v>15.99</v>
      </c>
    </row>
    <row r="1021" spans="1:4" x14ac:dyDescent="0.3">
      <c r="A1021" s="242" t="s">
        <v>10685</v>
      </c>
      <c r="B1021" s="242" t="s">
        <v>17028</v>
      </c>
      <c r="C1021" s="242" t="s">
        <v>10684</v>
      </c>
      <c r="D1021" s="251">
        <v>6.33</v>
      </c>
    </row>
    <row r="1022" spans="1:4" x14ac:dyDescent="0.3">
      <c r="A1022" s="242" t="s">
        <v>17029</v>
      </c>
      <c r="B1022" s="242" t="s">
        <v>17030</v>
      </c>
      <c r="C1022" s="242" t="s">
        <v>17031</v>
      </c>
      <c r="D1022" s="251">
        <v>37.99</v>
      </c>
    </row>
    <row r="1023" spans="1:4" x14ac:dyDescent="0.3">
      <c r="A1023" s="242" t="s">
        <v>17032</v>
      </c>
      <c r="B1023" s="242" t="s">
        <v>17033</v>
      </c>
      <c r="C1023" s="242" t="s">
        <v>17034</v>
      </c>
      <c r="D1023" s="251">
        <v>13.99</v>
      </c>
    </row>
    <row r="1024" spans="1:4" x14ac:dyDescent="0.3">
      <c r="A1024" s="242" t="s">
        <v>17035</v>
      </c>
      <c r="B1024" s="242" t="s">
        <v>17036</v>
      </c>
      <c r="C1024" s="242" t="s">
        <v>17037</v>
      </c>
      <c r="D1024" s="251">
        <v>37.99</v>
      </c>
    </row>
    <row r="1025" spans="1:4" x14ac:dyDescent="0.3">
      <c r="A1025" s="242" t="s">
        <v>17038</v>
      </c>
      <c r="B1025" s="242" t="s">
        <v>17039</v>
      </c>
      <c r="C1025" s="242" t="s">
        <v>17040</v>
      </c>
      <c r="D1025" s="251">
        <v>37.99</v>
      </c>
    </row>
    <row r="1026" spans="1:4" x14ac:dyDescent="0.3">
      <c r="A1026" s="242" t="s">
        <v>17041</v>
      </c>
      <c r="B1026" s="242" t="s">
        <v>17042</v>
      </c>
      <c r="C1026" s="242" t="s">
        <v>17043</v>
      </c>
      <c r="D1026" s="251">
        <v>25.33</v>
      </c>
    </row>
    <row r="1027" spans="1:4" x14ac:dyDescent="0.3">
      <c r="A1027" s="242" t="s">
        <v>17044</v>
      </c>
      <c r="B1027" s="242" t="s">
        <v>17045</v>
      </c>
      <c r="C1027" s="242" t="s">
        <v>17046</v>
      </c>
      <c r="D1027" s="251">
        <v>15.99</v>
      </c>
    </row>
    <row r="1028" spans="1:4" x14ac:dyDescent="0.3">
      <c r="A1028" s="242" t="s">
        <v>17047</v>
      </c>
      <c r="B1028" s="242" t="s">
        <v>17048</v>
      </c>
      <c r="C1028" s="242" t="s">
        <v>17049</v>
      </c>
      <c r="D1028" s="251">
        <v>11.33</v>
      </c>
    </row>
    <row r="1029" spans="1:4" x14ac:dyDescent="0.3">
      <c r="A1029" s="242" t="s">
        <v>17050</v>
      </c>
      <c r="B1029" s="242" t="s">
        <v>17051</v>
      </c>
      <c r="C1029" s="242" t="s">
        <v>17052</v>
      </c>
      <c r="D1029" s="251">
        <v>13.13</v>
      </c>
    </row>
    <row r="1030" spans="1:4" x14ac:dyDescent="0.3">
      <c r="A1030" s="242" t="s">
        <v>17053</v>
      </c>
      <c r="B1030" s="242" t="s">
        <v>17054</v>
      </c>
      <c r="C1030" s="242" t="s">
        <v>17055</v>
      </c>
      <c r="D1030" s="251">
        <v>13.13</v>
      </c>
    </row>
    <row r="1031" spans="1:4" x14ac:dyDescent="0.3">
      <c r="A1031" s="242" t="s">
        <v>17056</v>
      </c>
      <c r="B1031" s="242" t="s">
        <v>17057</v>
      </c>
      <c r="C1031" s="242" t="s">
        <v>17058</v>
      </c>
      <c r="D1031" s="251">
        <v>25.99</v>
      </c>
    </row>
    <row r="1032" spans="1:4" x14ac:dyDescent="0.3">
      <c r="A1032" s="242" t="s">
        <v>17059</v>
      </c>
      <c r="B1032" s="242" t="s">
        <v>17060</v>
      </c>
      <c r="C1032" s="242" t="s">
        <v>17061</v>
      </c>
      <c r="D1032" s="251">
        <v>15.99</v>
      </c>
    </row>
    <row r="1033" spans="1:4" x14ac:dyDescent="0.3">
      <c r="A1033" s="242" t="s">
        <v>17062</v>
      </c>
      <c r="B1033" s="242" t="s">
        <v>17063</v>
      </c>
      <c r="C1033" s="242" t="s">
        <v>17064</v>
      </c>
      <c r="D1033" s="251">
        <v>31.99</v>
      </c>
    </row>
    <row r="1034" spans="1:4" x14ac:dyDescent="0.3">
      <c r="A1034" s="242" t="s">
        <v>17065</v>
      </c>
      <c r="B1034" s="242" t="s">
        <v>17066</v>
      </c>
      <c r="C1034" s="242" t="s">
        <v>17067</v>
      </c>
      <c r="D1034" s="251">
        <v>15.99</v>
      </c>
    </row>
    <row r="1035" spans="1:4" x14ac:dyDescent="0.3">
      <c r="A1035" s="242" t="s">
        <v>17068</v>
      </c>
      <c r="B1035" s="242" t="s">
        <v>17069</v>
      </c>
      <c r="C1035" s="242" t="s">
        <v>17070</v>
      </c>
      <c r="D1035" s="251">
        <v>36.659999999999997</v>
      </c>
    </row>
    <row r="1036" spans="1:4" x14ac:dyDescent="0.3">
      <c r="A1036" s="242" t="s">
        <v>17071</v>
      </c>
      <c r="B1036" s="242" t="s">
        <v>17072</v>
      </c>
      <c r="C1036" s="242" t="s">
        <v>17073</v>
      </c>
      <c r="D1036" s="251">
        <v>15.99</v>
      </c>
    </row>
    <row r="1037" spans="1:4" x14ac:dyDescent="0.3">
      <c r="A1037" s="242" t="s">
        <v>17074</v>
      </c>
      <c r="B1037" s="242" t="s">
        <v>17075</v>
      </c>
      <c r="C1037" s="242" t="s">
        <v>17076</v>
      </c>
      <c r="D1037" s="251">
        <v>21.33</v>
      </c>
    </row>
    <row r="1038" spans="1:4" x14ac:dyDescent="0.3">
      <c r="A1038" s="242" t="s">
        <v>17077</v>
      </c>
      <c r="B1038" s="242" t="s">
        <v>17078</v>
      </c>
      <c r="C1038" s="242" t="s">
        <v>17079</v>
      </c>
      <c r="D1038" s="251">
        <v>25.99</v>
      </c>
    </row>
    <row r="1039" spans="1:4" x14ac:dyDescent="0.3">
      <c r="A1039" s="242" t="s">
        <v>17080</v>
      </c>
      <c r="B1039" s="242" t="s">
        <v>17081</v>
      </c>
      <c r="C1039" s="242" t="s">
        <v>17082</v>
      </c>
      <c r="D1039" s="251">
        <v>15.99</v>
      </c>
    </row>
    <row r="1040" spans="1:4" x14ac:dyDescent="0.3">
      <c r="A1040" s="242" t="s">
        <v>17083</v>
      </c>
      <c r="B1040" s="242" t="s">
        <v>17084</v>
      </c>
      <c r="C1040" s="242" t="s">
        <v>17085</v>
      </c>
      <c r="D1040" s="251">
        <v>15.99</v>
      </c>
    </row>
    <row r="1041" spans="1:4" x14ac:dyDescent="0.3">
      <c r="A1041" s="242" t="s">
        <v>17086</v>
      </c>
      <c r="B1041" s="242" t="s">
        <v>17087</v>
      </c>
      <c r="C1041" s="242" t="s">
        <v>17088</v>
      </c>
      <c r="D1041" s="251">
        <v>25.99</v>
      </c>
    </row>
    <row r="1042" spans="1:4" x14ac:dyDescent="0.3">
      <c r="A1042" s="242" t="s">
        <v>17089</v>
      </c>
      <c r="B1042" s="242" t="s">
        <v>17090</v>
      </c>
      <c r="C1042" s="242" t="s">
        <v>17091</v>
      </c>
      <c r="D1042" s="251">
        <v>15.99</v>
      </c>
    </row>
    <row r="1043" spans="1:4" x14ac:dyDescent="0.3">
      <c r="A1043" s="242" t="s">
        <v>17092</v>
      </c>
      <c r="B1043" s="242" t="s">
        <v>17093</v>
      </c>
      <c r="C1043" s="242" t="s">
        <v>17094</v>
      </c>
      <c r="D1043" s="251">
        <v>36.659999999999997</v>
      </c>
    </row>
    <row r="1044" spans="1:4" x14ac:dyDescent="0.3">
      <c r="A1044" s="242" t="s">
        <v>17095</v>
      </c>
      <c r="B1044" s="242" t="s">
        <v>17096</v>
      </c>
      <c r="C1044" s="242" t="s">
        <v>17097</v>
      </c>
      <c r="D1044" s="251">
        <v>15.99</v>
      </c>
    </row>
    <row r="1045" spans="1:4" x14ac:dyDescent="0.3">
      <c r="A1045" s="242" t="s">
        <v>17098</v>
      </c>
      <c r="B1045" s="242" t="s">
        <v>17099</v>
      </c>
      <c r="C1045" s="242" t="s">
        <v>17100</v>
      </c>
      <c r="D1045" s="251">
        <v>21.33</v>
      </c>
    </row>
    <row r="1046" spans="1:4" x14ac:dyDescent="0.3">
      <c r="A1046" s="242" t="s">
        <v>17101</v>
      </c>
      <c r="B1046" s="242" t="s">
        <v>17102</v>
      </c>
      <c r="C1046" s="242" t="s">
        <v>17103</v>
      </c>
      <c r="D1046" s="251">
        <v>15.99</v>
      </c>
    </row>
    <row r="1047" spans="1:4" x14ac:dyDescent="0.3">
      <c r="A1047" s="242" t="s">
        <v>11467</v>
      </c>
      <c r="B1047" s="242" t="s">
        <v>17104</v>
      </c>
      <c r="C1047" s="242" t="s">
        <v>11466</v>
      </c>
      <c r="D1047" s="251">
        <v>12.59</v>
      </c>
    </row>
    <row r="1048" spans="1:4" x14ac:dyDescent="0.3">
      <c r="A1048" s="242" t="s">
        <v>17105</v>
      </c>
      <c r="B1048" s="242" t="s">
        <v>17106</v>
      </c>
      <c r="C1048" s="242" t="s">
        <v>17107</v>
      </c>
      <c r="D1048" s="251">
        <v>15.99</v>
      </c>
    </row>
    <row r="1049" spans="1:4" x14ac:dyDescent="0.3">
      <c r="A1049" s="242" t="s">
        <v>11476</v>
      </c>
      <c r="B1049" s="242" t="s">
        <v>17108</v>
      </c>
      <c r="C1049" s="242" t="s">
        <v>11475</v>
      </c>
      <c r="D1049" s="251">
        <v>12.59</v>
      </c>
    </row>
    <row r="1050" spans="1:4" x14ac:dyDescent="0.3">
      <c r="A1050" s="242" t="s">
        <v>17109</v>
      </c>
      <c r="B1050" s="242" t="s">
        <v>17110</v>
      </c>
      <c r="C1050" s="242" t="s">
        <v>17111</v>
      </c>
      <c r="D1050" s="251">
        <v>15.99</v>
      </c>
    </row>
    <row r="1051" spans="1:4" x14ac:dyDescent="0.3">
      <c r="A1051" s="242" t="s">
        <v>17112</v>
      </c>
      <c r="B1051" s="242" t="s">
        <v>17113</v>
      </c>
      <c r="C1051" s="242" t="s">
        <v>17114</v>
      </c>
      <c r="D1051" s="251">
        <v>15.99</v>
      </c>
    </row>
    <row r="1052" spans="1:4" x14ac:dyDescent="0.3">
      <c r="A1052" s="242" t="s">
        <v>11479</v>
      </c>
      <c r="B1052" s="242" t="s">
        <v>17115</v>
      </c>
      <c r="C1052" s="242" t="s">
        <v>11478</v>
      </c>
      <c r="D1052" s="251">
        <v>21.33</v>
      </c>
    </row>
    <row r="1053" spans="1:4" x14ac:dyDescent="0.3">
      <c r="A1053" s="242" t="s">
        <v>11521</v>
      </c>
      <c r="B1053" s="242" t="s">
        <v>17116</v>
      </c>
      <c r="C1053" s="242" t="s">
        <v>11520</v>
      </c>
      <c r="D1053" s="251">
        <v>39.99</v>
      </c>
    </row>
    <row r="1054" spans="1:4" x14ac:dyDescent="0.3">
      <c r="A1054" s="242" t="s">
        <v>11524</v>
      </c>
      <c r="B1054" s="242" t="s">
        <v>17117</v>
      </c>
      <c r="C1054" s="242" t="s">
        <v>11523</v>
      </c>
      <c r="D1054" s="251">
        <v>39.99</v>
      </c>
    </row>
    <row r="1055" spans="1:4" x14ac:dyDescent="0.3">
      <c r="A1055" s="242" t="s">
        <v>11533</v>
      </c>
      <c r="B1055" s="242" t="s">
        <v>11534</v>
      </c>
      <c r="C1055" s="242" t="s">
        <v>11532</v>
      </c>
      <c r="D1055" s="251">
        <v>19.329999999999998</v>
      </c>
    </row>
    <row r="1056" spans="1:4" x14ac:dyDescent="0.3">
      <c r="A1056" s="242" t="s">
        <v>11542</v>
      </c>
      <c r="B1056" s="242" t="s">
        <v>17118</v>
      </c>
      <c r="C1056" s="242" t="s">
        <v>11541</v>
      </c>
      <c r="D1056" s="251">
        <v>39.99</v>
      </c>
    </row>
    <row r="1057" spans="1:4" x14ac:dyDescent="0.3">
      <c r="A1057" s="242" t="s">
        <v>9992</v>
      </c>
      <c r="B1057" s="242" t="s">
        <v>17119</v>
      </c>
      <c r="C1057" s="242" t="s">
        <v>9991</v>
      </c>
      <c r="D1057" s="251">
        <v>31.99</v>
      </c>
    </row>
    <row r="1058" spans="1:4" x14ac:dyDescent="0.3">
      <c r="A1058" s="242" t="s">
        <v>9995</v>
      </c>
      <c r="B1058" s="242" t="s">
        <v>17120</v>
      </c>
      <c r="C1058" s="242" t="s">
        <v>9994</v>
      </c>
      <c r="D1058" s="251">
        <v>45.33</v>
      </c>
    </row>
    <row r="1059" spans="1:4" x14ac:dyDescent="0.3">
      <c r="A1059" s="242" t="s">
        <v>9998</v>
      </c>
      <c r="B1059" s="242" t="s">
        <v>17121</v>
      </c>
      <c r="C1059" s="242" t="s">
        <v>9997</v>
      </c>
      <c r="D1059" s="251">
        <v>45.33</v>
      </c>
    </row>
    <row r="1060" spans="1:4" x14ac:dyDescent="0.3">
      <c r="A1060" s="242" t="s">
        <v>8980</v>
      </c>
      <c r="B1060" s="242" t="s">
        <v>17122</v>
      </c>
      <c r="C1060" s="242" t="s">
        <v>8979</v>
      </c>
      <c r="D1060" s="251">
        <v>79.33</v>
      </c>
    </row>
    <row r="1061" spans="1:4" x14ac:dyDescent="0.3">
      <c r="A1061" s="242" t="s">
        <v>8983</v>
      </c>
      <c r="B1061" s="242" t="s">
        <v>17123</v>
      </c>
      <c r="C1061" s="242" t="s">
        <v>8982</v>
      </c>
      <c r="D1061" s="251">
        <v>41.33</v>
      </c>
    </row>
    <row r="1062" spans="1:4" x14ac:dyDescent="0.3">
      <c r="A1062" s="242" t="s">
        <v>8986</v>
      </c>
      <c r="B1062" s="242" t="s">
        <v>17124</v>
      </c>
      <c r="C1062" s="242" t="s">
        <v>8985</v>
      </c>
      <c r="D1062" s="251">
        <v>22.66</v>
      </c>
    </row>
    <row r="1063" spans="1:4" x14ac:dyDescent="0.3">
      <c r="A1063" s="242" t="s">
        <v>8992</v>
      </c>
      <c r="B1063" s="242" t="s">
        <v>17125</v>
      </c>
      <c r="C1063" s="242" t="s">
        <v>8991</v>
      </c>
      <c r="D1063" s="251">
        <v>15.99</v>
      </c>
    </row>
    <row r="1064" spans="1:4" x14ac:dyDescent="0.3">
      <c r="A1064" s="242" t="s">
        <v>17126</v>
      </c>
      <c r="B1064" s="242" t="s">
        <v>17127</v>
      </c>
      <c r="C1064" s="242" t="s">
        <v>17128</v>
      </c>
      <c r="D1064" s="251">
        <v>15.99</v>
      </c>
    </row>
    <row r="1065" spans="1:4" x14ac:dyDescent="0.3">
      <c r="A1065" s="242" t="s">
        <v>17129</v>
      </c>
      <c r="B1065" s="242" t="s">
        <v>17130</v>
      </c>
      <c r="C1065" s="242" t="s">
        <v>17131</v>
      </c>
      <c r="D1065" s="251">
        <v>15.99</v>
      </c>
    </row>
    <row r="1066" spans="1:4" x14ac:dyDescent="0.3">
      <c r="A1066" s="242" t="s">
        <v>8869</v>
      </c>
      <c r="B1066" s="242" t="s">
        <v>17132</v>
      </c>
      <c r="C1066" s="242" t="s">
        <v>8868</v>
      </c>
      <c r="D1066" s="251">
        <v>25.33</v>
      </c>
    </row>
    <row r="1067" spans="1:4" x14ac:dyDescent="0.3">
      <c r="A1067" s="242" t="s">
        <v>17133</v>
      </c>
      <c r="B1067" s="242" t="s">
        <v>17134</v>
      </c>
      <c r="C1067" s="242" t="s">
        <v>17135</v>
      </c>
      <c r="D1067" s="251">
        <v>14.66</v>
      </c>
    </row>
    <row r="1068" spans="1:4" x14ac:dyDescent="0.3">
      <c r="A1068" s="242" t="s">
        <v>17136</v>
      </c>
      <c r="B1068" s="242" t="s">
        <v>17137</v>
      </c>
      <c r="C1068" s="242" t="s">
        <v>17138</v>
      </c>
      <c r="D1068" s="251">
        <v>45.33</v>
      </c>
    </row>
    <row r="1069" spans="1:4" x14ac:dyDescent="0.3">
      <c r="A1069" s="242" t="s">
        <v>17139</v>
      </c>
      <c r="B1069" s="242" t="s">
        <v>17140</v>
      </c>
      <c r="C1069" s="242" t="s">
        <v>17141</v>
      </c>
      <c r="D1069" s="251">
        <v>15.99</v>
      </c>
    </row>
    <row r="1070" spans="1:4" x14ac:dyDescent="0.3">
      <c r="A1070" s="242" t="s">
        <v>17142</v>
      </c>
      <c r="B1070" s="242" t="s">
        <v>17143</v>
      </c>
      <c r="C1070" s="242" t="s">
        <v>17144</v>
      </c>
      <c r="D1070" s="251">
        <v>29.99</v>
      </c>
    </row>
    <row r="1071" spans="1:4" x14ac:dyDescent="0.3">
      <c r="A1071" s="242" t="s">
        <v>17145</v>
      </c>
      <c r="B1071" s="242" t="s">
        <v>17146</v>
      </c>
      <c r="C1071" s="242" t="s">
        <v>17147</v>
      </c>
      <c r="D1071" s="251">
        <v>15.99</v>
      </c>
    </row>
    <row r="1072" spans="1:4" x14ac:dyDescent="0.3">
      <c r="A1072" s="242" t="s">
        <v>17148</v>
      </c>
      <c r="B1072" s="242" t="s">
        <v>17149</v>
      </c>
      <c r="C1072" s="242" t="s">
        <v>17150</v>
      </c>
      <c r="D1072" s="251">
        <v>9.1300000000000008</v>
      </c>
    </row>
    <row r="1073" spans="1:4" x14ac:dyDescent="0.3">
      <c r="A1073" s="242" t="s">
        <v>17151</v>
      </c>
      <c r="B1073" s="242" t="s">
        <v>17152</v>
      </c>
      <c r="C1073" s="242" t="s">
        <v>17153</v>
      </c>
      <c r="D1073" s="251">
        <v>15.99</v>
      </c>
    </row>
    <row r="1074" spans="1:4" x14ac:dyDescent="0.3">
      <c r="A1074" s="242" t="s">
        <v>17154</v>
      </c>
      <c r="B1074" s="242" t="s">
        <v>17155</v>
      </c>
      <c r="C1074" s="242" t="s">
        <v>17156</v>
      </c>
      <c r="D1074" s="251">
        <v>15.99</v>
      </c>
    </row>
    <row r="1075" spans="1:4" x14ac:dyDescent="0.3">
      <c r="A1075" s="242" t="s">
        <v>17157</v>
      </c>
      <c r="B1075" s="242" t="s">
        <v>17158</v>
      </c>
      <c r="C1075" s="242" t="s">
        <v>17159</v>
      </c>
      <c r="D1075" s="251">
        <v>15.99</v>
      </c>
    </row>
    <row r="1076" spans="1:4" x14ac:dyDescent="0.3">
      <c r="A1076" s="242" t="s">
        <v>17160</v>
      </c>
      <c r="B1076" s="242" t="s">
        <v>17161</v>
      </c>
      <c r="C1076" s="242" t="s">
        <v>17162</v>
      </c>
      <c r="D1076" s="251">
        <v>15.99</v>
      </c>
    </row>
    <row r="1077" spans="1:4" x14ac:dyDescent="0.3">
      <c r="A1077" s="242" t="s">
        <v>17163</v>
      </c>
      <c r="B1077" s="242" t="s">
        <v>17164</v>
      </c>
      <c r="C1077" s="242" t="s">
        <v>17165</v>
      </c>
      <c r="D1077" s="251">
        <v>31.33</v>
      </c>
    </row>
    <row r="1078" spans="1:4" x14ac:dyDescent="0.3">
      <c r="A1078" s="242" t="s">
        <v>17166</v>
      </c>
      <c r="B1078" s="242" t="s">
        <v>17167</v>
      </c>
      <c r="C1078" s="242" t="s">
        <v>17168</v>
      </c>
      <c r="D1078" s="251">
        <v>15.33</v>
      </c>
    </row>
    <row r="1079" spans="1:4" x14ac:dyDescent="0.3">
      <c r="A1079" s="242" t="s">
        <v>17169</v>
      </c>
      <c r="B1079" s="242" t="s">
        <v>17170</v>
      </c>
      <c r="C1079" s="242" t="s">
        <v>17171</v>
      </c>
      <c r="D1079" s="251">
        <v>41.99</v>
      </c>
    </row>
    <row r="1080" spans="1:4" x14ac:dyDescent="0.3">
      <c r="A1080" s="242" t="s">
        <v>17172</v>
      </c>
      <c r="B1080" s="242" t="s">
        <v>17173</v>
      </c>
      <c r="C1080" s="242" t="s">
        <v>17174</v>
      </c>
      <c r="D1080" s="251">
        <v>17.329999999999998</v>
      </c>
    </row>
    <row r="1081" spans="1:4" x14ac:dyDescent="0.3">
      <c r="A1081" s="242" t="s">
        <v>17175</v>
      </c>
      <c r="B1081" s="242" t="s">
        <v>17176</v>
      </c>
      <c r="C1081" s="242" t="s">
        <v>17177</v>
      </c>
      <c r="D1081" s="251">
        <v>31.33</v>
      </c>
    </row>
    <row r="1082" spans="1:4" x14ac:dyDescent="0.3">
      <c r="A1082" s="242" t="s">
        <v>17178</v>
      </c>
      <c r="B1082" s="242" t="s">
        <v>17179</v>
      </c>
      <c r="C1082" s="242" t="s">
        <v>17180</v>
      </c>
      <c r="D1082" s="251">
        <v>17.329999999999998</v>
      </c>
    </row>
    <row r="1083" spans="1:4" x14ac:dyDescent="0.3">
      <c r="A1083" s="242" t="s">
        <v>17181</v>
      </c>
      <c r="B1083" s="242" t="s">
        <v>17182</v>
      </c>
      <c r="C1083" s="242" t="s">
        <v>17183</v>
      </c>
      <c r="D1083" s="251">
        <v>17.329999999999998</v>
      </c>
    </row>
    <row r="1084" spans="1:4" x14ac:dyDescent="0.3">
      <c r="A1084" s="242" t="s">
        <v>17184</v>
      </c>
      <c r="B1084" s="242" t="s">
        <v>17185</v>
      </c>
      <c r="C1084" s="242" t="s">
        <v>17186</v>
      </c>
      <c r="D1084" s="251">
        <v>31.33</v>
      </c>
    </row>
    <row r="1085" spans="1:4" x14ac:dyDescent="0.3">
      <c r="A1085" s="242" t="s">
        <v>17187</v>
      </c>
      <c r="B1085" s="242" t="s">
        <v>17188</v>
      </c>
      <c r="C1085" s="242" t="s">
        <v>17189</v>
      </c>
      <c r="D1085" s="251">
        <v>22.66</v>
      </c>
    </row>
    <row r="1086" spans="1:4" x14ac:dyDescent="0.3">
      <c r="A1086" s="242" t="s">
        <v>17190</v>
      </c>
      <c r="B1086" s="242" t="s">
        <v>17191</v>
      </c>
      <c r="C1086" s="242" t="s">
        <v>17192</v>
      </c>
      <c r="D1086" s="251">
        <v>20.66</v>
      </c>
    </row>
    <row r="1087" spans="1:4" x14ac:dyDescent="0.3">
      <c r="A1087" s="242" t="s">
        <v>17193</v>
      </c>
      <c r="B1087" s="242" t="s">
        <v>17194</v>
      </c>
      <c r="C1087" s="242" t="s">
        <v>17195</v>
      </c>
      <c r="D1087" s="251">
        <v>31.33</v>
      </c>
    </row>
    <row r="1088" spans="1:4" x14ac:dyDescent="0.3">
      <c r="A1088" s="242" t="s">
        <v>17196</v>
      </c>
      <c r="B1088" s="242" t="s">
        <v>17197</v>
      </c>
      <c r="C1088" s="242" t="s">
        <v>17198</v>
      </c>
      <c r="D1088" s="251">
        <v>41.99</v>
      </c>
    </row>
    <row r="1089" spans="1:4" x14ac:dyDescent="0.3">
      <c r="A1089" s="242" t="s">
        <v>17199</v>
      </c>
      <c r="B1089" s="242" t="s">
        <v>17200</v>
      </c>
      <c r="C1089" s="242" t="s">
        <v>17201</v>
      </c>
      <c r="D1089" s="251">
        <v>52.66</v>
      </c>
    </row>
    <row r="1090" spans="1:4" x14ac:dyDescent="0.3">
      <c r="A1090" s="242" t="s">
        <v>17202</v>
      </c>
      <c r="B1090" s="242" t="s">
        <v>17203</v>
      </c>
      <c r="C1090" s="242" t="s">
        <v>17204</v>
      </c>
      <c r="D1090" s="251">
        <v>17.329999999999998</v>
      </c>
    </row>
    <row r="1091" spans="1:4" x14ac:dyDescent="0.3">
      <c r="A1091" s="242" t="s">
        <v>17205</v>
      </c>
      <c r="B1091" s="242" t="s">
        <v>17206</v>
      </c>
      <c r="C1091" s="242" t="s">
        <v>17207</v>
      </c>
      <c r="D1091" s="251">
        <v>15.33</v>
      </c>
    </row>
    <row r="1092" spans="1:4" x14ac:dyDescent="0.3">
      <c r="A1092" s="242" t="s">
        <v>17208</v>
      </c>
      <c r="B1092" s="242" t="s">
        <v>17209</v>
      </c>
      <c r="C1092" s="242" t="s">
        <v>17210</v>
      </c>
      <c r="D1092" s="251">
        <v>17.329999999999998</v>
      </c>
    </row>
    <row r="1093" spans="1:4" x14ac:dyDescent="0.3">
      <c r="A1093" s="242" t="s">
        <v>17211</v>
      </c>
      <c r="B1093" s="242" t="s">
        <v>17212</v>
      </c>
      <c r="C1093" s="242" t="s">
        <v>17213</v>
      </c>
      <c r="D1093" s="251">
        <v>17.329999999999998</v>
      </c>
    </row>
    <row r="1094" spans="1:4" x14ac:dyDescent="0.3">
      <c r="A1094" s="242" t="s">
        <v>17214</v>
      </c>
      <c r="B1094" s="242" t="s">
        <v>17215</v>
      </c>
      <c r="C1094" s="242" t="s">
        <v>17216</v>
      </c>
      <c r="D1094" s="251">
        <v>17.329999999999998</v>
      </c>
    </row>
    <row r="1095" spans="1:4" x14ac:dyDescent="0.3">
      <c r="A1095" s="242" t="s">
        <v>17217</v>
      </c>
      <c r="B1095" s="242" t="s">
        <v>17218</v>
      </c>
      <c r="C1095" s="242" t="s">
        <v>17219</v>
      </c>
      <c r="D1095" s="251">
        <v>17.329999999999998</v>
      </c>
    </row>
    <row r="1096" spans="1:4" x14ac:dyDescent="0.3">
      <c r="A1096" s="242" t="s">
        <v>17220</v>
      </c>
      <c r="B1096" s="242" t="s">
        <v>17221</v>
      </c>
      <c r="C1096" s="242" t="s">
        <v>17222</v>
      </c>
      <c r="D1096" s="251">
        <v>40.659999999999997</v>
      </c>
    </row>
    <row r="1097" spans="1:4" x14ac:dyDescent="0.3">
      <c r="A1097" s="242" t="s">
        <v>17223</v>
      </c>
      <c r="B1097" s="242" t="s">
        <v>17224</v>
      </c>
      <c r="C1097" s="242" t="s">
        <v>17225</v>
      </c>
      <c r="D1097" s="251">
        <v>40.659999999999997</v>
      </c>
    </row>
    <row r="1098" spans="1:4" x14ac:dyDescent="0.3">
      <c r="A1098" s="242" t="s">
        <v>17226</v>
      </c>
      <c r="B1098" s="242" t="s">
        <v>17227</v>
      </c>
      <c r="C1098" s="242" t="s">
        <v>17228</v>
      </c>
      <c r="D1098" s="251">
        <v>15.99</v>
      </c>
    </row>
    <row r="1099" spans="1:4" x14ac:dyDescent="0.3">
      <c r="A1099" s="242" t="s">
        <v>17229</v>
      </c>
      <c r="B1099" s="242" t="s">
        <v>17230</v>
      </c>
      <c r="C1099" s="242" t="s">
        <v>17231</v>
      </c>
      <c r="D1099" s="251">
        <v>30.66</v>
      </c>
    </row>
    <row r="1100" spans="1:4" x14ac:dyDescent="0.3">
      <c r="A1100" s="242" t="s">
        <v>17232</v>
      </c>
      <c r="B1100" s="242" t="s">
        <v>17233</v>
      </c>
      <c r="C1100" s="242" t="s">
        <v>17234</v>
      </c>
      <c r="D1100" s="251">
        <v>36.659999999999997</v>
      </c>
    </row>
    <row r="1101" spans="1:4" x14ac:dyDescent="0.3">
      <c r="A1101" s="242" t="s">
        <v>17235</v>
      </c>
      <c r="B1101" s="242" t="s">
        <v>17236</v>
      </c>
      <c r="C1101" s="242" t="s">
        <v>17237</v>
      </c>
      <c r="D1101" s="251">
        <v>17.989999999999998</v>
      </c>
    </row>
    <row r="1102" spans="1:4" x14ac:dyDescent="0.3">
      <c r="A1102" s="242" t="s">
        <v>17238</v>
      </c>
      <c r="B1102" s="242" t="s">
        <v>17239</v>
      </c>
      <c r="C1102" s="242" t="s">
        <v>17240</v>
      </c>
      <c r="D1102" s="251">
        <v>15.99</v>
      </c>
    </row>
    <row r="1103" spans="1:4" x14ac:dyDescent="0.3">
      <c r="A1103" s="242" t="s">
        <v>17241</v>
      </c>
      <c r="B1103" s="242" t="s">
        <v>17242</v>
      </c>
      <c r="C1103" s="242" t="s">
        <v>17243</v>
      </c>
      <c r="D1103" s="251">
        <v>29.99</v>
      </c>
    </row>
    <row r="1104" spans="1:4" x14ac:dyDescent="0.3">
      <c r="A1104" s="242" t="s">
        <v>17244</v>
      </c>
      <c r="B1104" s="242" t="s">
        <v>17245</v>
      </c>
      <c r="C1104" s="242" t="s">
        <v>17246</v>
      </c>
      <c r="D1104" s="251">
        <v>29.99</v>
      </c>
    </row>
    <row r="1105" spans="1:4" x14ac:dyDescent="0.3">
      <c r="A1105" s="242" t="s">
        <v>17247</v>
      </c>
      <c r="B1105" s="242" t="s">
        <v>17248</v>
      </c>
      <c r="C1105" s="242" t="s">
        <v>17249</v>
      </c>
      <c r="D1105" s="251">
        <v>29.99</v>
      </c>
    </row>
    <row r="1106" spans="1:4" x14ac:dyDescent="0.3">
      <c r="A1106" s="242" t="s">
        <v>17250</v>
      </c>
      <c r="B1106" s="242" t="s">
        <v>17251</v>
      </c>
      <c r="C1106" s="242" t="s">
        <v>17252</v>
      </c>
      <c r="D1106" s="251">
        <v>29.99</v>
      </c>
    </row>
    <row r="1107" spans="1:4" x14ac:dyDescent="0.3">
      <c r="A1107" s="242" t="s">
        <v>17253</v>
      </c>
      <c r="B1107" s="242" t="s">
        <v>17254</v>
      </c>
      <c r="C1107" s="242" t="s">
        <v>17255</v>
      </c>
      <c r="D1107" s="251">
        <v>15.99</v>
      </c>
    </row>
    <row r="1108" spans="1:4" x14ac:dyDescent="0.3">
      <c r="A1108" s="242" t="s">
        <v>17256</v>
      </c>
      <c r="B1108" s="242" t="s">
        <v>17257</v>
      </c>
      <c r="C1108" s="242" t="s">
        <v>17258</v>
      </c>
      <c r="D1108" s="251">
        <v>11.33</v>
      </c>
    </row>
    <row r="1109" spans="1:4" x14ac:dyDescent="0.3">
      <c r="A1109" s="242" t="s">
        <v>17259</v>
      </c>
      <c r="B1109" s="242" t="s">
        <v>17260</v>
      </c>
      <c r="C1109" s="242" t="s">
        <v>17261</v>
      </c>
      <c r="D1109" s="251">
        <v>15.99</v>
      </c>
    </row>
    <row r="1110" spans="1:4" x14ac:dyDescent="0.3">
      <c r="A1110" s="242" t="s">
        <v>17262</v>
      </c>
      <c r="B1110" s="242" t="s">
        <v>17263</v>
      </c>
      <c r="C1110" s="242" t="s">
        <v>17264</v>
      </c>
      <c r="D1110" s="251">
        <v>15.99</v>
      </c>
    </row>
    <row r="1111" spans="1:4" x14ac:dyDescent="0.3">
      <c r="A1111" s="242" t="s">
        <v>17265</v>
      </c>
      <c r="B1111" s="242" t="s">
        <v>17266</v>
      </c>
      <c r="C1111" s="242" t="s">
        <v>17267</v>
      </c>
      <c r="D1111" s="251">
        <v>15.99</v>
      </c>
    </row>
    <row r="1112" spans="1:4" x14ac:dyDescent="0.3">
      <c r="A1112" s="242" t="s">
        <v>17268</v>
      </c>
      <c r="B1112" s="242" t="s">
        <v>17269</v>
      </c>
      <c r="C1112" s="242" t="s">
        <v>17270</v>
      </c>
      <c r="D1112" s="251">
        <v>17.329999999999998</v>
      </c>
    </row>
    <row r="1113" spans="1:4" x14ac:dyDescent="0.3">
      <c r="A1113" s="242" t="s">
        <v>17271</v>
      </c>
      <c r="B1113" s="242" t="s">
        <v>17272</v>
      </c>
      <c r="C1113" s="242" t="s">
        <v>17273</v>
      </c>
      <c r="D1113" s="251">
        <v>19.329999999999998</v>
      </c>
    </row>
    <row r="1114" spans="1:4" x14ac:dyDescent="0.3">
      <c r="A1114" s="242" t="s">
        <v>17274</v>
      </c>
      <c r="B1114" s="242" t="s">
        <v>17275</v>
      </c>
      <c r="C1114" s="242" t="s">
        <v>17276</v>
      </c>
      <c r="D1114" s="251">
        <v>13.13</v>
      </c>
    </row>
    <row r="1115" spans="1:4" x14ac:dyDescent="0.3">
      <c r="A1115" s="242" t="s">
        <v>17277</v>
      </c>
      <c r="B1115" s="242" t="s">
        <v>17278</v>
      </c>
      <c r="C1115" s="242" t="s">
        <v>17279</v>
      </c>
      <c r="D1115" s="251">
        <v>15.99</v>
      </c>
    </row>
    <row r="1116" spans="1:4" x14ac:dyDescent="0.3">
      <c r="A1116" s="242" t="s">
        <v>17280</v>
      </c>
      <c r="B1116" s="242" t="s">
        <v>17281</v>
      </c>
      <c r="C1116" s="242" t="s">
        <v>17282</v>
      </c>
      <c r="D1116" s="251">
        <v>15.33</v>
      </c>
    </row>
    <row r="1117" spans="1:4" x14ac:dyDescent="0.3">
      <c r="A1117" s="242" t="s">
        <v>17283</v>
      </c>
      <c r="B1117" s="242" t="s">
        <v>17284</v>
      </c>
      <c r="C1117" s="242" t="s">
        <v>17285</v>
      </c>
      <c r="D1117" s="251">
        <v>11.33</v>
      </c>
    </row>
    <row r="1118" spans="1:4" x14ac:dyDescent="0.3">
      <c r="A1118" s="242" t="s">
        <v>17286</v>
      </c>
      <c r="B1118" s="242" t="s">
        <v>17287</v>
      </c>
      <c r="C1118" s="242" t="s">
        <v>17288</v>
      </c>
      <c r="D1118" s="251">
        <v>11.33</v>
      </c>
    </row>
    <row r="1119" spans="1:4" x14ac:dyDescent="0.3">
      <c r="A1119" s="242" t="s">
        <v>17289</v>
      </c>
      <c r="B1119" s="242" t="s">
        <v>17290</v>
      </c>
      <c r="C1119" s="242" t="s">
        <v>17291</v>
      </c>
      <c r="D1119" s="251">
        <v>11.33</v>
      </c>
    </row>
    <row r="1120" spans="1:4" x14ac:dyDescent="0.3">
      <c r="A1120" s="242" t="s">
        <v>17292</v>
      </c>
      <c r="B1120" s="242" t="s">
        <v>17293</v>
      </c>
      <c r="C1120" s="242" t="s">
        <v>17294</v>
      </c>
      <c r="D1120" s="251">
        <v>11.33</v>
      </c>
    </row>
    <row r="1121" spans="1:4" x14ac:dyDescent="0.3">
      <c r="A1121" s="242" t="s">
        <v>17295</v>
      </c>
      <c r="B1121" s="242" t="s">
        <v>17296</v>
      </c>
      <c r="C1121" s="242" t="s">
        <v>17297</v>
      </c>
      <c r="D1121" s="251">
        <v>15.99</v>
      </c>
    </row>
    <row r="1122" spans="1:4" x14ac:dyDescent="0.3">
      <c r="A1122" s="242" t="s">
        <v>17298</v>
      </c>
      <c r="B1122" s="242" t="s">
        <v>17299</v>
      </c>
      <c r="C1122" s="242" t="s">
        <v>17300</v>
      </c>
      <c r="D1122" s="251">
        <v>36.659999999999997</v>
      </c>
    </row>
    <row r="1123" spans="1:4" x14ac:dyDescent="0.3">
      <c r="A1123" s="242" t="s">
        <v>17301</v>
      </c>
      <c r="B1123" s="242" t="s">
        <v>17302</v>
      </c>
      <c r="C1123" s="242" t="s">
        <v>17303</v>
      </c>
      <c r="D1123" s="251">
        <v>29.99</v>
      </c>
    </row>
    <row r="1124" spans="1:4" x14ac:dyDescent="0.3">
      <c r="A1124" s="242" t="s">
        <v>17304</v>
      </c>
      <c r="B1124" s="242" t="s">
        <v>17305</v>
      </c>
      <c r="C1124" s="242" t="s">
        <v>17306</v>
      </c>
      <c r="D1124" s="251">
        <v>18.66</v>
      </c>
    </row>
    <row r="1125" spans="1:4" x14ac:dyDescent="0.3">
      <c r="A1125" s="242" t="s">
        <v>17307</v>
      </c>
      <c r="B1125" s="242" t="s">
        <v>17308</v>
      </c>
      <c r="C1125" s="242" t="s">
        <v>17309</v>
      </c>
      <c r="D1125" s="251">
        <v>18.66</v>
      </c>
    </row>
    <row r="1126" spans="1:4" x14ac:dyDescent="0.3">
      <c r="A1126" s="242" t="s">
        <v>17310</v>
      </c>
      <c r="B1126" s="242" t="s">
        <v>17311</v>
      </c>
      <c r="C1126" s="242" t="s">
        <v>17312</v>
      </c>
      <c r="D1126" s="251">
        <v>18.66</v>
      </c>
    </row>
    <row r="1127" spans="1:4" x14ac:dyDescent="0.3">
      <c r="A1127" s="242" t="s">
        <v>17313</v>
      </c>
      <c r="B1127" s="242" t="s">
        <v>17314</v>
      </c>
      <c r="C1127" s="242" t="s">
        <v>17315</v>
      </c>
      <c r="D1127" s="251">
        <v>18.66</v>
      </c>
    </row>
    <row r="1128" spans="1:4" x14ac:dyDescent="0.3">
      <c r="A1128" s="242" t="s">
        <v>17316</v>
      </c>
      <c r="B1128" s="242" t="s">
        <v>17317</v>
      </c>
      <c r="C1128" s="242" t="s">
        <v>17318</v>
      </c>
      <c r="D1128" s="251">
        <v>30.66</v>
      </c>
    </row>
    <row r="1129" spans="1:4" x14ac:dyDescent="0.3">
      <c r="A1129" s="242" t="s">
        <v>17319</v>
      </c>
      <c r="B1129" s="242" t="s">
        <v>17320</v>
      </c>
      <c r="C1129" s="242" t="s">
        <v>17321</v>
      </c>
      <c r="D1129" s="251">
        <v>12.66</v>
      </c>
    </row>
    <row r="1130" spans="1:4" x14ac:dyDescent="0.3">
      <c r="A1130" s="242" t="s">
        <v>17322</v>
      </c>
      <c r="B1130" s="242" t="s">
        <v>17323</v>
      </c>
      <c r="C1130" s="242" t="s">
        <v>17324</v>
      </c>
      <c r="D1130" s="251">
        <v>40.659999999999997</v>
      </c>
    </row>
    <row r="1131" spans="1:4" x14ac:dyDescent="0.3">
      <c r="A1131" s="242" t="s">
        <v>17325</v>
      </c>
      <c r="B1131" s="242" t="s">
        <v>17326</v>
      </c>
      <c r="C1131" s="242" t="s">
        <v>17327</v>
      </c>
      <c r="D1131" s="251">
        <v>40.659999999999997</v>
      </c>
    </row>
    <row r="1132" spans="1:4" x14ac:dyDescent="0.3">
      <c r="A1132" s="242" t="s">
        <v>17328</v>
      </c>
      <c r="B1132" s="242" t="s">
        <v>17329</v>
      </c>
      <c r="C1132" s="242" t="s">
        <v>17330</v>
      </c>
      <c r="D1132" s="251">
        <v>37.99</v>
      </c>
    </row>
    <row r="1133" spans="1:4" x14ac:dyDescent="0.3">
      <c r="A1133" s="242" t="s">
        <v>17331</v>
      </c>
      <c r="B1133" s="242" t="s">
        <v>17332</v>
      </c>
      <c r="C1133" s="242" t="s">
        <v>17333</v>
      </c>
      <c r="D1133" s="251">
        <v>40.659999999999997</v>
      </c>
    </row>
    <row r="1134" spans="1:4" x14ac:dyDescent="0.3">
      <c r="A1134" s="242" t="s">
        <v>17334</v>
      </c>
      <c r="B1134" s="242" t="s">
        <v>17335</v>
      </c>
      <c r="C1134" s="242" t="s">
        <v>17336</v>
      </c>
      <c r="D1134" s="251">
        <v>40.659999999999997</v>
      </c>
    </row>
    <row r="1135" spans="1:4" x14ac:dyDescent="0.3">
      <c r="A1135" s="242" t="s">
        <v>17337</v>
      </c>
      <c r="B1135" s="242" t="s">
        <v>17338</v>
      </c>
      <c r="C1135" s="242" t="s">
        <v>17339</v>
      </c>
      <c r="D1135" s="251">
        <v>37.99</v>
      </c>
    </row>
    <row r="1136" spans="1:4" x14ac:dyDescent="0.3">
      <c r="A1136" s="242" t="s">
        <v>17340</v>
      </c>
      <c r="B1136" s="242" t="s">
        <v>17341</v>
      </c>
      <c r="C1136" s="242" t="s">
        <v>17342</v>
      </c>
      <c r="D1136" s="251">
        <v>19.329999999999998</v>
      </c>
    </row>
    <row r="1137" spans="1:4" x14ac:dyDescent="0.3">
      <c r="A1137" s="242" t="s">
        <v>17343</v>
      </c>
      <c r="B1137" s="242" t="s">
        <v>17344</v>
      </c>
      <c r="C1137" s="242" t="s">
        <v>17345</v>
      </c>
      <c r="D1137" s="251">
        <v>31.33</v>
      </c>
    </row>
    <row r="1138" spans="1:4" x14ac:dyDescent="0.3">
      <c r="A1138" s="242" t="s">
        <v>17346</v>
      </c>
      <c r="B1138" s="242" t="s">
        <v>17170</v>
      </c>
      <c r="C1138" s="242" t="s">
        <v>17347</v>
      </c>
      <c r="D1138" s="251">
        <v>41.99</v>
      </c>
    </row>
    <row r="1139" spans="1:4" x14ac:dyDescent="0.3">
      <c r="A1139" s="242" t="s">
        <v>17348</v>
      </c>
      <c r="B1139" s="242" t="s">
        <v>17349</v>
      </c>
      <c r="C1139" s="242" t="s">
        <v>17350</v>
      </c>
      <c r="D1139" s="251">
        <v>41.99</v>
      </c>
    </row>
    <row r="1140" spans="1:4" x14ac:dyDescent="0.3">
      <c r="A1140" s="242" t="s">
        <v>17351</v>
      </c>
      <c r="B1140" s="242" t="s">
        <v>17173</v>
      </c>
      <c r="C1140" s="242" t="s">
        <v>17352</v>
      </c>
      <c r="D1140" s="251">
        <v>15.99</v>
      </c>
    </row>
    <row r="1141" spans="1:4" x14ac:dyDescent="0.3">
      <c r="A1141" s="242" t="s">
        <v>17353</v>
      </c>
      <c r="B1141" s="242" t="s">
        <v>17179</v>
      </c>
      <c r="C1141" s="242" t="s">
        <v>17354</v>
      </c>
      <c r="D1141" s="251">
        <v>15.99</v>
      </c>
    </row>
    <row r="1142" spans="1:4" x14ac:dyDescent="0.3">
      <c r="A1142" s="242" t="s">
        <v>17355</v>
      </c>
      <c r="B1142" s="242" t="s">
        <v>17356</v>
      </c>
      <c r="C1142" s="242" t="s">
        <v>17357</v>
      </c>
      <c r="D1142" s="251">
        <v>31.33</v>
      </c>
    </row>
    <row r="1143" spans="1:4" x14ac:dyDescent="0.3">
      <c r="A1143" s="242" t="s">
        <v>17358</v>
      </c>
      <c r="B1143" s="242" t="s">
        <v>17359</v>
      </c>
      <c r="C1143" s="242" t="s">
        <v>17360</v>
      </c>
      <c r="D1143" s="251">
        <v>20.66</v>
      </c>
    </row>
    <row r="1144" spans="1:4" x14ac:dyDescent="0.3">
      <c r="A1144" s="242" t="s">
        <v>17361</v>
      </c>
      <c r="B1144" s="242" t="s">
        <v>17176</v>
      </c>
      <c r="C1144" s="242" t="s">
        <v>17362</v>
      </c>
      <c r="D1144" s="251">
        <v>31.33</v>
      </c>
    </row>
    <row r="1145" spans="1:4" x14ac:dyDescent="0.3">
      <c r="A1145" s="242" t="s">
        <v>17363</v>
      </c>
      <c r="B1145" s="242" t="s">
        <v>17364</v>
      </c>
      <c r="C1145" s="242" t="s">
        <v>17365</v>
      </c>
      <c r="D1145" s="251">
        <v>11.33</v>
      </c>
    </row>
    <row r="1146" spans="1:4" x14ac:dyDescent="0.3">
      <c r="A1146" s="242" t="s">
        <v>17366</v>
      </c>
      <c r="B1146" s="242" t="s">
        <v>17367</v>
      </c>
      <c r="C1146" s="242" t="s">
        <v>17368</v>
      </c>
      <c r="D1146" s="251">
        <v>11.33</v>
      </c>
    </row>
    <row r="1147" spans="1:4" x14ac:dyDescent="0.3">
      <c r="A1147" s="242" t="s">
        <v>17369</v>
      </c>
      <c r="B1147" s="242" t="s">
        <v>17370</v>
      </c>
      <c r="C1147" s="242" t="s">
        <v>17371</v>
      </c>
      <c r="D1147" s="251">
        <v>31.33</v>
      </c>
    </row>
    <row r="1148" spans="1:4" x14ac:dyDescent="0.3">
      <c r="A1148" s="242" t="s">
        <v>17372</v>
      </c>
      <c r="B1148" s="242" t="s">
        <v>17373</v>
      </c>
      <c r="C1148" s="242" t="s">
        <v>17374</v>
      </c>
      <c r="D1148" s="251">
        <v>17.329999999999998</v>
      </c>
    </row>
    <row r="1149" spans="1:4" x14ac:dyDescent="0.3">
      <c r="A1149" s="242" t="s">
        <v>17375</v>
      </c>
      <c r="B1149" s="242" t="s">
        <v>17376</v>
      </c>
      <c r="C1149" s="242" t="s">
        <v>17377</v>
      </c>
      <c r="D1149" s="251">
        <v>31.33</v>
      </c>
    </row>
    <row r="1150" spans="1:4" x14ac:dyDescent="0.3">
      <c r="A1150" s="242" t="s">
        <v>17378</v>
      </c>
      <c r="B1150" s="242" t="s">
        <v>17379</v>
      </c>
      <c r="C1150" s="242" t="s">
        <v>17380</v>
      </c>
      <c r="D1150" s="251">
        <v>17.329999999999998</v>
      </c>
    </row>
    <row r="1151" spans="1:4" x14ac:dyDescent="0.3">
      <c r="A1151" s="242" t="s">
        <v>17381</v>
      </c>
      <c r="B1151" s="242" t="s">
        <v>17382</v>
      </c>
      <c r="C1151" s="242" t="s">
        <v>17383</v>
      </c>
      <c r="D1151" s="251">
        <v>40.659999999999997</v>
      </c>
    </row>
    <row r="1152" spans="1:4" x14ac:dyDescent="0.3">
      <c r="A1152" s="242" t="s">
        <v>17384</v>
      </c>
      <c r="B1152" s="242" t="s">
        <v>17385</v>
      </c>
      <c r="C1152" s="242" t="s">
        <v>17386</v>
      </c>
      <c r="D1152" s="251">
        <v>40.659999999999997</v>
      </c>
    </row>
    <row r="1153" spans="1:4" x14ac:dyDescent="0.3">
      <c r="A1153" s="242" t="s">
        <v>17387</v>
      </c>
      <c r="B1153" s="242" t="s">
        <v>17388</v>
      </c>
      <c r="C1153" s="242" t="s">
        <v>17389</v>
      </c>
      <c r="D1153" s="251">
        <v>19.329999999999998</v>
      </c>
    </row>
    <row r="1154" spans="1:4" x14ac:dyDescent="0.3">
      <c r="A1154" s="242" t="s">
        <v>17390</v>
      </c>
      <c r="B1154" s="242" t="s">
        <v>16442</v>
      </c>
      <c r="C1154" s="242" t="s">
        <v>17391</v>
      </c>
      <c r="D1154" s="251">
        <v>40.659999999999997</v>
      </c>
    </row>
    <row r="1155" spans="1:4" x14ac:dyDescent="0.3">
      <c r="A1155" s="242" t="s">
        <v>17392</v>
      </c>
      <c r="B1155" s="242" t="s">
        <v>17013</v>
      </c>
      <c r="C1155" s="242" t="s">
        <v>17393</v>
      </c>
      <c r="D1155" s="251">
        <v>40.659999999999997</v>
      </c>
    </row>
    <row r="1156" spans="1:4" x14ac:dyDescent="0.3">
      <c r="A1156" s="242" t="s">
        <v>17394</v>
      </c>
      <c r="B1156" s="242" t="s">
        <v>16834</v>
      </c>
      <c r="C1156" s="242" t="s">
        <v>17395</v>
      </c>
      <c r="D1156" s="251">
        <v>19.329999999999998</v>
      </c>
    </row>
    <row r="1157" spans="1:4" x14ac:dyDescent="0.3">
      <c r="A1157" s="242" t="s">
        <v>17396</v>
      </c>
      <c r="B1157" s="242" t="s">
        <v>17397</v>
      </c>
      <c r="C1157" s="242" t="s">
        <v>17398</v>
      </c>
      <c r="D1157" s="251">
        <v>41.99</v>
      </c>
    </row>
    <row r="1158" spans="1:4" x14ac:dyDescent="0.3">
      <c r="A1158" s="242" t="s">
        <v>17399</v>
      </c>
      <c r="B1158" s="242" t="s">
        <v>17400</v>
      </c>
      <c r="C1158" s="242" t="s">
        <v>17401</v>
      </c>
      <c r="D1158" s="251">
        <v>15.99</v>
      </c>
    </row>
    <row r="1159" spans="1:4" x14ac:dyDescent="0.3">
      <c r="A1159" s="242" t="s">
        <v>17402</v>
      </c>
      <c r="B1159" s="242" t="s">
        <v>17182</v>
      </c>
      <c r="C1159" s="242" t="s">
        <v>17403</v>
      </c>
      <c r="D1159" s="251">
        <v>15.99</v>
      </c>
    </row>
    <row r="1160" spans="1:4" x14ac:dyDescent="0.3">
      <c r="A1160" s="242" t="s">
        <v>17404</v>
      </c>
      <c r="B1160" s="242" t="s">
        <v>17405</v>
      </c>
      <c r="C1160" s="242" t="s">
        <v>17406</v>
      </c>
      <c r="D1160" s="251">
        <v>13.33</v>
      </c>
    </row>
    <row r="1161" spans="1:4" x14ac:dyDescent="0.3">
      <c r="A1161" s="242" t="s">
        <v>17407</v>
      </c>
      <c r="B1161" s="242" t="s">
        <v>17408</v>
      </c>
      <c r="C1161" s="242" t="s">
        <v>17409</v>
      </c>
      <c r="D1161" s="251">
        <v>30.66</v>
      </c>
    </row>
    <row r="1162" spans="1:4" x14ac:dyDescent="0.3">
      <c r="A1162" s="242" t="s">
        <v>17410</v>
      </c>
      <c r="B1162" s="242" t="s">
        <v>17411</v>
      </c>
      <c r="C1162" s="242" t="s">
        <v>17412</v>
      </c>
      <c r="D1162" s="251">
        <v>40.659999999999997</v>
      </c>
    </row>
    <row r="1163" spans="1:4" x14ac:dyDescent="0.3">
      <c r="A1163" s="242" t="s">
        <v>17413</v>
      </c>
      <c r="B1163" s="242" t="s">
        <v>17414</v>
      </c>
      <c r="C1163" s="242" t="s">
        <v>17415</v>
      </c>
      <c r="D1163" s="251">
        <v>40.659999999999997</v>
      </c>
    </row>
    <row r="1164" spans="1:4" x14ac:dyDescent="0.3">
      <c r="A1164" s="242" t="s">
        <v>17416</v>
      </c>
      <c r="B1164" s="242" t="s">
        <v>17417</v>
      </c>
      <c r="C1164" s="242" t="s">
        <v>17418</v>
      </c>
      <c r="D1164" s="251">
        <v>14.66</v>
      </c>
    </row>
    <row r="1165" spans="1:4" x14ac:dyDescent="0.3">
      <c r="A1165" s="242" t="s">
        <v>17419</v>
      </c>
      <c r="B1165" s="242" t="s">
        <v>17420</v>
      </c>
      <c r="C1165" s="242" t="s">
        <v>17421</v>
      </c>
      <c r="D1165" s="251">
        <v>14.66</v>
      </c>
    </row>
    <row r="1166" spans="1:4" x14ac:dyDescent="0.3">
      <c r="A1166" s="242" t="s">
        <v>17422</v>
      </c>
      <c r="B1166" s="242" t="s">
        <v>17423</v>
      </c>
      <c r="C1166" s="242" t="s">
        <v>17424</v>
      </c>
      <c r="D1166" s="251">
        <v>11.33</v>
      </c>
    </row>
    <row r="1167" spans="1:4" x14ac:dyDescent="0.3">
      <c r="A1167" s="242" t="s">
        <v>17425</v>
      </c>
      <c r="B1167" s="242" t="s">
        <v>17426</v>
      </c>
      <c r="C1167" s="242" t="s">
        <v>17427</v>
      </c>
      <c r="D1167" s="251">
        <v>36.659999999999997</v>
      </c>
    </row>
    <row r="1168" spans="1:4" x14ac:dyDescent="0.3">
      <c r="A1168" s="242" t="s">
        <v>17428</v>
      </c>
      <c r="B1168" s="242" t="s">
        <v>17429</v>
      </c>
      <c r="C1168" s="242" t="s">
        <v>17430</v>
      </c>
      <c r="D1168" s="251">
        <v>39.99</v>
      </c>
    </row>
    <row r="1169" spans="1:4" x14ac:dyDescent="0.3">
      <c r="A1169" s="242" t="s">
        <v>17431</v>
      </c>
      <c r="B1169" s="242" t="s">
        <v>17432</v>
      </c>
      <c r="C1169" s="242" t="s">
        <v>17433</v>
      </c>
      <c r="D1169" s="251">
        <v>43.33</v>
      </c>
    </row>
    <row r="1170" spans="1:4" x14ac:dyDescent="0.3">
      <c r="A1170" s="242" t="s">
        <v>17434</v>
      </c>
      <c r="B1170" s="242" t="s">
        <v>17435</v>
      </c>
      <c r="C1170" s="242" t="s">
        <v>17436</v>
      </c>
      <c r="D1170" s="251">
        <v>28.66</v>
      </c>
    </row>
    <row r="1171" spans="1:4" x14ac:dyDescent="0.3">
      <c r="A1171" s="242" t="s">
        <v>17437</v>
      </c>
      <c r="B1171" s="242" t="s">
        <v>17438</v>
      </c>
      <c r="C1171" s="242" t="s">
        <v>17439</v>
      </c>
      <c r="D1171" s="251">
        <v>28.66</v>
      </c>
    </row>
    <row r="1172" spans="1:4" x14ac:dyDescent="0.3">
      <c r="A1172" s="242" t="s">
        <v>17440</v>
      </c>
      <c r="B1172" s="242" t="s">
        <v>17441</v>
      </c>
      <c r="C1172" s="242" t="s">
        <v>17442</v>
      </c>
      <c r="D1172" s="251">
        <v>35.33</v>
      </c>
    </row>
    <row r="1173" spans="1:4" x14ac:dyDescent="0.3">
      <c r="A1173" s="242" t="s">
        <v>17443</v>
      </c>
      <c r="B1173" s="242" t="s">
        <v>17444</v>
      </c>
      <c r="C1173" s="242" t="s">
        <v>17445</v>
      </c>
      <c r="D1173" s="251">
        <v>179.33</v>
      </c>
    </row>
    <row r="1174" spans="1:4" x14ac:dyDescent="0.3">
      <c r="A1174" s="242" t="s">
        <v>17446</v>
      </c>
      <c r="B1174" s="242" t="s">
        <v>17447</v>
      </c>
      <c r="C1174" s="242" t="s">
        <v>17448</v>
      </c>
      <c r="D1174" s="251">
        <v>179.33</v>
      </c>
    </row>
    <row r="1175" spans="1:4" x14ac:dyDescent="0.3">
      <c r="A1175" s="242" t="s">
        <v>17449</v>
      </c>
      <c r="B1175" s="242" t="s">
        <v>17450</v>
      </c>
      <c r="C1175" s="242" t="s">
        <v>17451</v>
      </c>
      <c r="D1175" s="251">
        <v>27.33</v>
      </c>
    </row>
    <row r="1176" spans="1:4" x14ac:dyDescent="0.3">
      <c r="A1176" s="242" t="s">
        <v>17452</v>
      </c>
      <c r="B1176" s="242" t="s">
        <v>17453</v>
      </c>
      <c r="C1176" s="242" t="s">
        <v>17454</v>
      </c>
      <c r="D1176" s="251">
        <v>14.66</v>
      </c>
    </row>
    <row r="1177" spans="1:4" x14ac:dyDescent="0.3">
      <c r="A1177" s="242" t="s">
        <v>17455</v>
      </c>
      <c r="B1177" s="242" t="s">
        <v>17456</v>
      </c>
      <c r="C1177" s="242" t="s">
        <v>17457</v>
      </c>
      <c r="D1177" s="251">
        <v>39.33</v>
      </c>
    </row>
    <row r="1178" spans="1:4" x14ac:dyDescent="0.3">
      <c r="A1178" s="242" t="s">
        <v>17458</v>
      </c>
      <c r="B1178" s="242" t="s">
        <v>17459</v>
      </c>
      <c r="C1178" s="242" t="s">
        <v>17460</v>
      </c>
      <c r="D1178" s="251">
        <v>166</v>
      </c>
    </row>
    <row r="1179" spans="1:4" x14ac:dyDescent="0.3">
      <c r="A1179" s="242" t="s">
        <v>17461</v>
      </c>
      <c r="B1179" s="242" t="s">
        <v>17462</v>
      </c>
      <c r="C1179" s="242" t="s">
        <v>17463</v>
      </c>
      <c r="D1179" s="251">
        <v>166</v>
      </c>
    </row>
    <row r="1180" spans="1:4" x14ac:dyDescent="0.3">
      <c r="A1180" s="242" t="s">
        <v>17464</v>
      </c>
      <c r="B1180" s="242" t="s">
        <v>17465</v>
      </c>
      <c r="C1180" s="242" t="s">
        <v>17466</v>
      </c>
      <c r="D1180" s="251">
        <v>92.67</v>
      </c>
    </row>
    <row r="1181" spans="1:4" x14ac:dyDescent="0.3">
      <c r="A1181" s="242" t="s">
        <v>17467</v>
      </c>
      <c r="B1181" s="242" t="s">
        <v>17468</v>
      </c>
      <c r="C1181" s="242" t="s">
        <v>17469</v>
      </c>
      <c r="D1181" s="251">
        <v>366</v>
      </c>
    </row>
    <row r="1182" spans="1:4" x14ac:dyDescent="0.3">
      <c r="A1182" s="242" t="s">
        <v>17470</v>
      </c>
      <c r="B1182" s="242" t="s">
        <v>17471</v>
      </c>
      <c r="C1182" s="242" t="s">
        <v>17472</v>
      </c>
      <c r="D1182" s="251">
        <v>266</v>
      </c>
    </row>
    <row r="1183" spans="1:4" x14ac:dyDescent="0.3">
      <c r="A1183" s="242" t="s">
        <v>17473</v>
      </c>
      <c r="B1183" s="242" t="s">
        <v>17474</v>
      </c>
      <c r="C1183" s="242" t="s">
        <v>17475</v>
      </c>
      <c r="D1183" s="251">
        <v>139.33000000000001</v>
      </c>
    </row>
    <row r="1184" spans="1:4" x14ac:dyDescent="0.3">
      <c r="A1184" s="242" t="s">
        <v>17476</v>
      </c>
      <c r="B1184" s="242" t="s">
        <v>17477</v>
      </c>
      <c r="C1184" s="242" t="s">
        <v>17478</v>
      </c>
      <c r="D1184" s="251">
        <v>63.33</v>
      </c>
    </row>
    <row r="1185" spans="1:4" x14ac:dyDescent="0.3">
      <c r="A1185" s="242" t="s">
        <v>9709</v>
      </c>
      <c r="B1185" s="242" t="s">
        <v>17479</v>
      </c>
      <c r="C1185" s="242" t="s">
        <v>9708</v>
      </c>
      <c r="D1185" s="251">
        <v>99.33</v>
      </c>
    </row>
    <row r="1186" spans="1:4" x14ac:dyDescent="0.3">
      <c r="A1186" s="242" t="s">
        <v>9712</v>
      </c>
      <c r="B1186" s="242" t="s">
        <v>17480</v>
      </c>
      <c r="C1186" s="242" t="s">
        <v>9711</v>
      </c>
      <c r="D1186" s="251">
        <v>16.66</v>
      </c>
    </row>
    <row r="1187" spans="1:4" x14ac:dyDescent="0.3">
      <c r="A1187" s="242" t="s">
        <v>9799</v>
      </c>
      <c r="B1187" s="242" t="s">
        <v>17481</v>
      </c>
      <c r="C1187" s="242" t="s">
        <v>9798</v>
      </c>
      <c r="D1187" s="251">
        <v>86</v>
      </c>
    </row>
    <row r="1188" spans="1:4" x14ac:dyDescent="0.3">
      <c r="A1188" s="242" t="s">
        <v>9826</v>
      </c>
      <c r="B1188" s="242" t="s">
        <v>9782</v>
      </c>
      <c r="C1188" s="242" t="s">
        <v>9825</v>
      </c>
      <c r="D1188" s="251">
        <v>16.66</v>
      </c>
    </row>
    <row r="1189" spans="1:4" x14ac:dyDescent="0.3">
      <c r="A1189" s="242" t="s">
        <v>17482</v>
      </c>
      <c r="B1189" s="242" t="s">
        <v>17483</v>
      </c>
      <c r="C1189" s="242" t="s">
        <v>17484</v>
      </c>
      <c r="D1189" s="251">
        <v>38.659999999999997</v>
      </c>
    </row>
    <row r="1190" spans="1:4" x14ac:dyDescent="0.3">
      <c r="A1190" s="242" t="s">
        <v>17485</v>
      </c>
      <c r="B1190" s="242" t="s">
        <v>17486</v>
      </c>
      <c r="C1190" s="242" t="s">
        <v>17487</v>
      </c>
      <c r="D1190" s="251">
        <v>19.989999999999998</v>
      </c>
    </row>
    <row r="1191" spans="1:4" x14ac:dyDescent="0.3">
      <c r="A1191" s="242" t="s">
        <v>17488</v>
      </c>
      <c r="B1191" s="242" t="s">
        <v>17489</v>
      </c>
      <c r="C1191" s="242" t="s">
        <v>17490</v>
      </c>
      <c r="D1191" s="251">
        <v>14.66</v>
      </c>
    </row>
    <row r="1192" spans="1:4" x14ac:dyDescent="0.3">
      <c r="A1192" s="242" t="s">
        <v>17491</v>
      </c>
      <c r="B1192" s="242" t="s">
        <v>17492</v>
      </c>
      <c r="C1192" s="242" t="s">
        <v>17493</v>
      </c>
      <c r="D1192" s="251">
        <v>246</v>
      </c>
    </row>
    <row r="1193" spans="1:4" x14ac:dyDescent="0.3">
      <c r="A1193" s="242" t="s">
        <v>17494</v>
      </c>
      <c r="B1193" s="242" t="s">
        <v>17495</v>
      </c>
      <c r="C1193" s="242" t="s">
        <v>17496</v>
      </c>
      <c r="D1193" s="251">
        <v>272.67</v>
      </c>
    </row>
    <row r="1194" spans="1:4" x14ac:dyDescent="0.3">
      <c r="A1194" s="242" t="s">
        <v>17497</v>
      </c>
      <c r="B1194" s="242" t="s">
        <v>17498</v>
      </c>
      <c r="C1194" s="242" t="s">
        <v>17499</v>
      </c>
      <c r="D1194" s="251">
        <v>79.33</v>
      </c>
    </row>
    <row r="1195" spans="1:4" x14ac:dyDescent="0.3">
      <c r="A1195" s="242" t="s">
        <v>17500</v>
      </c>
      <c r="B1195" s="242" t="s">
        <v>17501</v>
      </c>
      <c r="C1195" s="242" t="s">
        <v>17502</v>
      </c>
      <c r="D1195" s="251">
        <v>92.67</v>
      </c>
    </row>
    <row r="1196" spans="1:4" x14ac:dyDescent="0.3">
      <c r="A1196" s="242" t="s">
        <v>17503</v>
      </c>
      <c r="B1196" s="242" t="s">
        <v>17504</v>
      </c>
      <c r="C1196" s="242" t="s">
        <v>17505</v>
      </c>
      <c r="D1196" s="251">
        <v>292.67</v>
      </c>
    </row>
    <row r="1197" spans="1:4" x14ac:dyDescent="0.3">
      <c r="A1197" s="242" t="s">
        <v>17506</v>
      </c>
      <c r="B1197" s="242" t="s">
        <v>17507</v>
      </c>
      <c r="C1197" s="242" t="s">
        <v>17508</v>
      </c>
      <c r="D1197" s="251">
        <v>212.67</v>
      </c>
    </row>
    <row r="1198" spans="1:4" x14ac:dyDescent="0.3">
      <c r="A1198" s="242" t="s">
        <v>17509</v>
      </c>
      <c r="B1198" s="242" t="s">
        <v>17510</v>
      </c>
      <c r="C1198" s="242" t="s">
        <v>17511</v>
      </c>
      <c r="D1198" s="251">
        <v>52.66</v>
      </c>
    </row>
    <row r="1199" spans="1:4" x14ac:dyDescent="0.3">
      <c r="A1199" s="242" t="s">
        <v>17512</v>
      </c>
      <c r="B1199" s="242" t="s">
        <v>17513</v>
      </c>
      <c r="C1199" s="242" t="s">
        <v>17514</v>
      </c>
      <c r="D1199" s="251">
        <v>52.66</v>
      </c>
    </row>
    <row r="1200" spans="1:4" x14ac:dyDescent="0.3">
      <c r="A1200" s="242" t="s">
        <v>17515</v>
      </c>
      <c r="B1200" s="242" t="s">
        <v>17516</v>
      </c>
      <c r="C1200" s="242" t="s">
        <v>17517</v>
      </c>
      <c r="D1200" s="251">
        <v>639.33000000000004</v>
      </c>
    </row>
    <row r="1201" spans="1:4" x14ac:dyDescent="0.3">
      <c r="A1201" s="242" t="s">
        <v>17518</v>
      </c>
      <c r="B1201" s="242" t="s">
        <v>17519</v>
      </c>
      <c r="C1201" s="242" t="s">
        <v>17520</v>
      </c>
      <c r="D1201" s="251">
        <v>8.5299999999999994</v>
      </c>
    </row>
    <row r="1202" spans="1:4" x14ac:dyDescent="0.3">
      <c r="A1202" s="242" t="s">
        <v>17521</v>
      </c>
      <c r="B1202" s="242" t="s">
        <v>17522</v>
      </c>
      <c r="C1202" s="242" t="s">
        <v>17523</v>
      </c>
      <c r="D1202" s="251">
        <v>52.66</v>
      </c>
    </row>
    <row r="1203" spans="1:4" x14ac:dyDescent="0.3">
      <c r="A1203" s="242" t="s">
        <v>17524</v>
      </c>
      <c r="B1203" s="242" t="s">
        <v>17525</v>
      </c>
      <c r="C1203" s="242" t="s">
        <v>17526</v>
      </c>
      <c r="D1203" s="251">
        <v>366</v>
      </c>
    </row>
    <row r="1204" spans="1:4" x14ac:dyDescent="0.3">
      <c r="A1204" s="242" t="s">
        <v>17527</v>
      </c>
      <c r="B1204" s="242" t="s">
        <v>17528</v>
      </c>
      <c r="C1204" s="242" t="s">
        <v>17529</v>
      </c>
      <c r="D1204" s="251">
        <v>366</v>
      </c>
    </row>
    <row r="1205" spans="1:4" x14ac:dyDescent="0.3">
      <c r="A1205" s="242" t="s">
        <v>17530</v>
      </c>
      <c r="B1205" s="242" t="s">
        <v>17531</v>
      </c>
      <c r="C1205" s="242" t="s">
        <v>17532</v>
      </c>
      <c r="D1205" s="251">
        <v>699.33</v>
      </c>
    </row>
    <row r="1206" spans="1:4" x14ac:dyDescent="0.3">
      <c r="A1206" s="242" t="s">
        <v>17533</v>
      </c>
      <c r="B1206" s="242" t="s">
        <v>17534</v>
      </c>
      <c r="C1206" s="242" t="s">
        <v>17535</v>
      </c>
      <c r="D1206" s="251">
        <v>679.33</v>
      </c>
    </row>
    <row r="1207" spans="1:4" x14ac:dyDescent="0.3">
      <c r="A1207" s="242" t="s">
        <v>17536</v>
      </c>
      <c r="B1207" s="242" t="s">
        <v>17537</v>
      </c>
      <c r="C1207" s="242" t="s">
        <v>17538</v>
      </c>
      <c r="D1207" s="251">
        <v>9.39</v>
      </c>
    </row>
    <row r="1208" spans="1:4" x14ac:dyDescent="0.3">
      <c r="A1208" s="242" t="s">
        <v>17539</v>
      </c>
      <c r="B1208" s="242" t="s">
        <v>17540</v>
      </c>
      <c r="C1208" s="242" t="s">
        <v>17541</v>
      </c>
      <c r="D1208" s="251">
        <v>172.67</v>
      </c>
    </row>
    <row r="1209" spans="1:4" x14ac:dyDescent="0.3">
      <c r="A1209" s="242" t="s">
        <v>17542</v>
      </c>
      <c r="B1209" s="242" t="s">
        <v>17543</v>
      </c>
      <c r="C1209" s="242" t="s">
        <v>17544</v>
      </c>
      <c r="D1209" s="251">
        <v>21.99</v>
      </c>
    </row>
    <row r="1210" spans="1:4" x14ac:dyDescent="0.3">
      <c r="A1210" s="242" t="s">
        <v>9790</v>
      </c>
      <c r="B1210" s="242" t="s">
        <v>17545</v>
      </c>
      <c r="C1210" s="242" t="s">
        <v>9789</v>
      </c>
      <c r="D1210" s="251">
        <v>11.53</v>
      </c>
    </row>
    <row r="1211" spans="1:4" x14ac:dyDescent="0.3">
      <c r="A1211" s="242" t="s">
        <v>9793</v>
      </c>
      <c r="B1211" s="242" t="s">
        <v>17546</v>
      </c>
      <c r="C1211" s="242" t="s">
        <v>9792</v>
      </c>
      <c r="D1211" s="251">
        <v>11.53</v>
      </c>
    </row>
    <row r="1212" spans="1:4" x14ac:dyDescent="0.3">
      <c r="A1212" s="242" t="s">
        <v>9492</v>
      </c>
      <c r="B1212" s="242" t="s">
        <v>17547</v>
      </c>
      <c r="C1212" s="242" t="s">
        <v>9491</v>
      </c>
      <c r="D1212" s="251">
        <v>86</v>
      </c>
    </row>
    <row r="1213" spans="1:4" x14ac:dyDescent="0.3">
      <c r="A1213" s="242" t="s">
        <v>9495</v>
      </c>
      <c r="B1213" s="242" t="s">
        <v>17548</v>
      </c>
      <c r="C1213" s="242" t="s">
        <v>9494</v>
      </c>
      <c r="D1213" s="251">
        <v>92.67</v>
      </c>
    </row>
    <row r="1214" spans="1:4" x14ac:dyDescent="0.3">
      <c r="A1214" s="242" t="s">
        <v>9498</v>
      </c>
      <c r="B1214" s="242" t="s">
        <v>17549</v>
      </c>
      <c r="C1214" s="242" t="s">
        <v>9497</v>
      </c>
      <c r="D1214" s="251">
        <v>86</v>
      </c>
    </row>
    <row r="1215" spans="1:4" x14ac:dyDescent="0.3">
      <c r="A1215" s="242" t="s">
        <v>9501</v>
      </c>
      <c r="B1215" s="242" t="s">
        <v>17550</v>
      </c>
      <c r="C1215" s="242" t="s">
        <v>9500</v>
      </c>
      <c r="D1215" s="251">
        <v>27.99</v>
      </c>
    </row>
    <row r="1216" spans="1:4" x14ac:dyDescent="0.3">
      <c r="A1216" s="242" t="s">
        <v>9504</v>
      </c>
      <c r="B1216" s="242" t="s">
        <v>17551</v>
      </c>
      <c r="C1216" s="242" t="s">
        <v>9503</v>
      </c>
      <c r="D1216" s="251">
        <v>24.66</v>
      </c>
    </row>
    <row r="1217" spans="1:4" x14ac:dyDescent="0.3">
      <c r="A1217" s="242" t="s">
        <v>9507</v>
      </c>
      <c r="B1217" s="242" t="s">
        <v>17552</v>
      </c>
      <c r="C1217" s="242" t="s">
        <v>9506</v>
      </c>
      <c r="D1217" s="251">
        <v>12.33</v>
      </c>
    </row>
    <row r="1218" spans="1:4" x14ac:dyDescent="0.3">
      <c r="A1218" s="242" t="s">
        <v>9510</v>
      </c>
      <c r="B1218" s="242" t="s">
        <v>17553</v>
      </c>
      <c r="C1218" s="242" t="s">
        <v>9509</v>
      </c>
      <c r="D1218" s="251">
        <v>31.33</v>
      </c>
    </row>
    <row r="1219" spans="1:4" x14ac:dyDescent="0.3">
      <c r="A1219" s="242" t="s">
        <v>9513</v>
      </c>
      <c r="B1219" s="242" t="s">
        <v>17554</v>
      </c>
      <c r="C1219" s="242" t="s">
        <v>9512</v>
      </c>
      <c r="D1219" s="251">
        <v>31.33</v>
      </c>
    </row>
    <row r="1220" spans="1:4" x14ac:dyDescent="0.3">
      <c r="A1220" s="242" t="s">
        <v>9516</v>
      </c>
      <c r="B1220" s="242" t="s">
        <v>17555</v>
      </c>
      <c r="C1220" s="242" t="s">
        <v>9515</v>
      </c>
      <c r="D1220" s="251">
        <v>9.99</v>
      </c>
    </row>
    <row r="1221" spans="1:4" x14ac:dyDescent="0.3">
      <c r="A1221" s="242" t="s">
        <v>9519</v>
      </c>
      <c r="B1221" s="242" t="s">
        <v>17556</v>
      </c>
      <c r="C1221" s="242" t="s">
        <v>9518</v>
      </c>
      <c r="D1221" s="251">
        <v>9.99</v>
      </c>
    </row>
    <row r="1222" spans="1:4" x14ac:dyDescent="0.3">
      <c r="A1222" s="242" t="s">
        <v>9522</v>
      </c>
      <c r="B1222" s="242" t="s">
        <v>17557</v>
      </c>
      <c r="C1222" s="242" t="s">
        <v>9521</v>
      </c>
      <c r="D1222" s="251">
        <v>27.99</v>
      </c>
    </row>
    <row r="1223" spans="1:4" x14ac:dyDescent="0.3">
      <c r="A1223" s="242" t="s">
        <v>9525</v>
      </c>
      <c r="B1223" s="242" t="s">
        <v>17558</v>
      </c>
      <c r="C1223" s="242" t="s">
        <v>9524</v>
      </c>
      <c r="D1223" s="251">
        <v>55.33</v>
      </c>
    </row>
    <row r="1224" spans="1:4" x14ac:dyDescent="0.3">
      <c r="A1224" s="242" t="s">
        <v>9528</v>
      </c>
      <c r="B1224" s="242" t="s">
        <v>17559</v>
      </c>
      <c r="C1224" s="242" t="s">
        <v>9527</v>
      </c>
      <c r="D1224" s="251">
        <v>72.67</v>
      </c>
    </row>
    <row r="1225" spans="1:4" x14ac:dyDescent="0.3">
      <c r="A1225" s="242" t="s">
        <v>9531</v>
      </c>
      <c r="B1225" s="242" t="s">
        <v>17560</v>
      </c>
      <c r="C1225" s="242" t="s">
        <v>9530</v>
      </c>
      <c r="D1225" s="251">
        <v>24.66</v>
      </c>
    </row>
    <row r="1226" spans="1:4" x14ac:dyDescent="0.3">
      <c r="A1226" s="242" t="s">
        <v>9534</v>
      </c>
      <c r="B1226" s="242" t="s">
        <v>17561</v>
      </c>
      <c r="C1226" s="242" t="s">
        <v>9533</v>
      </c>
      <c r="D1226" s="251">
        <v>9.26</v>
      </c>
    </row>
    <row r="1227" spans="1:4" x14ac:dyDescent="0.3">
      <c r="A1227" s="242" t="s">
        <v>9537</v>
      </c>
      <c r="B1227" s="242" t="s">
        <v>17562</v>
      </c>
      <c r="C1227" s="242" t="s">
        <v>9536</v>
      </c>
      <c r="D1227" s="251">
        <v>7.73</v>
      </c>
    </row>
    <row r="1228" spans="1:4" x14ac:dyDescent="0.3">
      <c r="A1228" s="242" t="s">
        <v>9543</v>
      </c>
      <c r="B1228" s="242" t="s">
        <v>17563</v>
      </c>
      <c r="C1228" s="242" t="s">
        <v>9542</v>
      </c>
      <c r="D1228" s="251">
        <v>126</v>
      </c>
    </row>
    <row r="1229" spans="1:4" x14ac:dyDescent="0.3">
      <c r="A1229" s="242" t="s">
        <v>9546</v>
      </c>
      <c r="B1229" s="242" t="s">
        <v>17564</v>
      </c>
      <c r="C1229" s="242" t="s">
        <v>9545</v>
      </c>
      <c r="D1229" s="251">
        <v>99.33</v>
      </c>
    </row>
    <row r="1230" spans="1:4" x14ac:dyDescent="0.3">
      <c r="A1230" s="242" t="s">
        <v>9549</v>
      </c>
      <c r="B1230" s="242" t="s">
        <v>17565</v>
      </c>
      <c r="C1230" s="242" t="s">
        <v>9548</v>
      </c>
      <c r="D1230" s="251">
        <v>31.33</v>
      </c>
    </row>
    <row r="1231" spans="1:4" x14ac:dyDescent="0.3">
      <c r="A1231" s="242" t="s">
        <v>9552</v>
      </c>
      <c r="B1231" s="242" t="s">
        <v>17566</v>
      </c>
      <c r="C1231" s="242" t="s">
        <v>9551</v>
      </c>
      <c r="D1231" s="251">
        <v>27.99</v>
      </c>
    </row>
    <row r="1232" spans="1:4" x14ac:dyDescent="0.3">
      <c r="A1232" s="242" t="s">
        <v>9555</v>
      </c>
      <c r="B1232" s="242" t="s">
        <v>17567</v>
      </c>
      <c r="C1232" s="242" t="s">
        <v>9554</v>
      </c>
      <c r="D1232" s="251">
        <v>12.33</v>
      </c>
    </row>
    <row r="1233" spans="1:4" x14ac:dyDescent="0.3">
      <c r="A1233" s="242" t="s">
        <v>9558</v>
      </c>
      <c r="B1233" s="242" t="s">
        <v>17568</v>
      </c>
      <c r="C1233" s="242" t="s">
        <v>9557</v>
      </c>
      <c r="D1233" s="251">
        <v>33.99</v>
      </c>
    </row>
    <row r="1234" spans="1:4" x14ac:dyDescent="0.3">
      <c r="A1234" s="242" t="s">
        <v>9561</v>
      </c>
      <c r="B1234" s="242" t="s">
        <v>17569</v>
      </c>
      <c r="C1234" s="242" t="s">
        <v>9560</v>
      </c>
      <c r="D1234" s="251">
        <v>79.33</v>
      </c>
    </row>
    <row r="1235" spans="1:4" x14ac:dyDescent="0.3">
      <c r="A1235" s="242" t="s">
        <v>9564</v>
      </c>
      <c r="B1235" s="242" t="s">
        <v>17570</v>
      </c>
      <c r="C1235" s="242" t="s">
        <v>9563</v>
      </c>
      <c r="D1235" s="251">
        <v>126</v>
      </c>
    </row>
    <row r="1236" spans="1:4" x14ac:dyDescent="0.3">
      <c r="A1236" s="242" t="s">
        <v>9570</v>
      </c>
      <c r="B1236" s="242" t="s">
        <v>17571</v>
      </c>
      <c r="C1236" s="242" t="s">
        <v>9569</v>
      </c>
      <c r="D1236" s="251">
        <v>119.33</v>
      </c>
    </row>
    <row r="1237" spans="1:4" x14ac:dyDescent="0.3">
      <c r="A1237" s="242" t="s">
        <v>9579</v>
      </c>
      <c r="B1237" s="242" t="s">
        <v>17572</v>
      </c>
      <c r="C1237" s="242" t="s">
        <v>9578</v>
      </c>
      <c r="D1237" s="251">
        <v>13.99</v>
      </c>
    </row>
    <row r="1238" spans="1:4" x14ac:dyDescent="0.3">
      <c r="A1238" s="242" t="s">
        <v>9582</v>
      </c>
      <c r="B1238" s="242" t="s">
        <v>17573</v>
      </c>
      <c r="C1238" s="242" t="s">
        <v>9581</v>
      </c>
      <c r="D1238" s="251">
        <v>37.33</v>
      </c>
    </row>
    <row r="1239" spans="1:4" x14ac:dyDescent="0.3">
      <c r="A1239" s="242" t="s">
        <v>9585</v>
      </c>
      <c r="B1239" s="242" t="s">
        <v>17574</v>
      </c>
      <c r="C1239" s="242" t="s">
        <v>9584</v>
      </c>
      <c r="D1239" s="251">
        <v>31.33</v>
      </c>
    </row>
    <row r="1240" spans="1:4" x14ac:dyDescent="0.3">
      <c r="A1240" s="242" t="s">
        <v>9588</v>
      </c>
      <c r="B1240" s="242" t="s">
        <v>17575</v>
      </c>
      <c r="C1240" s="242" t="s">
        <v>9587</v>
      </c>
      <c r="D1240" s="251">
        <v>10.79</v>
      </c>
    </row>
    <row r="1241" spans="1:4" x14ac:dyDescent="0.3">
      <c r="A1241" s="242" t="s">
        <v>9591</v>
      </c>
      <c r="B1241" s="242" t="s">
        <v>17576</v>
      </c>
      <c r="C1241" s="242" t="s">
        <v>9590</v>
      </c>
      <c r="D1241" s="251">
        <v>92.67</v>
      </c>
    </row>
    <row r="1242" spans="1:4" x14ac:dyDescent="0.3">
      <c r="A1242" s="242" t="s">
        <v>9597</v>
      </c>
      <c r="B1242" s="242" t="s">
        <v>17577</v>
      </c>
      <c r="C1242" s="242" t="s">
        <v>9596</v>
      </c>
      <c r="D1242" s="251">
        <v>58.66</v>
      </c>
    </row>
    <row r="1243" spans="1:4" x14ac:dyDescent="0.3">
      <c r="A1243" s="242" t="s">
        <v>17578</v>
      </c>
      <c r="B1243" s="242" t="s">
        <v>17579</v>
      </c>
      <c r="C1243" s="242" t="s">
        <v>17580</v>
      </c>
      <c r="D1243" s="251">
        <v>212.67</v>
      </c>
    </row>
    <row r="1244" spans="1:4" x14ac:dyDescent="0.3">
      <c r="A1244" s="242" t="s">
        <v>17581</v>
      </c>
      <c r="B1244" s="242" t="s">
        <v>17582</v>
      </c>
      <c r="C1244" s="242" t="s">
        <v>17583</v>
      </c>
      <c r="D1244" s="251">
        <v>99.33</v>
      </c>
    </row>
    <row r="1245" spans="1:4" x14ac:dyDescent="0.3">
      <c r="A1245" s="242" t="s">
        <v>17584</v>
      </c>
      <c r="B1245" s="242" t="s">
        <v>17585</v>
      </c>
      <c r="C1245" s="242" t="s">
        <v>17586</v>
      </c>
      <c r="D1245" s="251">
        <v>126</v>
      </c>
    </row>
    <row r="1246" spans="1:4" x14ac:dyDescent="0.3">
      <c r="A1246" s="242" t="s">
        <v>17587</v>
      </c>
      <c r="B1246" s="242" t="s">
        <v>17588</v>
      </c>
      <c r="C1246" s="242" t="s">
        <v>17589</v>
      </c>
      <c r="D1246" s="251">
        <v>126</v>
      </c>
    </row>
    <row r="1247" spans="1:4" x14ac:dyDescent="0.3">
      <c r="A1247" s="242" t="s">
        <v>17590</v>
      </c>
      <c r="B1247" s="242" t="s">
        <v>17591</v>
      </c>
      <c r="C1247" s="242" t="s">
        <v>17592</v>
      </c>
      <c r="D1247" s="251">
        <v>3.66</v>
      </c>
    </row>
    <row r="1248" spans="1:4" x14ac:dyDescent="0.3">
      <c r="A1248" s="242" t="s">
        <v>17593</v>
      </c>
      <c r="B1248" s="242" t="s">
        <v>17594</v>
      </c>
      <c r="C1248" s="242" t="s">
        <v>17595</v>
      </c>
      <c r="D1248" s="251">
        <v>10.86</v>
      </c>
    </row>
    <row r="1249" spans="1:4" x14ac:dyDescent="0.3">
      <c r="A1249" s="242" t="s">
        <v>17596</v>
      </c>
      <c r="B1249" s="242" t="s">
        <v>17597</v>
      </c>
      <c r="C1249" s="242" t="s">
        <v>17598</v>
      </c>
      <c r="D1249" s="251">
        <v>29.33</v>
      </c>
    </row>
    <row r="1250" spans="1:4" x14ac:dyDescent="0.3">
      <c r="A1250" s="242" t="s">
        <v>17599</v>
      </c>
      <c r="B1250" s="242" t="s">
        <v>17600</v>
      </c>
      <c r="C1250" s="242" t="s">
        <v>17601</v>
      </c>
      <c r="D1250" s="251">
        <v>5.79</v>
      </c>
    </row>
    <row r="1251" spans="1:4" x14ac:dyDescent="0.3">
      <c r="A1251" s="242" t="s">
        <v>17602</v>
      </c>
      <c r="B1251" s="242" t="s">
        <v>17603</v>
      </c>
      <c r="C1251" s="242" t="s">
        <v>17604</v>
      </c>
      <c r="D1251" s="251">
        <v>11.53</v>
      </c>
    </row>
    <row r="1252" spans="1:4" x14ac:dyDescent="0.3">
      <c r="A1252" s="242" t="s">
        <v>17605</v>
      </c>
      <c r="B1252" s="242" t="s">
        <v>17606</v>
      </c>
      <c r="C1252" s="242" t="s">
        <v>17607</v>
      </c>
      <c r="D1252" s="251">
        <v>14.66</v>
      </c>
    </row>
    <row r="1253" spans="1:4" x14ac:dyDescent="0.3">
      <c r="A1253" s="242" t="s">
        <v>17608</v>
      </c>
      <c r="B1253" s="242" t="s">
        <v>17609</v>
      </c>
      <c r="C1253" s="242" t="s">
        <v>17610</v>
      </c>
      <c r="D1253" s="251">
        <v>56.66</v>
      </c>
    </row>
    <row r="1254" spans="1:4" x14ac:dyDescent="0.3">
      <c r="A1254" s="242" t="s">
        <v>17611</v>
      </c>
      <c r="B1254" s="242" t="s">
        <v>17612</v>
      </c>
      <c r="C1254" s="242" t="s">
        <v>17613</v>
      </c>
      <c r="D1254" s="251">
        <v>29.33</v>
      </c>
    </row>
    <row r="1255" spans="1:4" x14ac:dyDescent="0.3">
      <c r="A1255" s="242" t="s">
        <v>17614</v>
      </c>
      <c r="B1255" s="242" t="s">
        <v>17615</v>
      </c>
      <c r="C1255" s="242" t="s">
        <v>17616</v>
      </c>
      <c r="D1255" s="251">
        <v>55.33</v>
      </c>
    </row>
    <row r="1256" spans="1:4" x14ac:dyDescent="0.3">
      <c r="A1256" s="242" t="s">
        <v>17617</v>
      </c>
      <c r="B1256" s="242" t="s">
        <v>17618</v>
      </c>
      <c r="C1256" s="242" t="s">
        <v>17619</v>
      </c>
      <c r="D1256" s="251">
        <v>20.66</v>
      </c>
    </row>
    <row r="1257" spans="1:4" x14ac:dyDescent="0.3">
      <c r="A1257" s="242" t="s">
        <v>9154</v>
      </c>
      <c r="B1257" s="242" t="s">
        <v>17620</v>
      </c>
      <c r="C1257" s="242" t="s">
        <v>9153</v>
      </c>
      <c r="D1257" s="251">
        <v>6.19</v>
      </c>
    </row>
    <row r="1258" spans="1:4" x14ac:dyDescent="0.3">
      <c r="A1258" s="242" t="s">
        <v>17621</v>
      </c>
      <c r="B1258" s="242" t="s">
        <v>17622</v>
      </c>
      <c r="C1258" s="242" t="s">
        <v>17623</v>
      </c>
      <c r="D1258" s="251">
        <v>20.66</v>
      </c>
    </row>
    <row r="1259" spans="1:4" x14ac:dyDescent="0.3">
      <c r="A1259" s="242" t="s">
        <v>17624</v>
      </c>
      <c r="B1259" s="242" t="s">
        <v>17625</v>
      </c>
      <c r="C1259" s="242" t="s">
        <v>17626</v>
      </c>
      <c r="D1259" s="251">
        <v>7.26</v>
      </c>
    </row>
    <row r="1260" spans="1:4" x14ac:dyDescent="0.3">
      <c r="A1260" s="242" t="s">
        <v>17627</v>
      </c>
      <c r="B1260" s="242" t="s">
        <v>17628</v>
      </c>
      <c r="C1260" s="242" t="s">
        <v>17629</v>
      </c>
      <c r="D1260" s="251">
        <v>8.66</v>
      </c>
    </row>
    <row r="1261" spans="1:4" x14ac:dyDescent="0.3">
      <c r="A1261" s="242" t="s">
        <v>17630</v>
      </c>
      <c r="B1261" s="242" t="s">
        <v>17631</v>
      </c>
      <c r="C1261" s="242" t="s">
        <v>17632</v>
      </c>
      <c r="D1261" s="251">
        <v>212.67</v>
      </c>
    </row>
    <row r="1262" spans="1:4" x14ac:dyDescent="0.3">
      <c r="A1262" s="242" t="s">
        <v>17633</v>
      </c>
      <c r="B1262" s="242" t="s">
        <v>17634</v>
      </c>
      <c r="C1262" s="242" t="s">
        <v>17635</v>
      </c>
      <c r="D1262" s="251">
        <v>99.33</v>
      </c>
    </row>
    <row r="1263" spans="1:4" x14ac:dyDescent="0.3">
      <c r="A1263" s="242" t="s">
        <v>17636</v>
      </c>
      <c r="B1263" s="242" t="s">
        <v>17637</v>
      </c>
      <c r="C1263" s="242" t="s">
        <v>17638</v>
      </c>
      <c r="D1263" s="251">
        <v>21.99</v>
      </c>
    </row>
    <row r="1264" spans="1:4" x14ac:dyDescent="0.3">
      <c r="A1264" s="242" t="s">
        <v>17639</v>
      </c>
      <c r="B1264" s="242" t="s">
        <v>17640</v>
      </c>
      <c r="C1264" s="242" t="s">
        <v>17641</v>
      </c>
      <c r="D1264" s="251">
        <v>21.99</v>
      </c>
    </row>
    <row r="1265" spans="1:4" x14ac:dyDescent="0.3">
      <c r="A1265" s="242" t="s">
        <v>17642</v>
      </c>
      <c r="B1265" s="242" t="s">
        <v>17643</v>
      </c>
      <c r="C1265" s="242" t="s">
        <v>17644</v>
      </c>
      <c r="D1265" s="251">
        <v>17.329999999999998</v>
      </c>
    </row>
    <row r="1266" spans="1:4" x14ac:dyDescent="0.3">
      <c r="A1266" s="242" t="s">
        <v>9451</v>
      </c>
      <c r="B1266" s="242" t="s">
        <v>17645</v>
      </c>
      <c r="C1266" s="242" t="s">
        <v>9450</v>
      </c>
      <c r="D1266" s="251">
        <v>272.67</v>
      </c>
    </row>
    <row r="1267" spans="1:4" x14ac:dyDescent="0.3">
      <c r="A1267" s="242" t="s">
        <v>17646</v>
      </c>
      <c r="B1267" s="242" t="s">
        <v>17647</v>
      </c>
      <c r="C1267" s="242" t="s">
        <v>17648</v>
      </c>
      <c r="D1267" s="251">
        <v>25.99</v>
      </c>
    </row>
    <row r="1268" spans="1:4" x14ac:dyDescent="0.3">
      <c r="A1268" s="242" t="s">
        <v>17649</v>
      </c>
      <c r="B1268" s="242" t="s">
        <v>17650</v>
      </c>
      <c r="C1268" s="242" t="s">
        <v>17651</v>
      </c>
      <c r="D1268" s="251">
        <v>14.66</v>
      </c>
    </row>
    <row r="1269" spans="1:4" x14ac:dyDescent="0.3">
      <c r="A1269" s="242" t="s">
        <v>17652</v>
      </c>
      <c r="B1269" s="242" t="s">
        <v>17653</v>
      </c>
      <c r="C1269" s="242" t="s">
        <v>17654</v>
      </c>
      <c r="D1269" s="251">
        <v>246</v>
      </c>
    </row>
    <row r="1270" spans="1:4" x14ac:dyDescent="0.3">
      <c r="A1270" s="242" t="s">
        <v>17655</v>
      </c>
      <c r="B1270" s="242" t="s">
        <v>17656</v>
      </c>
      <c r="C1270" s="242" t="s">
        <v>17657</v>
      </c>
      <c r="D1270" s="251">
        <v>232.67</v>
      </c>
    </row>
    <row r="1271" spans="1:4" x14ac:dyDescent="0.3">
      <c r="A1271" s="242" t="s">
        <v>17658</v>
      </c>
      <c r="B1271" s="242" t="s">
        <v>17659</v>
      </c>
      <c r="C1271" s="242" t="s">
        <v>17660</v>
      </c>
      <c r="D1271" s="251">
        <v>29.33</v>
      </c>
    </row>
    <row r="1272" spans="1:4" x14ac:dyDescent="0.3">
      <c r="A1272" s="242" t="s">
        <v>9157</v>
      </c>
      <c r="B1272" s="242" t="s">
        <v>17661</v>
      </c>
      <c r="C1272" s="242" t="s">
        <v>9156</v>
      </c>
      <c r="D1272" s="251">
        <v>15.33</v>
      </c>
    </row>
    <row r="1273" spans="1:4" x14ac:dyDescent="0.3">
      <c r="A1273" s="242" t="s">
        <v>17662</v>
      </c>
      <c r="B1273" s="242" t="s">
        <v>17663</v>
      </c>
      <c r="C1273" s="242" t="s">
        <v>17664</v>
      </c>
      <c r="D1273" s="251">
        <v>24.66</v>
      </c>
    </row>
    <row r="1274" spans="1:4" x14ac:dyDescent="0.3">
      <c r="A1274" s="242" t="s">
        <v>9733</v>
      </c>
      <c r="B1274" s="242" t="s">
        <v>17665</v>
      </c>
      <c r="C1274" s="242" t="s">
        <v>9732</v>
      </c>
      <c r="D1274" s="251">
        <v>119.33</v>
      </c>
    </row>
    <row r="1275" spans="1:4" x14ac:dyDescent="0.3">
      <c r="A1275" s="242" t="s">
        <v>9736</v>
      </c>
      <c r="B1275" s="242" t="s">
        <v>17666</v>
      </c>
      <c r="C1275" s="242" t="s">
        <v>9735</v>
      </c>
      <c r="D1275" s="251">
        <v>139.33000000000001</v>
      </c>
    </row>
    <row r="1276" spans="1:4" x14ac:dyDescent="0.3">
      <c r="A1276" s="242" t="s">
        <v>17667</v>
      </c>
      <c r="B1276" s="242" t="s">
        <v>17668</v>
      </c>
      <c r="C1276" s="242" t="s">
        <v>17669</v>
      </c>
      <c r="D1276" s="251">
        <v>272.67</v>
      </c>
    </row>
    <row r="1277" spans="1:4" x14ac:dyDescent="0.3">
      <c r="A1277" s="242" t="s">
        <v>9739</v>
      </c>
      <c r="B1277" s="242" t="s">
        <v>17670</v>
      </c>
      <c r="C1277" s="242" t="s">
        <v>9738</v>
      </c>
      <c r="D1277" s="251">
        <v>166</v>
      </c>
    </row>
    <row r="1278" spans="1:4" x14ac:dyDescent="0.3">
      <c r="A1278" s="242" t="s">
        <v>17671</v>
      </c>
      <c r="B1278" s="242" t="s">
        <v>17672</v>
      </c>
      <c r="C1278" s="242" t="s">
        <v>17673</v>
      </c>
      <c r="D1278" s="251">
        <v>57.99</v>
      </c>
    </row>
    <row r="1279" spans="1:4" x14ac:dyDescent="0.3">
      <c r="A1279" s="242" t="s">
        <v>17674</v>
      </c>
      <c r="B1279" s="242" t="s">
        <v>17675</v>
      </c>
      <c r="C1279" s="242" t="s">
        <v>17676</v>
      </c>
      <c r="D1279" s="251">
        <v>79.33</v>
      </c>
    </row>
    <row r="1280" spans="1:4" x14ac:dyDescent="0.3">
      <c r="A1280" s="242" t="s">
        <v>17677</v>
      </c>
      <c r="B1280" s="242" t="s">
        <v>17678</v>
      </c>
      <c r="C1280" s="242" t="s">
        <v>17679</v>
      </c>
      <c r="D1280" s="251">
        <v>359.33</v>
      </c>
    </row>
    <row r="1281" spans="1:4" x14ac:dyDescent="0.3">
      <c r="A1281" s="242" t="s">
        <v>17680</v>
      </c>
      <c r="B1281" s="242" t="s">
        <v>17681</v>
      </c>
      <c r="C1281" s="242" t="s">
        <v>17682</v>
      </c>
      <c r="D1281" s="251">
        <v>399.33</v>
      </c>
    </row>
    <row r="1282" spans="1:4" x14ac:dyDescent="0.3">
      <c r="A1282" s="242" t="s">
        <v>17683</v>
      </c>
      <c r="B1282" s="242" t="s">
        <v>17684</v>
      </c>
      <c r="C1282" s="242" t="s">
        <v>17685</v>
      </c>
      <c r="D1282" s="251">
        <v>266</v>
      </c>
    </row>
    <row r="1283" spans="1:4" x14ac:dyDescent="0.3">
      <c r="A1283" s="242" t="s">
        <v>17686</v>
      </c>
      <c r="B1283" s="242" t="s">
        <v>17687</v>
      </c>
      <c r="C1283" s="242" t="s">
        <v>17688</v>
      </c>
      <c r="D1283" s="251">
        <v>246</v>
      </c>
    </row>
    <row r="1284" spans="1:4" x14ac:dyDescent="0.3">
      <c r="A1284" s="242" t="s">
        <v>17689</v>
      </c>
      <c r="B1284" s="242" t="s">
        <v>17690</v>
      </c>
      <c r="C1284" s="242" t="s">
        <v>17691</v>
      </c>
      <c r="D1284" s="251">
        <v>246</v>
      </c>
    </row>
    <row r="1285" spans="1:4" x14ac:dyDescent="0.3">
      <c r="A1285" s="242" t="s">
        <v>17692</v>
      </c>
      <c r="B1285" s="242" t="s">
        <v>17693</v>
      </c>
      <c r="C1285" s="242" t="s">
        <v>17694</v>
      </c>
      <c r="D1285" s="251">
        <v>132.66999999999999</v>
      </c>
    </row>
    <row r="1286" spans="1:4" x14ac:dyDescent="0.3">
      <c r="A1286" s="242" t="s">
        <v>17695</v>
      </c>
      <c r="B1286" s="242" t="s">
        <v>17696</v>
      </c>
      <c r="C1286" s="242" t="s">
        <v>17697</v>
      </c>
      <c r="D1286" s="251">
        <v>279.33</v>
      </c>
    </row>
    <row r="1287" spans="1:4" x14ac:dyDescent="0.3">
      <c r="A1287" s="242" t="s">
        <v>17698</v>
      </c>
      <c r="B1287" s="242" t="s">
        <v>17699</v>
      </c>
      <c r="C1287" s="242" t="s">
        <v>17700</v>
      </c>
      <c r="D1287" s="251">
        <v>279.33</v>
      </c>
    </row>
    <row r="1288" spans="1:4" x14ac:dyDescent="0.3">
      <c r="A1288" s="242" t="s">
        <v>17701</v>
      </c>
      <c r="B1288" s="242" t="s">
        <v>17702</v>
      </c>
      <c r="C1288" s="242" t="s">
        <v>17703</v>
      </c>
      <c r="D1288" s="251">
        <v>272.67</v>
      </c>
    </row>
    <row r="1289" spans="1:4" x14ac:dyDescent="0.3">
      <c r="A1289" s="242" t="s">
        <v>17704</v>
      </c>
      <c r="B1289" s="242" t="s">
        <v>17705</v>
      </c>
      <c r="C1289" s="242" t="s">
        <v>17706</v>
      </c>
      <c r="D1289" s="251">
        <v>51.99</v>
      </c>
    </row>
    <row r="1290" spans="1:4" x14ac:dyDescent="0.3">
      <c r="A1290" s="242" t="s">
        <v>17707</v>
      </c>
      <c r="B1290" s="242" t="s">
        <v>17708</v>
      </c>
      <c r="C1290" s="242" t="s">
        <v>17709</v>
      </c>
      <c r="D1290" s="251">
        <v>51.99</v>
      </c>
    </row>
    <row r="1291" spans="1:4" x14ac:dyDescent="0.3">
      <c r="A1291" s="242" t="s">
        <v>17710</v>
      </c>
      <c r="B1291" s="242" t="s">
        <v>17711</v>
      </c>
      <c r="C1291" s="242" t="s">
        <v>17712</v>
      </c>
      <c r="D1291" s="251">
        <v>47.99</v>
      </c>
    </row>
    <row r="1292" spans="1:4" x14ac:dyDescent="0.3">
      <c r="A1292" s="242" t="s">
        <v>17713</v>
      </c>
      <c r="B1292" s="242" t="s">
        <v>17714</v>
      </c>
      <c r="C1292" s="242" t="s">
        <v>17715</v>
      </c>
      <c r="D1292" s="251">
        <v>39.33</v>
      </c>
    </row>
    <row r="1293" spans="1:4" x14ac:dyDescent="0.3">
      <c r="A1293" s="242" t="s">
        <v>17716</v>
      </c>
      <c r="B1293" s="242" t="s">
        <v>17717</v>
      </c>
      <c r="C1293" s="242" t="s">
        <v>17718</v>
      </c>
      <c r="D1293" s="251">
        <v>11.53</v>
      </c>
    </row>
    <row r="1294" spans="1:4" x14ac:dyDescent="0.3">
      <c r="A1294" s="242" t="s">
        <v>17719</v>
      </c>
      <c r="B1294" s="242" t="s">
        <v>17720</v>
      </c>
      <c r="C1294" s="242" t="s">
        <v>17721</v>
      </c>
      <c r="D1294" s="251">
        <v>41.99</v>
      </c>
    </row>
    <row r="1295" spans="1:4" x14ac:dyDescent="0.3">
      <c r="A1295" s="242" t="s">
        <v>17722</v>
      </c>
      <c r="B1295" s="242" t="s">
        <v>17723</v>
      </c>
      <c r="C1295" s="242" t="s">
        <v>17724</v>
      </c>
      <c r="D1295" s="251">
        <v>49.33</v>
      </c>
    </row>
    <row r="1296" spans="1:4" x14ac:dyDescent="0.3">
      <c r="A1296" s="242" t="s">
        <v>17725</v>
      </c>
      <c r="B1296" s="242" t="s">
        <v>17726</v>
      </c>
      <c r="C1296" s="242" t="s">
        <v>17727</v>
      </c>
      <c r="D1296" s="251">
        <v>159.33000000000001</v>
      </c>
    </row>
    <row r="1297" spans="1:4" x14ac:dyDescent="0.3">
      <c r="A1297" s="242" t="s">
        <v>17728</v>
      </c>
      <c r="B1297" s="242" t="s">
        <v>17729</v>
      </c>
      <c r="C1297" s="242" t="s">
        <v>17730</v>
      </c>
      <c r="D1297" s="251">
        <v>17.989999999999998</v>
      </c>
    </row>
    <row r="1298" spans="1:4" x14ac:dyDescent="0.3">
      <c r="A1298" s="242" t="s">
        <v>17731</v>
      </c>
      <c r="B1298" s="242" t="s">
        <v>17732</v>
      </c>
      <c r="C1298" s="242" t="s">
        <v>17733</v>
      </c>
      <c r="D1298" s="251">
        <v>16.66</v>
      </c>
    </row>
    <row r="1299" spans="1:4" x14ac:dyDescent="0.3">
      <c r="A1299" s="242" t="s">
        <v>17734</v>
      </c>
      <c r="B1299" s="242" t="s">
        <v>17735</v>
      </c>
      <c r="C1299" s="242" t="s">
        <v>17736</v>
      </c>
      <c r="D1299" s="251">
        <v>279.33</v>
      </c>
    </row>
    <row r="1300" spans="1:4" x14ac:dyDescent="0.3">
      <c r="A1300" s="242" t="s">
        <v>17737</v>
      </c>
      <c r="B1300" s="242" t="s">
        <v>17738</v>
      </c>
      <c r="C1300" s="242" t="s">
        <v>17739</v>
      </c>
      <c r="D1300" s="251">
        <v>246</v>
      </c>
    </row>
    <row r="1301" spans="1:4" x14ac:dyDescent="0.3">
      <c r="A1301" s="242" t="s">
        <v>17740</v>
      </c>
      <c r="B1301" s="242" t="s">
        <v>17741</v>
      </c>
      <c r="C1301" s="242" t="s">
        <v>17742</v>
      </c>
      <c r="D1301" s="251">
        <v>39.33</v>
      </c>
    </row>
    <row r="1302" spans="1:4" x14ac:dyDescent="0.3">
      <c r="A1302" s="242" t="s">
        <v>17743</v>
      </c>
      <c r="B1302" s="242" t="s">
        <v>17744</v>
      </c>
      <c r="C1302" s="242" t="s">
        <v>17745</v>
      </c>
      <c r="D1302" s="251">
        <v>11.53</v>
      </c>
    </row>
    <row r="1303" spans="1:4" x14ac:dyDescent="0.3">
      <c r="A1303" s="242" t="s">
        <v>17746</v>
      </c>
      <c r="B1303" s="242" t="s">
        <v>17747</v>
      </c>
      <c r="C1303" s="242" t="s">
        <v>17748</v>
      </c>
      <c r="D1303" s="251">
        <v>179.33</v>
      </c>
    </row>
    <row r="1304" spans="1:4" x14ac:dyDescent="0.3">
      <c r="A1304" s="242" t="s">
        <v>17749</v>
      </c>
      <c r="B1304" s="242" t="s">
        <v>17750</v>
      </c>
      <c r="C1304" s="242" t="s">
        <v>17751</v>
      </c>
      <c r="D1304" s="251">
        <v>166</v>
      </c>
    </row>
    <row r="1305" spans="1:4" x14ac:dyDescent="0.3">
      <c r="A1305" s="242" t="s">
        <v>17752</v>
      </c>
      <c r="B1305" s="242" t="s">
        <v>17753</v>
      </c>
      <c r="C1305" s="242" t="s">
        <v>17754</v>
      </c>
      <c r="D1305" s="251">
        <v>39.33</v>
      </c>
    </row>
    <row r="1306" spans="1:4" x14ac:dyDescent="0.3">
      <c r="A1306" s="242" t="s">
        <v>17755</v>
      </c>
      <c r="B1306" s="242" t="s">
        <v>17756</v>
      </c>
      <c r="C1306" s="242" t="s">
        <v>17757</v>
      </c>
      <c r="D1306" s="251">
        <v>14.66</v>
      </c>
    </row>
    <row r="1307" spans="1:4" x14ac:dyDescent="0.3">
      <c r="A1307" s="242" t="s">
        <v>17758</v>
      </c>
      <c r="B1307" s="242" t="s">
        <v>17759</v>
      </c>
      <c r="C1307" s="242" t="s">
        <v>17760</v>
      </c>
      <c r="D1307" s="251">
        <v>219.33</v>
      </c>
    </row>
    <row r="1308" spans="1:4" x14ac:dyDescent="0.3">
      <c r="A1308" s="242" t="s">
        <v>17761</v>
      </c>
      <c r="B1308" s="242" t="s">
        <v>17762</v>
      </c>
      <c r="C1308" s="242" t="s">
        <v>17763</v>
      </c>
      <c r="D1308" s="251">
        <v>179.33</v>
      </c>
    </row>
    <row r="1309" spans="1:4" x14ac:dyDescent="0.3">
      <c r="A1309" s="242" t="s">
        <v>17764</v>
      </c>
      <c r="B1309" s="242" t="s">
        <v>17765</v>
      </c>
      <c r="C1309" s="242" t="s">
        <v>17766</v>
      </c>
      <c r="D1309" s="251">
        <v>45.99</v>
      </c>
    </row>
    <row r="1310" spans="1:4" x14ac:dyDescent="0.3">
      <c r="A1310" s="242" t="s">
        <v>17767</v>
      </c>
      <c r="B1310" s="242" t="s">
        <v>17768</v>
      </c>
      <c r="C1310" s="242" t="s">
        <v>17769</v>
      </c>
      <c r="D1310" s="251">
        <v>232.67</v>
      </c>
    </row>
    <row r="1311" spans="1:4" x14ac:dyDescent="0.3">
      <c r="A1311" s="242" t="s">
        <v>17770</v>
      </c>
      <c r="B1311" s="242" t="s">
        <v>17771</v>
      </c>
      <c r="C1311" s="242" t="s">
        <v>17772</v>
      </c>
      <c r="D1311" s="251">
        <v>199.33</v>
      </c>
    </row>
    <row r="1312" spans="1:4" x14ac:dyDescent="0.3">
      <c r="A1312" s="242" t="s">
        <v>17773</v>
      </c>
      <c r="B1312" s="242" t="s">
        <v>17774</v>
      </c>
      <c r="C1312" s="242" t="s">
        <v>17775</v>
      </c>
      <c r="D1312" s="251">
        <v>49.33</v>
      </c>
    </row>
    <row r="1313" spans="1:4" x14ac:dyDescent="0.3">
      <c r="A1313" s="242" t="s">
        <v>9454</v>
      </c>
      <c r="B1313" s="242" t="s">
        <v>17776</v>
      </c>
      <c r="C1313" s="242" t="s">
        <v>9453</v>
      </c>
      <c r="D1313" s="251">
        <v>272.67</v>
      </c>
    </row>
    <row r="1314" spans="1:4" x14ac:dyDescent="0.3">
      <c r="A1314" s="242" t="s">
        <v>9862</v>
      </c>
      <c r="B1314" s="242" t="s">
        <v>17777</v>
      </c>
      <c r="C1314" s="242" t="s">
        <v>9861</v>
      </c>
      <c r="D1314" s="251">
        <v>15.33</v>
      </c>
    </row>
    <row r="1315" spans="1:4" x14ac:dyDescent="0.3">
      <c r="A1315" s="242" t="s">
        <v>9109</v>
      </c>
      <c r="B1315" s="242" t="s">
        <v>17778</v>
      </c>
      <c r="C1315" s="242" t="s">
        <v>9108</v>
      </c>
      <c r="D1315" s="251">
        <v>31.99</v>
      </c>
    </row>
    <row r="1316" spans="1:4" x14ac:dyDescent="0.3">
      <c r="A1316" s="242" t="s">
        <v>9121</v>
      </c>
      <c r="B1316" s="242" t="s">
        <v>17779</v>
      </c>
      <c r="C1316" s="242" t="s">
        <v>9120</v>
      </c>
      <c r="D1316" s="251">
        <v>16.66</v>
      </c>
    </row>
    <row r="1317" spans="1:4" x14ac:dyDescent="0.3">
      <c r="A1317" s="242" t="s">
        <v>9130</v>
      </c>
      <c r="B1317" s="242" t="s">
        <v>17780</v>
      </c>
      <c r="C1317" s="242" t="s">
        <v>9129</v>
      </c>
      <c r="D1317" s="251">
        <v>16.66</v>
      </c>
    </row>
    <row r="1318" spans="1:4" x14ac:dyDescent="0.3">
      <c r="A1318" s="242" t="s">
        <v>9151</v>
      </c>
      <c r="B1318" s="242" t="s">
        <v>17781</v>
      </c>
      <c r="C1318" s="242" t="s">
        <v>9150</v>
      </c>
      <c r="D1318" s="251">
        <v>16.66</v>
      </c>
    </row>
    <row r="1319" spans="1:4" x14ac:dyDescent="0.3">
      <c r="A1319" s="242" t="s">
        <v>9166</v>
      </c>
      <c r="B1319" s="242" t="s">
        <v>17782</v>
      </c>
      <c r="C1319" s="242" t="s">
        <v>9165</v>
      </c>
      <c r="D1319" s="251">
        <v>112.67</v>
      </c>
    </row>
    <row r="1320" spans="1:4" x14ac:dyDescent="0.3">
      <c r="A1320" s="242" t="s">
        <v>9178</v>
      </c>
      <c r="B1320" s="242" t="s">
        <v>17783</v>
      </c>
      <c r="C1320" s="242" t="s">
        <v>9177</v>
      </c>
      <c r="D1320" s="251">
        <v>33.99</v>
      </c>
    </row>
    <row r="1321" spans="1:4" x14ac:dyDescent="0.3">
      <c r="A1321" s="242" t="s">
        <v>9181</v>
      </c>
      <c r="B1321" s="242" t="s">
        <v>17784</v>
      </c>
      <c r="C1321" s="242" t="s">
        <v>9180</v>
      </c>
      <c r="D1321" s="251">
        <v>37.99</v>
      </c>
    </row>
    <row r="1322" spans="1:4" x14ac:dyDescent="0.3">
      <c r="A1322" s="242" t="s">
        <v>9184</v>
      </c>
      <c r="B1322" s="242" t="s">
        <v>17785</v>
      </c>
      <c r="C1322" s="242" t="s">
        <v>9183</v>
      </c>
      <c r="D1322" s="251">
        <v>37.99</v>
      </c>
    </row>
    <row r="1323" spans="1:4" x14ac:dyDescent="0.3">
      <c r="A1323" s="242" t="s">
        <v>9944</v>
      </c>
      <c r="B1323" s="242" t="s">
        <v>17786</v>
      </c>
      <c r="C1323" s="242" t="s">
        <v>9943</v>
      </c>
      <c r="D1323" s="251">
        <v>59.99</v>
      </c>
    </row>
    <row r="1324" spans="1:4" x14ac:dyDescent="0.3">
      <c r="A1324" s="242" t="s">
        <v>9953</v>
      </c>
      <c r="B1324" s="242" t="s">
        <v>17787</v>
      </c>
      <c r="C1324" s="242" t="s">
        <v>9952</v>
      </c>
      <c r="D1324" s="251">
        <v>22.66</v>
      </c>
    </row>
    <row r="1325" spans="1:4" x14ac:dyDescent="0.3">
      <c r="A1325" s="242" t="s">
        <v>9956</v>
      </c>
      <c r="B1325" s="242" t="s">
        <v>17788</v>
      </c>
      <c r="C1325" s="242" t="s">
        <v>9955</v>
      </c>
      <c r="D1325" s="251">
        <v>15.33</v>
      </c>
    </row>
    <row r="1326" spans="1:4" x14ac:dyDescent="0.3">
      <c r="A1326" s="242" t="s">
        <v>9959</v>
      </c>
      <c r="B1326" s="242" t="s">
        <v>17789</v>
      </c>
      <c r="C1326" s="242" t="s">
        <v>9958</v>
      </c>
      <c r="D1326" s="251">
        <v>17.989999999999998</v>
      </c>
    </row>
    <row r="1327" spans="1:4" x14ac:dyDescent="0.3">
      <c r="A1327" s="242" t="s">
        <v>9604</v>
      </c>
      <c r="B1327" s="242" t="s">
        <v>17790</v>
      </c>
      <c r="C1327" s="242" t="s">
        <v>9603</v>
      </c>
      <c r="D1327" s="251">
        <v>44.66</v>
      </c>
    </row>
    <row r="1328" spans="1:4" x14ac:dyDescent="0.3">
      <c r="A1328" s="242" t="s">
        <v>9607</v>
      </c>
      <c r="B1328" s="242" t="s">
        <v>17791</v>
      </c>
      <c r="C1328" s="242" t="s">
        <v>9606</v>
      </c>
      <c r="D1328" s="251">
        <v>37.99</v>
      </c>
    </row>
    <row r="1329" spans="1:4" x14ac:dyDescent="0.3">
      <c r="A1329" s="242" t="s">
        <v>9610</v>
      </c>
      <c r="B1329" s="242" t="s">
        <v>17792</v>
      </c>
      <c r="C1329" s="242" t="s">
        <v>9609</v>
      </c>
      <c r="D1329" s="251">
        <v>49.33</v>
      </c>
    </row>
    <row r="1330" spans="1:4" x14ac:dyDescent="0.3">
      <c r="A1330" s="242" t="s">
        <v>9613</v>
      </c>
      <c r="B1330" s="242" t="s">
        <v>17793</v>
      </c>
      <c r="C1330" s="242" t="s">
        <v>9612</v>
      </c>
      <c r="D1330" s="251">
        <v>41.99</v>
      </c>
    </row>
    <row r="1331" spans="1:4" x14ac:dyDescent="0.3">
      <c r="A1331" s="242" t="s">
        <v>9616</v>
      </c>
      <c r="B1331" s="242" t="s">
        <v>17794</v>
      </c>
      <c r="C1331" s="242" t="s">
        <v>9615</v>
      </c>
      <c r="D1331" s="251">
        <v>32.659999999999997</v>
      </c>
    </row>
    <row r="1332" spans="1:4" x14ac:dyDescent="0.3">
      <c r="A1332" s="242" t="s">
        <v>9619</v>
      </c>
      <c r="B1332" s="242" t="s">
        <v>17795</v>
      </c>
      <c r="C1332" s="242" t="s">
        <v>9618</v>
      </c>
      <c r="D1332" s="251">
        <v>41.99</v>
      </c>
    </row>
    <row r="1333" spans="1:4" x14ac:dyDescent="0.3">
      <c r="A1333" s="242" t="s">
        <v>9622</v>
      </c>
      <c r="B1333" s="242" t="s">
        <v>17796</v>
      </c>
      <c r="C1333" s="242" t="s">
        <v>9621</v>
      </c>
      <c r="D1333" s="251">
        <v>41.99</v>
      </c>
    </row>
    <row r="1334" spans="1:4" x14ac:dyDescent="0.3">
      <c r="A1334" s="242" t="s">
        <v>9625</v>
      </c>
      <c r="B1334" s="242" t="s">
        <v>17797</v>
      </c>
      <c r="C1334" s="242" t="s">
        <v>9624</v>
      </c>
      <c r="D1334" s="251">
        <v>33.99</v>
      </c>
    </row>
    <row r="1335" spans="1:4" x14ac:dyDescent="0.3">
      <c r="A1335" s="242" t="s">
        <v>9628</v>
      </c>
      <c r="B1335" s="242" t="s">
        <v>17798</v>
      </c>
      <c r="C1335" s="242" t="s">
        <v>9627</v>
      </c>
      <c r="D1335" s="251">
        <v>45.99</v>
      </c>
    </row>
    <row r="1336" spans="1:4" x14ac:dyDescent="0.3">
      <c r="A1336" s="242" t="s">
        <v>9742</v>
      </c>
      <c r="B1336" s="242" t="s">
        <v>17799</v>
      </c>
      <c r="C1336" s="242" t="s">
        <v>9741</v>
      </c>
      <c r="D1336" s="251">
        <v>99.33</v>
      </c>
    </row>
    <row r="1337" spans="1:4" x14ac:dyDescent="0.3">
      <c r="A1337" s="242" t="s">
        <v>9745</v>
      </c>
      <c r="B1337" s="242" t="s">
        <v>17800</v>
      </c>
      <c r="C1337" s="242" t="s">
        <v>9744</v>
      </c>
      <c r="D1337" s="251">
        <v>25.33</v>
      </c>
    </row>
    <row r="1338" spans="1:4" x14ac:dyDescent="0.3">
      <c r="A1338" s="242" t="s">
        <v>9853</v>
      </c>
      <c r="B1338" s="242" t="s">
        <v>17801</v>
      </c>
      <c r="C1338" s="242" t="s">
        <v>9852</v>
      </c>
      <c r="D1338" s="251">
        <v>52.66</v>
      </c>
    </row>
    <row r="1339" spans="1:4" x14ac:dyDescent="0.3">
      <c r="A1339" s="242" t="s">
        <v>9856</v>
      </c>
      <c r="B1339" s="242" t="s">
        <v>17802</v>
      </c>
      <c r="C1339" s="242" t="s">
        <v>9855</v>
      </c>
      <c r="D1339" s="251">
        <v>52.66</v>
      </c>
    </row>
    <row r="1340" spans="1:4" x14ac:dyDescent="0.3">
      <c r="A1340" s="242" t="s">
        <v>9859</v>
      </c>
      <c r="B1340" s="242" t="s">
        <v>17803</v>
      </c>
      <c r="C1340" s="242" t="s">
        <v>9858</v>
      </c>
      <c r="D1340" s="251">
        <v>52.66</v>
      </c>
    </row>
    <row r="1341" spans="1:4" x14ac:dyDescent="0.3">
      <c r="A1341" s="242" t="s">
        <v>17804</v>
      </c>
      <c r="B1341" s="242" t="s">
        <v>17805</v>
      </c>
      <c r="C1341" s="242" t="s">
        <v>17806</v>
      </c>
      <c r="D1341" s="251">
        <v>41.99</v>
      </c>
    </row>
    <row r="1342" spans="1:4" x14ac:dyDescent="0.3">
      <c r="A1342" s="242" t="s">
        <v>17807</v>
      </c>
      <c r="B1342" s="242" t="s">
        <v>17808</v>
      </c>
      <c r="C1342" s="242" t="s">
        <v>17809</v>
      </c>
      <c r="D1342" s="251">
        <v>41.99</v>
      </c>
    </row>
    <row r="1343" spans="1:4" x14ac:dyDescent="0.3">
      <c r="A1343" s="242" t="s">
        <v>17810</v>
      </c>
      <c r="B1343" s="242" t="s">
        <v>17811</v>
      </c>
      <c r="C1343" s="242" t="s">
        <v>17812</v>
      </c>
      <c r="D1343" s="251">
        <v>239.33</v>
      </c>
    </row>
    <row r="1344" spans="1:4" x14ac:dyDescent="0.3">
      <c r="A1344" s="242" t="s">
        <v>17813</v>
      </c>
      <c r="B1344" s="242" t="s">
        <v>17814</v>
      </c>
      <c r="C1344" s="242" t="s">
        <v>17815</v>
      </c>
      <c r="D1344" s="251">
        <v>23.99</v>
      </c>
    </row>
    <row r="1345" spans="1:4" x14ac:dyDescent="0.3">
      <c r="A1345" s="242" t="s">
        <v>17816</v>
      </c>
      <c r="B1345" s="242" t="s">
        <v>17817</v>
      </c>
      <c r="C1345" s="242" t="s">
        <v>17818</v>
      </c>
      <c r="D1345" s="251">
        <v>63.33</v>
      </c>
    </row>
    <row r="1346" spans="1:4" x14ac:dyDescent="0.3">
      <c r="A1346" s="242" t="s">
        <v>17819</v>
      </c>
      <c r="B1346" s="242" t="s">
        <v>17820</v>
      </c>
      <c r="C1346" s="242" t="s">
        <v>17821</v>
      </c>
      <c r="D1346" s="251">
        <v>49.33</v>
      </c>
    </row>
    <row r="1347" spans="1:4" x14ac:dyDescent="0.3">
      <c r="A1347" s="242" t="s">
        <v>9163</v>
      </c>
      <c r="B1347" s="242" t="s">
        <v>17822</v>
      </c>
      <c r="C1347" s="242" t="s">
        <v>9162</v>
      </c>
      <c r="D1347" s="251">
        <v>31.99</v>
      </c>
    </row>
    <row r="1348" spans="1:4" x14ac:dyDescent="0.3">
      <c r="A1348" s="242" t="s">
        <v>9214</v>
      </c>
      <c r="B1348" s="242" t="s">
        <v>17823</v>
      </c>
      <c r="C1348" s="242" t="s">
        <v>9213</v>
      </c>
      <c r="D1348" s="251">
        <v>166</v>
      </c>
    </row>
    <row r="1349" spans="1:4" x14ac:dyDescent="0.3">
      <c r="A1349" s="242" t="s">
        <v>9267</v>
      </c>
      <c r="B1349" s="242" t="s">
        <v>17824</v>
      </c>
      <c r="C1349" s="242" t="s">
        <v>9266</v>
      </c>
      <c r="D1349" s="251">
        <v>179.33</v>
      </c>
    </row>
    <row r="1350" spans="1:4" x14ac:dyDescent="0.3">
      <c r="A1350" s="242" t="s">
        <v>9270</v>
      </c>
      <c r="B1350" s="242" t="s">
        <v>17825</v>
      </c>
      <c r="C1350" s="242" t="s">
        <v>9269</v>
      </c>
      <c r="D1350" s="251">
        <v>126</v>
      </c>
    </row>
    <row r="1351" spans="1:4" x14ac:dyDescent="0.3">
      <c r="A1351" s="242" t="s">
        <v>9323</v>
      </c>
      <c r="B1351" s="242" t="s">
        <v>17826</v>
      </c>
      <c r="C1351" s="242" t="s">
        <v>9322</v>
      </c>
      <c r="D1351" s="251">
        <v>179.33</v>
      </c>
    </row>
    <row r="1352" spans="1:4" x14ac:dyDescent="0.3">
      <c r="A1352" s="242" t="s">
        <v>9326</v>
      </c>
      <c r="B1352" s="242" t="s">
        <v>17827</v>
      </c>
      <c r="C1352" s="242" t="s">
        <v>9325</v>
      </c>
      <c r="D1352" s="251">
        <v>219.33</v>
      </c>
    </row>
    <row r="1353" spans="1:4" x14ac:dyDescent="0.3">
      <c r="A1353" s="242" t="s">
        <v>9329</v>
      </c>
      <c r="B1353" s="242" t="s">
        <v>17828</v>
      </c>
      <c r="C1353" s="242" t="s">
        <v>9328</v>
      </c>
      <c r="D1353" s="251">
        <v>132.66999999999999</v>
      </c>
    </row>
    <row r="1354" spans="1:4" x14ac:dyDescent="0.3">
      <c r="A1354" s="242" t="s">
        <v>9396</v>
      </c>
      <c r="B1354" s="242" t="s">
        <v>17829</v>
      </c>
      <c r="C1354" s="242" t="s">
        <v>9395</v>
      </c>
      <c r="D1354" s="251">
        <v>146</v>
      </c>
    </row>
    <row r="1355" spans="1:4" x14ac:dyDescent="0.3">
      <c r="A1355" s="242" t="s">
        <v>9811</v>
      </c>
      <c r="B1355" s="242" t="s">
        <v>17830</v>
      </c>
      <c r="C1355" s="242" t="s">
        <v>9810</v>
      </c>
      <c r="D1355" s="251">
        <v>79.33</v>
      </c>
    </row>
    <row r="1356" spans="1:4" x14ac:dyDescent="0.3">
      <c r="A1356" s="242" t="s">
        <v>9814</v>
      </c>
      <c r="B1356" s="242" t="s">
        <v>17831</v>
      </c>
      <c r="C1356" s="242" t="s">
        <v>9813</v>
      </c>
      <c r="D1356" s="251">
        <v>99.33</v>
      </c>
    </row>
    <row r="1357" spans="1:4" x14ac:dyDescent="0.3">
      <c r="A1357" s="242" t="s">
        <v>9160</v>
      </c>
      <c r="B1357" s="242" t="s">
        <v>9161</v>
      </c>
      <c r="C1357" s="242" t="s">
        <v>9159</v>
      </c>
      <c r="D1357" s="251">
        <v>13.99</v>
      </c>
    </row>
    <row r="1358" spans="1:4" x14ac:dyDescent="0.3">
      <c r="A1358" s="242" t="s">
        <v>17832</v>
      </c>
      <c r="B1358" s="242" t="s">
        <v>17833</v>
      </c>
      <c r="C1358" s="242" t="s">
        <v>17834</v>
      </c>
      <c r="D1358" s="251">
        <v>392.67</v>
      </c>
    </row>
    <row r="1359" spans="1:4" x14ac:dyDescent="0.3">
      <c r="A1359" s="242" t="s">
        <v>17835</v>
      </c>
      <c r="B1359" s="242" t="s">
        <v>17836</v>
      </c>
      <c r="C1359" s="242" t="s">
        <v>17837</v>
      </c>
      <c r="D1359" s="251">
        <v>279.33</v>
      </c>
    </row>
    <row r="1360" spans="1:4" x14ac:dyDescent="0.3">
      <c r="A1360" s="242" t="s">
        <v>9772</v>
      </c>
      <c r="B1360" s="242" t="s">
        <v>17838</v>
      </c>
      <c r="C1360" s="242" t="s">
        <v>9771</v>
      </c>
      <c r="D1360" s="251">
        <v>8.26</v>
      </c>
    </row>
    <row r="1361" spans="1:4" x14ac:dyDescent="0.3">
      <c r="A1361" s="242" t="s">
        <v>9390</v>
      </c>
      <c r="B1361" s="242" t="s">
        <v>17839</v>
      </c>
      <c r="C1361" s="242" t="s">
        <v>9389</v>
      </c>
      <c r="D1361" s="251">
        <v>199.33</v>
      </c>
    </row>
    <row r="1362" spans="1:4" x14ac:dyDescent="0.3">
      <c r="A1362" s="242" t="s">
        <v>9393</v>
      </c>
      <c r="B1362" s="242" t="s">
        <v>17840</v>
      </c>
      <c r="C1362" s="242" t="s">
        <v>9392</v>
      </c>
      <c r="D1362" s="251">
        <v>232.67</v>
      </c>
    </row>
    <row r="1363" spans="1:4" x14ac:dyDescent="0.3">
      <c r="A1363" s="242" t="s">
        <v>17841</v>
      </c>
      <c r="B1363" s="242" t="s">
        <v>17842</v>
      </c>
      <c r="C1363" s="242" t="s">
        <v>17843</v>
      </c>
      <c r="D1363" s="251">
        <v>13.99</v>
      </c>
    </row>
    <row r="1364" spans="1:4" x14ac:dyDescent="0.3">
      <c r="A1364" s="242" t="s">
        <v>9139</v>
      </c>
      <c r="B1364" s="242" t="s">
        <v>17844</v>
      </c>
      <c r="C1364" s="242" t="s">
        <v>9138</v>
      </c>
      <c r="D1364" s="251">
        <v>33.33</v>
      </c>
    </row>
    <row r="1365" spans="1:4" x14ac:dyDescent="0.3">
      <c r="A1365" s="242" t="s">
        <v>9471</v>
      </c>
      <c r="B1365" s="242" t="s">
        <v>17845</v>
      </c>
      <c r="C1365" s="242" t="s">
        <v>9470</v>
      </c>
      <c r="D1365" s="251">
        <v>51.33</v>
      </c>
    </row>
    <row r="1366" spans="1:4" x14ac:dyDescent="0.3">
      <c r="A1366" s="242" t="s">
        <v>9474</v>
      </c>
      <c r="B1366" s="242" t="s">
        <v>17846</v>
      </c>
      <c r="C1366" s="242" t="s">
        <v>9473</v>
      </c>
      <c r="D1366" s="251">
        <v>46.66</v>
      </c>
    </row>
    <row r="1367" spans="1:4" x14ac:dyDescent="0.3">
      <c r="A1367" s="242" t="s">
        <v>9477</v>
      </c>
      <c r="B1367" s="242" t="s">
        <v>17847</v>
      </c>
      <c r="C1367" s="242" t="s">
        <v>9476</v>
      </c>
      <c r="D1367" s="251">
        <v>19.989999999999998</v>
      </c>
    </row>
    <row r="1368" spans="1:4" x14ac:dyDescent="0.3">
      <c r="A1368" s="242" t="s">
        <v>9480</v>
      </c>
      <c r="B1368" s="242" t="s">
        <v>17848</v>
      </c>
      <c r="C1368" s="242" t="s">
        <v>9479</v>
      </c>
      <c r="D1368" s="251">
        <v>57.99</v>
      </c>
    </row>
    <row r="1369" spans="1:4" x14ac:dyDescent="0.3">
      <c r="A1369" s="242" t="s">
        <v>9136</v>
      </c>
      <c r="B1369" s="242" t="s">
        <v>17849</v>
      </c>
      <c r="C1369" s="242" t="s">
        <v>9135</v>
      </c>
      <c r="D1369" s="251">
        <v>17.329999999999998</v>
      </c>
    </row>
    <row r="1370" spans="1:4" x14ac:dyDescent="0.3">
      <c r="A1370" s="242" t="s">
        <v>9483</v>
      </c>
      <c r="B1370" s="242" t="s">
        <v>17850</v>
      </c>
      <c r="C1370" s="242" t="s">
        <v>9482</v>
      </c>
      <c r="D1370" s="251">
        <v>16.66</v>
      </c>
    </row>
    <row r="1371" spans="1:4" x14ac:dyDescent="0.3">
      <c r="A1371" s="242" t="s">
        <v>9489</v>
      </c>
      <c r="B1371" s="242" t="s">
        <v>17851</v>
      </c>
      <c r="C1371" s="242" t="s">
        <v>17852</v>
      </c>
      <c r="D1371" s="251">
        <v>246</v>
      </c>
    </row>
    <row r="1372" spans="1:4" x14ac:dyDescent="0.3">
      <c r="A1372" s="242" t="s">
        <v>9337</v>
      </c>
      <c r="B1372" s="242" t="s">
        <v>9338</v>
      </c>
      <c r="C1372" s="242" t="s">
        <v>17853</v>
      </c>
      <c r="D1372" s="251">
        <v>179.33</v>
      </c>
    </row>
    <row r="1373" spans="1:4" x14ac:dyDescent="0.3">
      <c r="A1373" s="242" t="s">
        <v>9404</v>
      </c>
      <c r="B1373" s="242" t="s">
        <v>9405</v>
      </c>
      <c r="C1373" s="242" t="s">
        <v>17854</v>
      </c>
      <c r="D1373" s="251">
        <v>199.33</v>
      </c>
    </row>
    <row r="1374" spans="1:4" x14ac:dyDescent="0.3">
      <c r="A1374" s="242" t="s">
        <v>9280</v>
      </c>
      <c r="B1374" s="242" t="s">
        <v>17855</v>
      </c>
      <c r="C1374" s="242" t="s">
        <v>17856</v>
      </c>
      <c r="D1374" s="251">
        <v>179.33</v>
      </c>
    </row>
    <row r="1375" spans="1:4" x14ac:dyDescent="0.3">
      <c r="A1375" s="242" t="s">
        <v>9339</v>
      </c>
      <c r="B1375" s="242" t="s">
        <v>9340</v>
      </c>
      <c r="C1375" s="242" t="s">
        <v>17857</v>
      </c>
      <c r="D1375" s="251">
        <v>219.33</v>
      </c>
    </row>
    <row r="1376" spans="1:4" x14ac:dyDescent="0.3">
      <c r="A1376" s="242" t="s">
        <v>9406</v>
      </c>
      <c r="B1376" s="242" t="s">
        <v>9407</v>
      </c>
      <c r="C1376" s="242" t="s">
        <v>17858</v>
      </c>
      <c r="D1376" s="251">
        <v>232.67</v>
      </c>
    </row>
    <row r="1377" spans="1:4" x14ac:dyDescent="0.3">
      <c r="A1377" s="242" t="s">
        <v>9599</v>
      </c>
      <c r="B1377" s="242" t="s">
        <v>9600</v>
      </c>
      <c r="C1377" s="242" t="s">
        <v>3403</v>
      </c>
      <c r="D1377" s="251">
        <v>33.99</v>
      </c>
    </row>
    <row r="1378" spans="1:4" x14ac:dyDescent="0.3">
      <c r="A1378" s="242" t="s">
        <v>9601</v>
      </c>
      <c r="B1378" s="242" t="s">
        <v>9602</v>
      </c>
      <c r="C1378" s="242" t="s">
        <v>17859</v>
      </c>
      <c r="D1378" s="251">
        <v>31.33</v>
      </c>
    </row>
    <row r="1379" spans="1:4" x14ac:dyDescent="0.3">
      <c r="A1379" s="242" t="s">
        <v>9775</v>
      </c>
      <c r="B1379" s="242" t="s">
        <v>17860</v>
      </c>
      <c r="C1379" s="242" t="s">
        <v>9774</v>
      </c>
      <c r="D1379" s="251">
        <v>38.659999999999997</v>
      </c>
    </row>
    <row r="1380" spans="1:4" x14ac:dyDescent="0.3">
      <c r="A1380" s="242" t="s">
        <v>9777</v>
      </c>
      <c r="B1380" s="242" t="s">
        <v>17861</v>
      </c>
      <c r="C1380" s="242" t="s">
        <v>17862</v>
      </c>
      <c r="D1380" s="251">
        <v>11.33</v>
      </c>
    </row>
    <row r="1381" spans="1:4" x14ac:dyDescent="0.3">
      <c r="A1381" s="242" t="s">
        <v>9779</v>
      </c>
      <c r="B1381" s="242" t="s">
        <v>17863</v>
      </c>
      <c r="C1381" s="242" t="s">
        <v>17864</v>
      </c>
      <c r="D1381" s="251">
        <v>11.33</v>
      </c>
    </row>
    <row r="1382" spans="1:4" x14ac:dyDescent="0.3">
      <c r="A1382" s="242" t="s">
        <v>9781</v>
      </c>
      <c r="B1382" s="242" t="s">
        <v>17865</v>
      </c>
      <c r="C1382" s="242" t="s">
        <v>17866</v>
      </c>
      <c r="D1382" s="251">
        <v>19.989999999999998</v>
      </c>
    </row>
    <row r="1383" spans="1:4" x14ac:dyDescent="0.3">
      <c r="A1383" s="242" t="s">
        <v>9148</v>
      </c>
      <c r="B1383" s="242" t="s">
        <v>17867</v>
      </c>
      <c r="C1383" s="242" t="s">
        <v>9147</v>
      </c>
      <c r="D1383" s="251">
        <v>20.66</v>
      </c>
    </row>
    <row r="1384" spans="1:4" x14ac:dyDescent="0.3">
      <c r="A1384" s="242" t="s">
        <v>9757</v>
      </c>
      <c r="B1384" s="242" t="s">
        <v>17868</v>
      </c>
      <c r="C1384" s="242" t="s">
        <v>9756</v>
      </c>
      <c r="D1384" s="251">
        <v>11.53</v>
      </c>
    </row>
    <row r="1385" spans="1:4" x14ac:dyDescent="0.3">
      <c r="A1385" s="242" t="s">
        <v>9760</v>
      </c>
      <c r="B1385" s="242" t="s">
        <v>17869</v>
      </c>
      <c r="C1385" s="242" t="s">
        <v>9759</v>
      </c>
      <c r="D1385" s="251">
        <v>41.33</v>
      </c>
    </row>
    <row r="1386" spans="1:4" x14ac:dyDescent="0.3">
      <c r="A1386" s="242" t="s">
        <v>9763</v>
      </c>
      <c r="B1386" s="242" t="s">
        <v>17870</v>
      </c>
      <c r="C1386" s="242" t="s">
        <v>9762</v>
      </c>
      <c r="D1386" s="251">
        <v>86</v>
      </c>
    </row>
    <row r="1387" spans="1:4" x14ac:dyDescent="0.3">
      <c r="A1387" s="242" t="s">
        <v>9766</v>
      </c>
      <c r="B1387" s="242" t="s">
        <v>17871</v>
      </c>
      <c r="C1387" s="242" t="s">
        <v>9765</v>
      </c>
      <c r="D1387" s="251">
        <v>33.33</v>
      </c>
    </row>
    <row r="1388" spans="1:4" x14ac:dyDescent="0.3">
      <c r="A1388" s="242" t="s">
        <v>9661</v>
      </c>
      <c r="B1388" s="242" t="s">
        <v>17872</v>
      </c>
      <c r="C1388" s="242" t="s">
        <v>9660</v>
      </c>
      <c r="D1388" s="251">
        <v>86</v>
      </c>
    </row>
    <row r="1389" spans="1:4" x14ac:dyDescent="0.3">
      <c r="A1389" s="242" t="s">
        <v>9679</v>
      </c>
      <c r="B1389" s="242" t="s">
        <v>17873</v>
      </c>
      <c r="C1389" s="242" t="s">
        <v>9678</v>
      </c>
      <c r="D1389" s="251">
        <v>266</v>
      </c>
    </row>
    <row r="1390" spans="1:4" x14ac:dyDescent="0.3">
      <c r="A1390" s="242" t="s">
        <v>9228</v>
      </c>
      <c r="B1390" s="242" t="s">
        <v>17874</v>
      </c>
      <c r="C1390" s="242" t="s">
        <v>9227</v>
      </c>
      <c r="D1390" s="251">
        <v>33.33</v>
      </c>
    </row>
    <row r="1391" spans="1:4" x14ac:dyDescent="0.3">
      <c r="A1391" s="242" t="s">
        <v>9287</v>
      </c>
      <c r="B1391" s="242" t="s">
        <v>17875</v>
      </c>
      <c r="C1391" s="242" t="s">
        <v>9286</v>
      </c>
      <c r="D1391" s="251">
        <v>36.659999999999997</v>
      </c>
    </row>
    <row r="1392" spans="1:4" x14ac:dyDescent="0.3">
      <c r="A1392" s="242" t="s">
        <v>9347</v>
      </c>
      <c r="B1392" s="242" t="s">
        <v>17876</v>
      </c>
      <c r="C1392" s="242" t="s">
        <v>9346</v>
      </c>
      <c r="D1392" s="251">
        <v>41.33</v>
      </c>
    </row>
    <row r="1393" spans="1:4" x14ac:dyDescent="0.3">
      <c r="A1393" s="242" t="s">
        <v>9231</v>
      </c>
      <c r="B1393" s="242" t="s">
        <v>17877</v>
      </c>
      <c r="C1393" s="242" t="s">
        <v>9230</v>
      </c>
      <c r="D1393" s="251">
        <v>47.33</v>
      </c>
    </row>
    <row r="1394" spans="1:4" x14ac:dyDescent="0.3">
      <c r="A1394" s="242" t="s">
        <v>9290</v>
      </c>
      <c r="B1394" s="242" t="s">
        <v>17878</v>
      </c>
      <c r="C1394" s="242" t="s">
        <v>9289</v>
      </c>
      <c r="D1394" s="251">
        <v>50.66</v>
      </c>
    </row>
    <row r="1395" spans="1:4" x14ac:dyDescent="0.3">
      <c r="A1395" s="242" t="s">
        <v>9222</v>
      </c>
      <c r="B1395" s="242" t="s">
        <v>9223</v>
      </c>
      <c r="C1395" s="242" t="s">
        <v>9221</v>
      </c>
      <c r="D1395" s="251">
        <v>112.67</v>
      </c>
    </row>
    <row r="1396" spans="1:4" x14ac:dyDescent="0.3">
      <c r="A1396" s="242" t="s">
        <v>9350</v>
      </c>
      <c r="B1396" s="242" t="s">
        <v>17879</v>
      </c>
      <c r="C1396" s="242" t="s">
        <v>9349</v>
      </c>
      <c r="D1396" s="251">
        <v>57.99</v>
      </c>
    </row>
    <row r="1397" spans="1:4" x14ac:dyDescent="0.3">
      <c r="A1397" s="242" t="s">
        <v>9284</v>
      </c>
      <c r="B1397" s="242" t="s">
        <v>9285</v>
      </c>
      <c r="C1397" s="242" t="s">
        <v>17880</v>
      </c>
      <c r="D1397" s="251">
        <v>132.66999999999999</v>
      </c>
    </row>
    <row r="1398" spans="1:4" x14ac:dyDescent="0.3">
      <c r="A1398" s="242" t="s">
        <v>9344</v>
      </c>
      <c r="B1398" s="242" t="s">
        <v>9345</v>
      </c>
      <c r="C1398" s="242" t="s">
        <v>17881</v>
      </c>
      <c r="D1398" s="251">
        <v>159.33000000000001</v>
      </c>
    </row>
    <row r="1399" spans="1:4" x14ac:dyDescent="0.3">
      <c r="A1399" s="242" t="s">
        <v>9293</v>
      </c>
      <c r="B1399" s="242" t="s">
        <v>17882</v>
      </c>
      <c r="C1399" s="242" t="s">
        <v>9292</v>
      </c>
      <c r="D1399" s="251">
        <v>15.33</v>
      </c>
    </row>
    <row r="1400" spans="1:4" x14ac:dyDescent="0.3">
      <c r="A1400" s="242" t="s">
        <v>9413</v>
      </c>
      <c r="B1400" s="242" t="s">
        <v>9414</v>
      </c>
      <c r="C1400" s="242" t="s">
        <v>17883</v>
      </c>
      <c r="D1400" s="251">
        <v>172.67</v>
      </c>
    </row>
    <row r="1401" spans="1:4" x14ac:dyDescent="0.3">
      <c r="A1401" s="242" t="s">
        <v>9864</v>
      </c>
      <c r="B1401" s="242" t="s">
        <v>17884</v>
      </c>
      <c r="C1401" s="242" t="s">
        <v>17885</v>
      </c>
      <c r="D1401" s="251">
        <v>41.33</v>
      </c>
    </row>
    <row r="1402" spans="1:4" x14ac:dyDescent="0.3">
      <c r="A1402" s="242" t="s">
        <v>9866</v>
      </c>
      <c r="B1402" s="242" t="s">
        <v>17886</v>
      </c>
      <c r="C1402" s="242" t="s">
        <v>17887</v>
      </c>
      <c r="D1402" s="251">
        <v>31.99</v>
      </c>
    </row>
    <row r="1403" spans="1:4" x14ac:dyDescent="0.3">
      <c r="A1403" s="242" t="s">
        <v>9872</v>
      </c>
      <c r="B1403" s="242" t="s">
        <v>17888</v>
      </c>
      <c r="C1403" s="242" t="s">
        <v>17889</v>
      </c>
      <c r="D1403" s="251">
        <v>43.99</v>
      </c>
    </row>
    <row r="1404" spans="1:4" x14ac:dyDescent="0.3">
      <c r="A1404" s="242" t="s">
        <v>9874</v>
      </c>
      <c r="B1404" s="242" t="s">
        <v>17890</v>
      </c>
      <c r="C1404" s="242" t="s">
        <v>17891</v>
      </c>
      <c r="D1404" s="251">
        <v>37.33</v>
      </c>
    </row>
    <row r="1405" spans="1:4" x14ac:dyDescent="0.3">
      <c r="A1405" s="242" t="s">
        <v>9430</v>
      </c>
      <c r="B1405" s="242" t="s">
        <v>17892</v>
      </c>
      <c r="C1405" s="242" t="s">
        <v>9429</v>
      </c>
      <c r="D1405" s="251">
        <v>49.99</v>
      </c>
    </row>
    <row r="1406" spans="1:4" x14ac:dyDescent="0.3">
      <c r="A1406" s="242" t="s">
        <v>9880</v>
      </c>
      <c r="B1406" s="242" t="s">
        <v>17893</v>
      </c>
      <c r="C1406" s="242" t="s">
        <v>17894</v>
      </c>
      <c r="D1406" s="251">
        <v>17.329999999999998</v>
      </c>
    </row>
    <row r="1407" spans="1:4" x14ac:dyDescent="0.3">
      <c r="A1407" s="242" t="s">
        <v>9433</v>
      </c>
      <c r="B1407" s="242" t="s">
        <v>17895</v>
      </c>
      <c r="C1407" s="242" t="s">
        <v>9432</v>
      </c>
      <c r="D1407" s="251">
        <v>25.33</v>
      </c>
    </row>
    <row r="1408" spans="1:4" x14ac:dyDescent="0.3">
      <c r="A1408" s="242" t="s">
        <v>9868</v>
      </c>
      <c r="B1408" s="242" t="s">
        <v>17896</v>
      </c>
      <c r="C1408" s="242" t="s">
        <v>17897</v>
      </c>
      <c r="D1408" s="251">
        <v>239.33</v>
      </c>
    </row>
    <row r="1409" spans="1:4" x14ac:dyDescent="0.3">
      <c r="A1409" s="242" t="s">
        <v>9436</v>
      </c>
      <c r="B1409" s="242" t="s">
        <v>17898</v>
      </c>
      <c r="C1409" s="242" t="s">
        <v>9435</v>
      </c>
      <c r="D1409" s="251">
        <v>41.33</v>
      </c>
    </row>
    <row r="1410" spans="1:4" x14ac:dyDescent="0.3">
      <c r="A1410" s="242" t="s">
        <v>9876</v>
      </c>
      <c r="B1410" s="242" t="s">
        <v>17899</v>
      </c>
      <c r="C1410" s="242" t="s">
        <v>17900</v>
      </c>
      <c r="D1410" s="251">
        <v>286</v>
      </c>
    </row>
    <row r="1411" spans="1:4" x14ac:dyDescent="0.3">
      <c r="A1411" s="242" t="s">
        <v>9439</v>
      </c>
      <c r="B1411" s="242" t="s">
        <v>17901</v>
      </c>
      <c r="C1411" s="242" t="s">
        <v>9438</v>
      </c>
      <c r="D1411" s="251">
        <v>41.33</v>
      </c>
    </row>
    <row r="1412" spans="1:4" x14ac:dyDescent="0.3">
      <c r="A1412" s="242" t="s">
        <v>9870</v>
      </c>
      <c r="B1412" s="242" t="s">
        <v>17902</v>
      </c>
      <c r="C1412" s="242" t="s">
        <v>17903</v>
      </c>
      <c r="D1412" s="251">
        <v>252.67</v>
      </c>
    </row>
    <row r="1413" spans="1:4" x14ac:dyDescent="0.3">
      <c r="A1413" s="242" t="s">
        <v>9878</v>
      </c>
      <c r="B1413" s="242" t="s">
        <v>17904</v>
      </c>
      <c r="C1413" s="242" t="s">
        <v>17905</v>
      </c>
      <c r="D1413" s="251">
        <v>252.67</v>
      </c>
    </row>
    <row r="1414" spans="1:4" x14ac:dyDescent="0.3">
      <c r="A1414" s="242" t="s">
        <v>9882</v>
      </c>
      <c r="B1414" s="242" t="s">
        <v>9883</v>
      </c>
      <c r="C1414" s="242" t="s">
        <v>17906</v>
      </c>
      <c r="D1414" s="251">
        <v>1.46</v>
      </c>
    </row>
    <row r="1415" spans="1:4" x14ac:dyDescent="0.3">
      <c r="A1415" s="242" t="s">
        <v>9884</v>
      </c>
      <c r="B1415" s="242" t="s">
        <v>17907</v>
      </c>
      <c r="C1415" s="242" t="s">
        <v>17908</v>
      </c>
      <c r="D1415" s="251">
        <v>23.99</v>
      </c>
    </row>
    <row r="1416" spans="1:4" x14ac:dyDescent="0.3">
      <c r="A1416" s="242" t="s">
        <v>9142</v>
      </c>
      <c r="B1416" s="242" t="s">
        <v>17909</v>
      </c>
      <c r="C1416" s="242" t="s">
        <v>9141</v>
      </c>
      <c r="D1416" s="251">
        <v>19.989999999999998</v>
      </c>
    </row>
    <row r="1417" spans="1:4" x14ac:dyDescent="0.3">
      <c r="A1417" s="242" t="s">
        <v>9886</v>
      </c>
      <c r="B1417" s="242" t="s">
        <v>17910</v>
      </c>
      <c r="C1417" s="242" t="s">
        <v>17911</v>
      </c>
      <c r="D1417" s="251">
        <v>112.67</v>
      </c>
    </row>
    <row r="1418" spans="1:4" x14ac:dyDescent="0.3">
      <c r="A1418" s="242" t="s">
        <v>9888</v>
      </c>
      <c r="B1418" s="242" t="s">
        <v>17912</v>
      </c>
      <c r="C1418" s="242" t="s">
        <v>17913</v>
      </c>
      <c r="D1418" s="251">
        <v>166</v>
      </c>
    </row>
    <row r="1419" spans="1:4" x14ac:dyDescent="0.3">
      <c r="A1419" s="242" t="s">
        <v>9967</v>
      </c>
      <c r="B1419" s="242" t="s">
        <v>17914</v>
      </c>
      <c r="C1419" s="242" t="s">
        <v>17915</v>
      </c>
      <c r="D1419" s="251">
        <v>54.66</v>
      </c>
    </row>
    <row r="1420" spans="1:4" x14ac:dyDescent="0.3">
      <c r="A1420" s="242" t="s">
        <v>9850</v>
      </c>
      <c r="B1420" s="242" t="s">
        <v>17916</v>
      </c>
      <c r="C1420" s="242" t="s">
        <v>9849</v>
      </c>
      <c r="D1420" s="251">
        <v>57.99</v>
      </c>
    </row>
    <row r="1421" spans="1:4" x14ac:dyDescent="0.3">
      <c r="A1421" s="242" t="s">
        <v>9961</v>
      </c>
      <c r="B1421" s="242" t="s">
        <v>17917</v>
      </c>
      <c r="C1421" s="242" t="s">
        <v>17918</v>
      </c>
      <c r="D1421" s="251">
        <v>49.99</v>
      </c>
    </row>
    <row r="1422" spans="1:4" x14ac:dyDescent="0.3">
      <c r="A1422" s="242" t="s">
        <v>9145</v>
      </c>
      <c r="B1422" s="242" t="s">
        <v>17919</v>
      </c>
      <c r="C1422" s="242" t="s">
        <v>9144</v>
      </c>
      <c r="D1422" s="251">
        <v>12.59</v>
      </c>
    </row>
    <row r="1423" spans="1:4" x14ac:dyDescent="0.3">
      <c r="A1423" s="242" t="s">
        <v>9969</v>
      </c>
      <c r="B1423" s="242" t="s">
        <v>17920</v>
      </c>
      <c r="C1423" s="242" t="s">
        <v>17921</v>
      </c>
      <c r="D1423" s="251">
        <v>22.66</v>
      </c>
    </row>
    <row r="1424" spans="1:4" x14ac:dyDescent="0.3">
      <c r="A1424" s="242" t="s">
        <v>9187</v>
      </c>
      <c r="B1424" s="242" t="s">
        <v>17922</v>
      </c>
      <c r="C1424" s="242" t="s">
        <v>9186</v>
      </c>
      <c r="D1424" s="251">
        <v>39.33</v>
      </c>
    </row>
    <row r="1425" spans="1:4" x14ac:dyDescent="0.3">
      <c r="A1425" s="242" t="s">
        <v>9963</v>
      </c>
      <c r="B1425" s="242" t="s">
        <v>17923</v>
      </c>
      <c r="C1425" s="242" t="s">
        <v>17924</v>
      </c>
      <c r="D1425" s="251">
        <v>22.66</v>
      </c>
    </row>
    <row r="1426" spans="1:4" x14ac:dyDescent="0.3">
      <c r="A1426" s="242" t="s">
        <v>9190</v>
      </c>
      <c r="B1426" s="242" t="s">
        <v>17925</v>
      </c>
      <c r="C1426" s="242" t="s">
        <v>9189</v>
      </c>
      <c r="D1426" s="251">
        <v>39.33</v>
      </c>
    </row>
    <row r="1427" spans="1:4" x14ac:dyDescent="0.3">
      <c r="A1427" s="242" t="s">
        <v>9971</v>
      </c>
      <c r="B1427" s="242" t="s">
        <v>17926</v>
      </c>
      <c r="C1427" s="242" t="s">
        <v>17927</v>
      </c>
      <c r="D1427" s="251">
        <v>15.33</v>
      </c>
    </row>
    <row r="1428" spans="1:4" x14ac:dyDescent="0.3">
      <c r="A1428" s="242" t="s">
        <v>9193</v>
      </c>
      <c r="B1428" s="242" t="s">
        <v>17928</v>
      </c>
      <c r="C1428" s="242" t="s">
        <v>9192</v>
      </c>
      <c r="D1428" s="251">
        <v>34.659999999999997</v>
      </c>
    </row>
    <row r="1429" spans="1:4" x14ac:dyDescent="0.3">
      <c r="A1429" s="242" t="s">
        <v>9965</v>
      </c>
      <c r="B1429" s="242" t="s">
        <v>17929</v>
      </c>
      <c r="C1429" s="242" t="s">
        <v>17930</v>
      </c>
      <c r="D1429" s="251">
        <v>15.33</v>
      </c>
    </row>
    <row r="1430" spans="1:4" x14ac:dyDescent="0.3">
      <c r="A1430" s="242" t="s">
        <v>9205</v>
      </c>
      <c r="B1430" s="242" t="s">
        <v>17931</v>
      </c>
      <c r="C1430" s="242" t="s">
        <v>9204</v>
      </c>
      <c r="D1430" s="251">
        <v>199.33</v>
      </c>
    </row>
    <row r="1431" spans="1:4" x14ac:dyDescent="0.3">
      <c r="A1431" s="242" t="s">
        <v>9196</v>
      </c>
      <c r="B1431" s="242" t="s">
        <v>17932</v>
      </c>
      <c r="C1431" s="242" t="s">
        <v>9195</v>
      </c>
      <c r="D1431" s="251">
        <v>166</v>
      </c>
    </row>
    <row r="1432" spans="1:4" x14ac:dyDescent="0.3">
      <c r="A1432" s="242" t="s">
        <v>9910</v>
      </c>
      <c r="B1432" s="242" t="s">
        <v>9911</v>
      </c>
      <c r="C1432" s="242" t="s">
        <v>17933</v>
      </c>
      <c r="D1432" s="251">
        <v>419.33</v>
      </c>
    </row>
    <row r="1433" spans="1:4" x14ac:dyDescent="0.3">
      <c r="A1433" s="242" t="s">
        <v>9240</v>
      </c>
      <c r="B1433" s="242" t="s">
        <v>17934</v>
      </c>
      <c r="C1433" s="242" t="s">
        <v>9239</v>
      </c>
      <c r="D1433" s="251">
        <v>47.33</v>
      </c>
    </row>
    <row r="1434" spans="1:4" x14ac:dyDescent="0.3">
      <c r="A1434" s="242" t="s">
        <v>9246</v>
      </c>
      <c r="B1434" s="242" t="s">
        <v>17935</v>
      </c>
      <c r="C1434" s="242" t="s">
        <v>9245</v>
      </c>
      <c r="D1434" s="251">
        <v>32.659999999999997</v>
      </c>
    </row>
    <row r="1435" spans="1:4" x14ac:dyDescent="0.3">
      <c r="A1435" s="242" t="s">
        <v>9923</v>
      </c>
      <c r="B1435" s="242" t="s">
        <v>9924</v>
      </c>
      <c r="C1435" s="242" t="s">
        <v>17936</v>
      </c>
      <c r="D1435" s="251">
        <v>539.33000000000004</v>
      </c>
    </row>
    <row r="1436" spans="1:4" x14ac:dyDescent="0.3">
      <c r="A1436" s="242" t="s">
        <v>9933</v>
      </c>
      <c r="B1436" s="242" t="s">
        <v>9934</v>
      </c>
      <c r="C1436" s="242" t="s">
        <v>17937</v>
      </c>
      <c r="D1436" s="251">
        <v>619.33000000000004</v>
      </c>
    </row>
    <row r="1437" spans="1:4" x14ac:dyDescent="0.3">
      <c r="A1437" s="242" t="s">
        <v>9935</v>
      </c>
      <c r="B1437" s="242" t="s">
        <v>9936</v>
      </c>
      <c r="C1437" s="242" t="s">
        <v>17938</v>
      </c>
      <c r="D1437" s="251">
        <v>619.33000000000004</v>
      </c>
    </row>
    <row r="1438" spans="1:4" x14ac:dyDescent="0.3">
      <c r="A1438" s="242" t="s">
        <v>9299</v>
      </c>
      <c r="B1438" s="242" t="s">
        <v>17939</v>
      </c>
      <c r="C1438" s="242" t="s">
        <v>9298</v>
      </c>
      <c r="D1438" s="251">
        <v>50.66</v>
      </c>
    </row>
    <row r="1439" spans="1:4" x14ac:dyDescent="0.3">
      <c r="A1439" s="242" t="s">
        <v>9915</v>
      </c>
      <c r="B1439" s="242" t="s">
        <v>9916</v>
      </c>
      <c r="C1439" s="242" t="s">
        <v>17940</v>
      </c>
      <c r="D1439" s="251">
        <v>446</v>
      </c>
    </row>
    <row r="1440" spans="1:4" x14ac:dyDescent="0.3">
      <c r="A1440" s="242" t="s">
        <v>9305</v>
      </c>
      <c r="B1440" s="242" t="s">
        <v>17941</v>
      </c>
      <c r="C1440" s="242" t="s">
        <v>9304</v>
      </c>
      <c r="D1440" s="251">
        <v>33.99</v>
      </c>
    </row>
    <row r="1441" spans="1:4" x14ac:dyDescent="0.3">
      <c r="A1441" s="242" t="s">
        <v>9917</v>
      </c>
      <c r="B1441" s="242" t="s">
        <v>9918</v>
      </c>
      <c r="C1441" s="242" t="s">
        <v>17942</v>
      </c>
      <c r="D1441" s="251">
        <v>446</v>
      </c>
    </row>
    <row r="1442" spans="1:4" x14ac:dyDescent="0.3">
      <c r="A1442" s="242" t="s">
        <v>9925</v>
      </c>
      <c r="B1442" s="242" t="s">
        <v>9926</v>
      </c>
      <c r="C1442" s="242" t="s">
        <v>17943</v>
      </c>
      <c r="D1442" s="251">
        <v>566</v>
      </c>
    </row>
    <row r="1443" spans="1:4" x14ac:dyDescent="0.3">
      <c r="A1443" s="242" t="s">
        <v>9927</v>
      </c>
      <c r="B1443" s="242" t="s">
        <v>9928</v>
      </c>
      <c r="C1443" s="242" t="s">
        <v>17944</v>
      </c>
      <c r="D1443" s="251">
        <v>566</v>
      </c>
    </row>
    <row r="1444" spans="1:4" x14ac:dyDescent="0.3">
      <c r="A1444" s="242" t="s">
        <v>9929</v>
      </c>
      <c r="B1444" s="242" t="s">
        <v>9930</v>
      </c>
      <c r="C1444" s="242" t="s">
        <v>17945</v>
      </c>
      <c r="D1444" s="251">
        <v>566</v>
      </c>
    </row>
    <row r="1445" spans="1:4" x14ac:dyDescent="0.3">
      <c r="A1445" s="242" t="s">
        <v>9358</v>
      </c>
      <c r="B1445" s="242" t="s">
        <v>17946</v>
      </c>
      <c r="C1445" s="242" t="s">
        <v>9357</v>
      </c>
      <c r="D1445" s="251">
        <v>57.99</v>
      </c>
    </row>
    <row r="1446" spans="1:4" x14ac:dyDescent="0.3">
      <c r="A1446" s="242" t="s">
        <v>9939</v>
      </c>
      <c r="B1446" s="242" t="s">
        <v>9940</v>
      </c>
      <c r="C1446" s="242" t="s">
        <v>17947</v>
      </c>
      <c r="D1446" s="251">
        <v>652.66999999999996</v>
      </c>
    </row>
    <row r="1447" spans="1:4" x14ac:dyDescent="0.3">
      <c r="A1447" s="242" t="s">
        <v>9364</v>
      </c>
      <c r="B1447" s="242" t="s">
        <v>17948</v>
      </c>
      <c r="C1447" s="242" t="s">
        <v>9363</v>
      </c>
      <c r="D1447" s="251">
        <v>37.99</v>
      </c>
    </row>
    <row r="1448" spans="1:4" x14ac:dyDescent="0.3">
      <c r="A1448" s="242" t="s">
        <v>9941</v>
      </c>
      <c r="B1448" s="242" t="s">
        <v>9942</v>
      </c>
      <c r="C1448" s="242" t="s">
        <v>17949</v>
      </c>
      <c r="D1448" s="251">
        <v>652.66999999999996</v>
      </c>
    </row>
    <row r="1449" spans="1:4" x14ac:dyDescent="0.3">
      <c r="A1449" s="242" t="s">
        <v>9637</v>
      </c>
      <c r="B1449" s="242" t="s">
        <v>17950</v>
      </c>
      <c r="C1449" s="242" t="s">
        <v>9636</v>
      </c>
      <c r="D1449" s="251">
        <v>65.989999999999995</v>
      </c>
    </row>
    <row r="1450" spans="1:4" x14ac:dyDescent="0.3">
      <c r="A1450" s="242" t="s">
        <v>9646</v>
      </c>
      <c r="B1450" s="242" t="s">
        <v>17951</v>
      </c>
      <c r="C1450" s="242" t="s">
        <v>9645</v>
      </c>
      <c r="D1450" s="251">
        <v>47.33</v>
      </c>
    </row>
    <row r="1451" spans="1:4" x14ac:dyDescent="0.3">
      <c r="A1451" s="242" t="s">
        <v>9649</v>
      </c>
      <c r="B1451" s="242" t="s">
        <v>17952</v>
      </c>
      <c r="C1451" s="242" t="s">
        <v>9648</v>
      </c>
      <c r="D1451" s="251">
        <v>57.99</v>
      </c>
    </row>
    <row r="1452" spans="1:4" x14ac:dyDescent="0.3">
      <c r="A1452" s="242" t="s">
        <v>9652</v>
      </c>
      <c r="B1452" s="242" t="s">
        <v>17953</v>
      </c>
      <c r="C1452" s="242" t="s">
        <v>9651</v>
      </c>
      <c r="D1452" s="251">
        <v>63.33</v>
      </c>
    </row>
    <row r="1453" spans="1:4" x14ac:dyDescent="0.3">
      <c r="A1453" s="242" t="s">
        <v>9655</v>
      </c>
      <c r="B1453" s="242" t="s">
        <v>17954</v>
      </c>
      <c r="C1453" s="242" t="s">
        <v>9654</v>
      </c>
      <c r="D1453" s="251">
        <v>72.67</v>
      </c>
    </row>
    <row r="1454" spans="1:4" x14ac:dyDescent="0.3">
      <c r="A1454" s="242" t="s">
        <v>9658</v>
      </c>
      <c r="B1454" s="242" t="s">
        <v>17955</v>
      </c>
      <c r="C1454" s="242" t="s">
        <v>9657</v>
      </c>
      <c r="D1454" s="251">
        <v>63.33</v>
      </c>
    </row>
    <row r="1455" spans="1:4" x14ac:dyDescent="0.3">
      <c r="A1455" s="242" t="s">
        <v>9682</v>
      </c>
      <c r="B1455" s="242" t="s">
        <v>17956</v>
      </c>
      <c r="C1455" s="242" t="s">
        <v>9681</v>
      </c>
      <c r="D1455" s="251">
        <v>39.33</v>
      </c>
    </row>
    <row r="1456" spans="1:4" x14ac:dyDescent="0.3">
      <c r="A1456" s="242" t="s">
        <v>9685</v>
      </c>
      <c r="B1456" s="242" t="s">
        <v>17957</v>
      </c>
      <c r="C1456" s="242" t="s">
        <v>9684</v>
      </c>
      <c r="D1456" s="251">
        <v>17.329999999999998</v>
      </c>
    </row>
    <row r="1457" spans="1:4" x14ac:dyDescent="0.3">
      <c r="A1457" s="242" t="s">
        <v>9715</v>
      </c>
      <c r="B1457" s="242" t="s">
        <v>17958</v>
      </c>
      <c r="C1457" s="242" t="s">
        <v>9714</v>
      </c>
      <c r="D1457" s="251">
        <v>63.33</v>
      </c>
    </row>
    <row r="1458" spans="1:4" x14ac:dyDescent="0.3">
      <c r="A1458" s="242" t="s">
        <v>9718</v>
      </c>
      <c r="B1458" s="242" t="s">
        <v>17959</v>
      </c>
      <c r="C1458" s="242" t="s">
        <v>9717</v>
      </c>
      <c r="D1458" s="251">
        <v>72.67</v>
      </c>
    </row>
    <row r="1459" spans="1:4" x14ac:dyDescent="0.3">
      <c r="A1459" s="242" t="s">
        <v>9721</v>
      </c>
      <c r="B1459" s="242" t="s">
        <v>17960</v>
      </c>
      <c r="C1459" s="242" t="s">
        <v>9720</v>
      </c>
      <c r="D1459" s="251">
        <v>79.33</v>
      </c>
    </row>
    <row r="1460" spans="1:4" x14ac:dyDescent="0.3">
      <c r="A1460" s="242" t="s">
        <v>7606</v>
      </c>
      <c r="B1460" s="242" t="s">
        <v>17961</v>
      </c>
      <c r="C1460" s="242" t="s">
        <v>7605</v>
      </c>
      <c r="D1460" s="251">
        <v>172.67</v>
      </c>
    </row>
    <row r="1461" spans="1:4" x14ac:dyDescent="0.3">
      <c r="A1461" s="242" t="s">
        <v>17962</v>
      </c>
      <c r="B1461" s="242" t="s">
        <v>17963</v>
      </c>
      <c r="C1461" s="242" t="s">
        <v>17964</v>
      </c>
      <c r="D1461" s="251">
        <v>199.33</v>
      </c>
    </row>
    <row r="1462" spans="1:4" x14ac:dyDescent="0.3">
      <c r="A1462" s="242" t="s">
        <v>17965</v>
      </c>
      <c r="B1462" s="242" t="s">
        <v>17966</v>
      </c>
      <c r="C1462" s="242" t="s">
        <v>17967</v>
      </c>
      <c r="D1462" s="251">
        <v>232.67</v>
      </c>
    </row>
    <row r="1463" spans="1:4" x14ac:dyDescent="0.3">
      <c r="A1463" s="242" t="s">
        <v>13117</v>
      </c>
      <c r="B1463" s="242" t="s">
        <v>17968</v>
      </c>
      <c r="C1463" s="242" t="s">
        <v>13116</v>
      </c>
      <c r="D1463" s="251">
        <v>52.66</v>
      </c>
    </row>
    <row r="1464" spans="1:4" x14ac:dyDescent="0.3">
      <c r="A1464" s="242" t="s">
        <v>17969</v>
      </c>
      <c r="B1464" s="242" t="s">
        <v>17970</v>
      </c>
      <c r="C1464" s="242" t="s">
        <v>17971</v>
      </c>
      <c r="D1464" s="251">
        <v>252.67</v>
      </c>
    </row>
    <row r="1465" spans="1:4" x14ac:dyDescent="0.3">
      <c r="A1465" s="242" t="s">
        <v>17972</v>
      </c>
      <c r="B1465" s="242" t="s">
        <v>17973</v>
      </c>
      <c r="C1465" s="242" t="s">
        <v>17974</v>
      </c>
      <c r="D1465" s="251">
        <v>446</v>
      </c>
    </row>
    <row r="1466" spans="1:4" x14ac:dyDescent="0.3">
      <c r="A1466" s="242" t="s">
        <v>17975</v>
      </c>
      <c r="B1466" s="242" t="s">
        <v>17976</v>
      </c>
      <c r="C1466" s="242" t="s">
        <v>17977</v>
      </c>
      <c r="D1466" s="251">
        <v>566</v>
      </c>
    </row>
    <row r="1467" spans="1:4" x14ac:dyDescent="0.3">
      <c r="A1467" s="242" t="s">
        <v>17978</v>
      </c>
      <c r="B1467" s="242" t="s">
        <v>17979</v>
      </c>
      <c r="C1467" s="242" t="s">
        <v>17980</v>
      </c>
      <c r="D1467" s="251">
        <v>652.66999999999996</v>
      </c>
    </row>
    <row r="1468" spans="1:4" x14ac:dyDescent="0.3">
      <c r="A1468" s="242" t="s">
        <v>17981</v>
      </c>
      <c r="B1468" s="242" t="s">
        <v>17982</v>
      </c>
      <c r="C1468" s="242" t="s">
        <v>17983</v>
      </c>
      <c r="D1468" s="251">
        <v>366</v>
      </c>
    </row>
    <row r="1469" spans="1:4" x14ac:dyDescent="0.3">
      <c r="A1469" s="242" t="s">
        <v>17984</v>
      </c>
      <c r="B1469" s="242" t="s">
        <v>17531</v>
      </c>
      <c r="C1469" s="242" t="s">
        <v>17985</v>
      </c>
      <c r="D1469" s="251">
        <v>699.33</v>
      </c>
    </row>
    <row r="1470" spans="1:4" x14ac:dyDescent="0.3">
      <c r="A1470" s="242" t="s">
        <v>10884</v>
      </c>
      <c r="B1470" s="242" t="s">
        <v>17986</v>
      </c>
      <c r="C1470" s="242" t="s">
        <v>10883</v>
      </c>
      <c r="D1470" s="251">
        <v>8.26</v>
      </c>
    </row>
    <row r="1471" spans="1:4" x14ac:dyDescent="0.3">
      <c r="A1471" s="242" t="s">
        <v>10914</v>
      </c>
      <c r="B1471" s="242" t="s">
        <v>17987</v>
      </c>
      <c r="C1471" s="242" t="s">
        <v>10913</v>
      </c>
      <c r="D1471" s="251">
        <v>41.33</v>
      </c>
    </row>
    <row r="1472" spans="1:4" x14ac:dyDescent="0.3">
      <c r="A1472" s="242" t="s">
        <v>10958</v>
      </c>
      <c r="B1472" s="242" t="s">
        <v>17988</v>
      </c>
      <c r="C1472" s="242" t="s">
        <v>10957</v>
      </c>
      <c r="D1472" s="251">
        <v>13.19</v>
      </c>
    </row>
    <row r="1473" spans="1:4" x14ac:dyDescent="0.3">
      <c r="A1473" s="242" t="s">
        <v>10964</v>
      </c>
      <c r="B1473" s="242" t="s">
        <v>17989</v>
      </c>
      <c r="C1473" s="242" t="s">
        <v>10963</v>
      </c>
      <c r="D1473" s="251">
        <v>33.33</v>
      </c>
    </row>
    <row r="1474" spans="1:4" x14ac:dyDescent="0.3">
      <c r="A1474" s="242" t="s">
        <v>10982</v>
      </c>
      <c r="B1474" s="242" t="s">
        <v>17990</v>
      </c>
      <c r="C1474" s="242" t="s">
        <v>10981</v>
      </c>
      <c r="D1474" s="251">
        <v>4.99</v>
      </c>
    </row>
    <row r="1475" spans="1:4" x14ac:dyDescent="0.3">
      <c r="A1475" s="242" t="s">
        <v>10991</v>
      </c>
      <c r="B1475" s="242" t="s">
        <v>17991</v>
      </c>
      <c r="C1475" s="242" t="s">
        <v>10990</v>
      </c>
      <c r="D1475" s="251">
        <v>21.99</v>
      </c>
    </row>
    <row r="1476" spans="1:4" x14ac:dyDescent="0.3">
      <c r="A1476" s="242" t="s">
        <v>11009</v>
      </c>
      <c r="B1476" s="242" t="s">
        <v>17992</v>
      </c>
      <c r="C1476" s="242" t="s">
        <v>11008</v>
      </c>
      <c r="D1476" s="251">
        <v>19.989999999999998</v>
      </c>
    </row>
    <row r="1477" spans="1:4" x14ac:dyDescent="0.3">
      <c r="A1477" s="242" t="s">
        <v>11012</v>
      </c>
      <c r="B1477" s="242" t="s">
        <v>11013</v>
      </c>
      <c r="C1477" s="242" t="s">
        <v>11011</v>
      </c>
      <c r="D1477" s="251">
        <v>53.99</v>
      </c>
    </row>
    <row r="1478" spans="1:4" x14ac:dyDescent="0.3">
      <c r="A1478" s="242" t="s">
        <v>11018</v>
      </c>
      <c r="B1478" s="242" t="s">
        <v>17993</v>
      </c>
      <c r="C1478" s="242" t="s">
        <v>11017</v>
      </c>
      <c r="D1478" s="251">
        <v>38.659999999999997</v>
      </c>
    </row>
    <row r="1479" spans="1:4" x14ac:dyDescent="0.3">
      <c r="A1479" s="242" t="s">
        <v>11024</v>
      </c>
      <c r="B1479" s="242" t="s">
        <v>17994</v>
      </c>
      <c r="C1479" s="242" t="s">
        <v>11023</v>
      </c>
      <c r="D1479" s="251">
        <v>19.989999999999998</v>
      </c>
    </row>
    <row r="1480" spans="1:4" x14ac:dyDescent="0.3">
      <c r="A1480" s="242" t="s">
        <v>11042</v>
      </c>
      <c r="B1480" s="242" t="s">
        <v>17950</v>
      </c>
      <c r="C1480" s="242" t="s">
        <v>11041</v>
      </c>
      <c r="D1480" s="251">
        <v>65.989999999999995</v>
      </c>
    </row>
    <row r="1481" spans="1:4" x14ac:dyDescent="0.3">
      <c r="A1481" s="242" t="s">
        <v>11051</v>
      </c>
      <c r="B1481" s="242" t="s">
        <v>17995</v>
      </c>
      <c r="C1481" s="242" t="s">
        <v>11050</v>
      </c>
      <c r="D1481" s="251">
        <v>99.33</v>
      </c>
    </row>
    <row r="1482" spans="1:4" x14ac:dyDescent="0.3">
      <c r="A1482" s="242" t="s">
        <v>11054</v>
      </c>
      <c r="B1482" s="242" t="s">
        <v>17996</v>
      </c>
      <c r="C1482" s="242" t="s">
        <v>11053</v>
      </c>
      <c r="D1482" s="251">
        <v>86</v>
      </c>
    </row>
    <row r="1483" spans="1:4" x14ac:dyDescent="0.3">
      <c r="A1483" s="242" t="s">
        <v>11060</v>
      </c>
      <c r="B1483" s="242" t="s">
        <v>17997</v>
      </c>
      <c r="C1483" s="242" t="s">
        <v>11059</v>
      </c>
      <c r="D1483" s="251">
        <v>119.33</v>
      </c>
    </row>
    <row r="1484" spans="1:4" x14ac:dyDescent="0.3">
      <c r="A1484" s="242" t="s">
        <v>11105</v>
      </c>
      <c r="B1484" s="242" t="s">
        <v>17998</v>
      </c>
      <c r="C1484" s="242" t="s">
        <v>11104</v>
      </c>
      <c r="D1484" s="251">
        <v>25.33</v>
      </c>
    </row>
    <row r="1485" spans="1:4" x14ac:dyDescent="0.3">
      <c r="A1485" s="242" t="s">
        <v>11108</v>
      </c>
      <c r="B1485" s="242" t="s">
        <v>17999</v>
      </c>
      <c r="C1485" s="242" t="s">
        <v>11107</v>
      </c>
      <c r="D1485" s="251">
        <v>25.33</v>
      </c>
    </row>
    <row r="1486" spans="1:4" x14ac:dyDescent="0.3">
      <c r="A1486" s="242" t="s">
        <v>11111</v>
      </c>
      <c r="B1486" s="242" t="s">
        <v>18000</v>
      </c>
      <c r="C1486" s="242" t="s">
        <v>11110</v>
      </c>
      <c r="D1486" s="251">
        <v>65.989999999999995</v>
      </c>
    </row>
    <row r="1487" spans="1:4" x14ac:dyDescent="0.3">
      <c r="A1487" s="242" t="s">
        <v>11132</v>
      </c>
      <c r="B1487" s="242" t="s">
        <v>18001</v>
      </c>
      <c r="C1487" s="242" t="s">
        <v>11131</v>
      </c>
      <c r="D1487" s="251">
        <v>17.989999999999998</v>
      </c>
    </row>
    <row r="1488" spans="1:4" x14ac:dyDescent="0.3">
      <c r="A1488" s="242" t="s">
        <v>11135</v>
      </c>
      <c r="B1488" s="242" t="s">
        <v>18002</v>
      </c>
      <c r="C1488" s="242" t="s">
        <v>11134</v>
      </c>
      <c r="D1488" s="251">
        <v>41.33</v>
      </c>
    </row>
    <row r="1489" spans="1:4" x14ac:dyDescent="0.3">
      <c r="A1489" s="242" t="s">
        <v>11138</v>
      </c>
      <c r="B1489" s="242" t="s">
        <v>18003</v>
      </c>
      <c r="C1489" s="242" t="s">
        <v>11137</v>
      </c>
      <c r="D1489" s="251">
        <v>49.99</v>
      </c>
    </row>
    <row r="1490" spans="1:4" x14ac:dyDescent="0.3">
      <c r="A1490" s="242" t="s">
        <v>11141</v>
      </c>
      <c r="B1490" s="242" t="s">
        <v>18004</v>
      </c>
      <c r="C1490" s="242" t="s">
        <v>11140</v>
      </c>
      <c r="D1490" s="251">
        <v>57.99</v>
      </c>
    </row>
    <row r="1491" spans="1:4" x14ac:dyDescent="0.3">
      <c r="A1491" s="242" t="s">
        <v>7800</v>
      </c>
      <c r="B1491" s="242" t="s">
        <v>18005</v>
      </c>
      <c r="C1491" s="242" t="s">
        <v>7799</v>
      </c>
      <c r="D1491" s="251">
        <v>16.66</v>
      </c>
    </row>
    <row r="1492" spans="1:4" x14ac:dyDescent="0.3">
      <c r="A1492" s="242" t="s">
        <v>11150</v>
      </c>
      <c r="B1492" s="242" t="s">
        <v>18006</v>
      </c>
      <c r="C1492" s="242" t="s">
        <v>11149</v>
      </c>
      <c r="D1492" s="251">
        <v>52.66</v>
      </c>
    </row>
    <row r="1493" spans="1:4" x14ac:dyDescent="0.3">
      <c r="A1493" s="242" t="s">
        <v>7803</v>
      </c>
      <c r="B1493" s="242" t="s">
        <v>18007</v>
      </c>
      <c r="C1493" s="242" t="s">
        <v>7802</v>
      </c>
      <c r="D1493" s="251">
        <v>19.989999999999998</v>
      </c>
    </row>
    <row r="1494" spans="1:4" x14ac:dyDescent="0.3">
      <c r="A1494" s="242" t="s">
        <v>11153</v>
      </c>
      <c r="B1494" s="242" t="s">
        <v>18008</v>
      </c>
      <c r="C1494" s="242" t="s">
        <v>11152</v>
      </c>
      <c r="D1494" s="251">
        <v>16.66</v>
      </c>
    </row>
    <row r="1495" spans="1:4" x14ac:dyDescent="0.3">
      <c r="A1495" s="242" t="s">
        <v>11159</v>
      </c>
      <c r="B1495" s="242" t="s">
        <v>18009</v>
      </c>
      <c r="C1495" s="242" t="s">
        <v>11158</v>
      </c>
      <c r="D1495" s="251">
        <v>16.66</v>
      </c>
    </row>
    <row r="1496" spans="1:4" x14ac:dyDescent="0.3">
      <c r="A1496" s="242" t="s">
        <v>11162</v>
      </c>
      <c r="B1496" s="242" t="s">
        <v>18010</v>
      </c>
      <c r="C1496" s="242" t="s">
        <v>11161</v>
      </c>
      <c r="D1496" s="251">
        <v>16.66</v>
      </c>
    </row>
    <row r="1497" spans="1:4" x14ac:dyDescent="0.3">
      <c r="A1497" s="242" t="s">
        <v>7812</v>
      </c>
      <c r="B1497" s="242" t="s">
        <v>18011</v>
      </c>
      <c r="C1497" s="242" t="s">
        <v>7811</v>
      </c>
      <c r="D1497" s="251">
        <v>99.33</v>
      </c>
    </row>
    <row r="1498" spans="1:4" x14ac:dyDescent="0.3">
      <c r="A1498" s="242" t="s">
        <v>7815</v>
      </c>
      <c r="B1498" s="242" t="s">
        <v>18012</v>
      </c>
      <c r="C1498" s="242" t="s">
        <v>7814</v>
      </c>
      <c r="D1498" s="251">
        <v>139.33000000000001</v>
      </c>
    </row>
    <row r="1499" spans="1:4" x14ac:dyDescent="0.3">
      <c r="A1499" s="242" t="s">
        <v>7818</v>
      </c>
      <c r="B1499" s="242" t="s">
        <v>18013</v>
      </c>
      <c r="C1499" s="242" t="s">
        <v>7817</v>
      </c>
      <c r="D1499" s="251">
        <v>119.33</v>
      </c>
    </row>
    <row r="1500" spans="1:4" x14ac:dyDescent="0.3">
      <c r="A1500" s="242" t="s">
        <v>7821</v>
      </c>
      <c r="B1500" s="242" t="s">
        <v>18014</v>
      </c>
      <c r="C1500" s="242" t="s">
        <v>7820</v>
      </c>
      <c r="D1500" s="251">
        <v>172.67</v>
      </c>
    </row>
    <row r="1501" spans="1:4" x14ac:dyDescent="0.3">
      <c r="A1501" s="242" t="s">
        <v>7824</v>
      </c>
      <c r="B1501" s="242" t="s">
        <v>18015</v>
      </c>
      <c r="C1501" s="242" t="s">
        <v>7823</v>
      </c>
      <c r="D1501" s="251">
        <v>79.33</v>
      </c>
    </row>
    <row r="1502" spans="1:4" x14ac:dyDescent="0.3">
      <c r="A1502" s="242" t="s">
        <v>7827</v>
      </c>
      <c r="B1502" s="242" t="s">
        <v>18016</v>
      </c>
      <c r="C1502" s="242" t="s">
        <v>7826</v>
      </c>
      <c r="D1502" s="251">
        <v>106</v>
      </c>
    </row>
    <row r="1503" spans="1:4" x14ac:dyDescent="0.3">
      <c r="A1503" s="242" t="s">
        <v>7830</v>
      </c>
      <c r="B1503" s="242" t="s">
        <v>18017</v>
      </c>
      <c r="C1503" s="242" t="s">
        <v>7829</v>
      </c>
      <c r="D1503" s="251">
        <v>132.66999999999999</v>
      </c>
    </row>
    <row r="1504" spans="1:4" x14ac:dyDescent="0.3">
      <c r="A1504" s="242" t="s">
        <v>7836</v>
      </c>
      <c r="B1504" s="242" t="s">
        <v>18018</v>
      </c>
      <c r="C1504" s="242" t="s">
        <v>7835</v>
      </c>
      <c r="D1504" s="251">
        <v>146</v>
      </c>
    </row>
    <row r="1505" spans="1:4" x14ac:dyDescent="0.3">
      <c r="A1505" s="242" t="s">
        <v>18019</v>
      </c>
      <c r="B1505" s="242" t="s">
        <v>18020</v>
      </c>
      <c r="C1505" s="242" t="s">
        <v>18021</v>
      </c>
      <c r="D1505" s="251">
        <v>286</v>
      </c>
    </row>
    <row r="1506" spans="1:4" x14ac:dyDescent="0.3">
      <c r="A1506" s="242" t="s">
        <v>18022</v>
      </c>
      <c r="B1506" s="242" t="s">
        <v>18023</v>
      </c>
      <c r="C1506" s="242" t="s">
        <v>18024</v>
      </c>
      <c r="D1506" s="251">
        <v>86</v>
      </c>
    </row>
    <row r="1507" spans="1:4" x14ac:dyDescent="0.3">
      <c r="A1507" s="242" t="s">
        <v>18025</v>
      </c>
      <c r="B1507" s="242" t="s">
        <v>18026</v>
      </c>
      <c r="C1507" s="242" t="s">
        <v>18027</v>
      </c>
      <c r="D1507" s="251">
        <v>106</v>
      </c>
    </row>
    <row r="1508" spans="1:4" x14ac:dyDescent="0.3">
      <c r="A1508" s="242" t="s">
        <v>18028</v>
      </c>
      <c r="B1508" s="242" t="s">
        <v>18029</v>
      </c>
      <c r="C1508" s="242" t="s">
        <v>18030</v>
      </c>
      <c r="D1508" s="251">
        <v>106</v>
      </c>
    </row>
    <row r="1509" spans="1:4" x14ac:dyDescent="0.3">
      <c r="A1509" s="242" t="s">
        <v>18031</v>
      </c>
      <c r="B1509" s="242" t="s">
        <v>18032</v>
      </c>
      <c r="C1509" s="242" t="s">
        <v>18033</v>
      </c>
      <c r="D1509" s="251">
        <v>11.19</v>
      </c>
    </row>
    <row r="1510" spans="1:4" x14ac:dyDescent="0.3">
      <c r="A1510" s="242" t="s">
        <v>18034</v>
      </c>
      <c r="B1510" s="242" t="s">
        <v>18035</v>
      </c>
      <c r="C1510" s="242" t="s">
        <v>18036</v>
      </c>
      <c r="D1510" s="251">
        <v>17.329999999999998</v>
      </c>
    </row>
    <row r="1511" spans="1:4" x14ac:dyDescent="0.3">
      <c r="A1511" s="242" t="s">
        <v>18037</v>
      </c>
      <c r="B1511" s="242" t="s">
        <v>18038</v>
      </c>
      <c r="C1511" s="242" t="s">
        <v>18039</v>
      </c>
      <c r="D1511" s="251">
        <v>18.66</v>
      </c>
    </row>
    <row r="1512" spans="1:4" x14ac:dyDescent="0.3">
      <c r="A1512" s="242" t="s">
        <v>18040</v>
      </c>
      <c r="B1512" s="242" t="s">
        <v>18041</v>
      </c>
      <c r="C1512" s="242" t="s">
        <v>18042</v>
      </c>
      <c r="D1512" s="251">
        <v>9.93</v>
      </c>
    </row>
    <row r="1513" spans="1:4" x14ac:dyDescent="0.3">
      <c r="A1513" s="242" t="s">
        <v>18043</v>
      </c>
      <c r="B1513" s="242" t="s">
        <v>18044</v>
      </c>
      <c r="C1513" s="242" t="s">
        <v>18045</v>
      </c>
      <c r="D1513" s="251">
        <v>56.66</v>
      </c>
    </row>
    <row r="1514" spans="1:4" x14ac:dyDescent="0.3">
      <c r="A1514" s="242" t="s">
        <v>18046</v>
      </c>
      <c r="B1514" s="242" t="s">
        <v>18047</v>
      </c>
      <c r="C1514" s="242" t="s">
        <v>18048</v>
      </c>
      <c r="D1514" s="251">
        <v>12.73</v>
      </c>
    </row>
    <row r="1515" spans="1:4" x14ac:dyDescent="0.3">
      <c r="A1515" s="242" t="s">
        <v>18049</v>
      </c>
      <c r="B1515" s="242" t="s">
        <v>18050</v>
      </c>
      <c r="C1515" s="242" t="s">
        <v>18051</v>
      </c>
      <c r="D1515" s="251">
        <v>9.93</v>
      </c>
    </row>
    <row r="1516" spans="1:4" x14ac:dyDescent="0.3">
      <c r="A1516" s="242" t="s">
        <v>18052</v>
      </c>
      <c r="B1516" s="242" t="s">
        <v>18053</v>
      </c>
      <c r="C1516" s="242" t="s">
        <v>18054</v>
      </c>
      <c r="D1516" s="251">
        <v>559.33000000000004</v>
      </c>
    </row>
    <row r="1517" spans="1:4" x14ac:dyDescent="0.3">
      <c r="A1517" s="242" t="s">
        <v>18055</v>
      </c>
      <c r="B1517" s="242" t="s">
        <v>18056</v>
      </c>
      <c r="C1517" s="242" t="s">
        <v>18057</v>
      </c>
      <c r="D1517" s="251">
        <v>12.73</v>
      </c>
    </row>
    <row r="1518" spans="1:4" x14ac:dyDescent="0.3">
      <c r="A1518" s="242" t="s">
        <v>18058</v>
      </c>
      <c r="B1518" s="242" t="s">
        <v>18059</v>
      </c>
      <c r="C1518" s="242" t="s">
        <v>18060</v>
      </c>
      <c r="D1518" s="251">
        <v>86</v>
      </c>
    </row>
    <row r="1519" spans="1:4" x14ac:dyDescent="0.3">
      <c r="A1519" s="242" t="s">
        <v>18061</v>
      </c>
      <c r="B1519" s="242" t="s">
        <v>18062</v>
      </c>
      <c r="C1519" s="242" t="s">
        <v>18063</v>
      </c>
      <c r="D1519" s="251">
        <v>21.33</v>
      </c>
    </row>
    <row r="1520" spans="1:4" x14ac:dyDescent="0.3">
      <c r="A1520" s="242" t="s">
        <v>18064</v>
      </c>
      <c r="B1520" s="242" t="s">
        <v>18065</v>
      </c>
      <c r="C1520" s="242" t="s">
        <v>18066</v>
      </c>
      <c r="D1520" s="251">
        <v>25.99</v>
      </c>
    </row>
    <row r="1521" spans="1:4" x14ac:dyDescent="0.3">
      <c r="A1521" s="242" t="s">
        <v>18067</v>
      </c>
      <c r="B1521" s="242" t="s">
        <v>18068</v>
      </c>
      <c r="C1521" s="242" t="s">
        <v>18069</v>
      </c>
      <c r="D1521" s="251">
        <v>14.66</v>
      </c>
    </row>
    <row r="1522" spans="1:4" x14ac:dyDescent="0.3">
      <c r="A1522" s="242" t="s">
        <v>18070</v>
      </c>
      <c r="B1522" s="242" t="s">
        <v>18071</v>
      </c>
      <c r="C1522" s="242" t="s">
        <v>18072</v>
      </c>
      <c r="D1522" s="251">
        <v>14.66</v>
      </c>
    </row>
    <row r="1523" spans="1:4" x14ac:dyDescent="0.3">
      <c r="A1523" s="242" t="s">
        <v>18073</v>
      </c>
      <c r="B1523" s="242" t="s">
        <v>18074</v>
      </c>
      <c r="C1523" s="242" t="s">
        <v>18075</v>
      </c>
      <c r="D1523" s="251">
        <v>35.33</v>
      </c>
    </row>
    <row r="1524" spans="1:4" x14ac:dyDescent="0.3">
      <c r="A1524" s="242" t="s">
        <v>18076</v>
      </c>
      <c r="B1524" s="242" t="s">
        <v>18077</v>
      </c>
      <c r="C1524" s="242" t="s">
        <v>18078</v>
      </c>
      <c r="D1524" s="251">
        <v>45.33</v>
      </c>
    </row>
    <row r="1525" spans="1:4" x14ac:dyDescent="0.3">
      <c r="A1525" s="242" t="s">
        <v>18079</v>
      </c>
      <c r="B1525" s="242" t="s">
        <v>18080</v>
      </c>
      <c r="C1525" s="242" t="s">
        <v>18081</v>
      </c>
      <c r="D1525" s="251">
        <v>49.99</v>
      </c>
    </row>
    <row r="1526" spans="1:4" x14ac:dyDescent="0.3">
      <c r="A1526" s="242" t="s">
        <v>18082</v>
      </c>
      <c r="B1526" s="242" t="s">
        <v>18083</v>
      </c>
      <c r="C1526" s="242" t="s">
        <v>18084</v>
      </c>
      <c r="D1526" s="251">
        <v>112.67</v>
      </c>
    </row>
    <row r="1527" spans="1:4" x14ac:dyDescent="0.3">
      <c r="A1527" s="242" t="s">
        <v>18085</v>
      </c>
      <c r="B1527" s="242" t="s">
        <v>18086</v>
      </c>
      <c r="C1527" s="242" t="s">
        <v>18087</v>
      </c>
      <c r="D1527" s="251">
        <v>9.93</v>
      </c>
    </row>
    <row r="1528" spans="1:4" x14ac:dyDescent="0.3">
      <c r="A1528" s="242" t="s">
        <v>18088</v>
      </c>
      <c r="B1528" s="242" t="s">
        <v>18089</v>
      </c>
      <c r="C1528" s="242" t="s">
        <v>18090</v>
      </c>
      <c r="D1528" s="251">
        <v>86</v>
      </c>
    </row>
    <row r="1529" spans="1:4" x14ac:dyDescent="0.3">
      <c r="A1529" s="242" t="s">
        <v>18091</v>
      </c>
      <c r="B1529" s="242" t="s">
        <v>18092</v>
      </c>
      <c r="C1529" s="242" t="s">
        <v>18093</v>
      </c>
      <c r="D1529" s="251">
        <v>49.99</v>
      </c>
    </row>
    <row r="1530" spans="1:4" x14ac:dyDescent="0.3">
      <c r="A1530" s="242" t="s">
        <v>18094</v>
      </c>
      <c r="B1530" s="242" t="s">
        <v>18095</v>
      </c>
      <c r="C1530" s="242" t="s">
        <v>18096</v>
      </c>
      <c r="D1530" s="251">
        <v>92.67</v>
      </c>
    </row>
    <row r="1531" spans="1:4" x14ac:dyDescent="0.3">
      <c r="A1531" s="242" t="s">
        <v>18097</v>
      </c>
      <c r="B1531" s="242" t="s">
        <v>18098</v>
      </c>
      <c r="C1531" s="242" t="s">
        <v>18099</v>
      </c>
      <c r="D1531" s="251">
        <v>17.329999999999998</v>
      </c>
    </row>
    <row r="1532" spans="1:4" x14ac:dyDescent="0.3">
      <c r="A1532" s="242" t="s">
        <v>18100</v>
      </c>
      <c r="B1532" s="242" t="s">
        <v>18101</v>
      </c>
      <c r="C1532" s="242" t="s">
        <v>18102</v>
      </c>
      <c r="D1532" s="251">
        <v>14.66</v>
      </c>
    </row>
    <row r="1533" spans="1:4" x14ac:dyDescent="0.3">
      <c r="A1533" s="242" t="s">
        <v>18103</v>
      </c>
      <c r="B1533" s="242" t="s">
        <v>18104</v>
      </c>
      <c r="C1533" s="242" t="s">
        <v>18105</v>
      </c>
      <c r="D1533" s="251">
        <v>10.59</v>
      </c>
    </row>
    <row r="1534" spans="1:4" x14ac:dyDescent="0.3">
      <c r="A1534" s="242" t="s">
        <v>18106</v>
      </c>
      <c r="B1534" s="242" t="s">
        <v>18107</v>
      </c>
      <c r="C1534" s="242" t="s">
        <v>18108</v>
      </c>
      <c r="D1534" s="251">
        <v>10.59</v>
      </c>
    </row>
    <row r="1535" spans="1:4" x14ac:dyDescent="0.3">
      <c r="A1535" s="242" t="s">
        <v>18109</v>
      </c>
      <c r="B1535" s="242" t="s">
        <v>18110</v>
      </c>
      <c r="C1535" s="242" t="s">
        <v>18111</v>
      </c>
      <c r="D1535" s="251">
        <v>9.93</v>
      </c>
    </row>
    <row r="1536" spans="1:4" x14ac:dyDescent="0.3">
      <c r="A1536" s="242" t="s">
        <v>18112</v>
      </c>
      <c r="B1536" s="242" t="s">
        <v>18113</v>
      </c>
      <c r="C1536" s="242" t="s">
        <v>18114</v>
      </c>
      <c r="D1536" s="251">
        <v>10.59</v>
      </c>
    </row>
    <row r="1537" spans="1:4" x14ac:dyDescent="0.3">
      <c r="A1537" s="242" t="s">
        <v>18115</v>
      </c>
      <c r="B1537" s="242" t="s">
        <v>18116</v>
      </c>
      <c r="C1537" s="242" t="s">
        <v>18117</v>
      </c>
      <c r="D1537" s="251">
        <v>29.33</v>
      </c>
    </row>
    <row r="1538" spans="1:4" x14ac:dyDescent="0.3">
      <c r="A1538" s="242" t="s">
        <v>18118</v>
      </c>
      <c r="B1538" s="242" t="s">
        <v>18119</v>
      </c>
      <c r="C1538" s="242" t="s">
        <v>18120</v>
      </c>
      <c r="D1538" s="251">
        <v>72.67</v>
      </c>
    </row>
    <row r="1539" spans="1:4" x14ac:dyDescent="0.3">
      <c r="A1539" s="242" t="s">
        <v>18121</v>
      </c>
      <c r="B1539" s="242" t="s">
        <v>18122</v>
      </c>
      <c r="C1539" s="242" t="s">
        <v>18123</v>
      </c>
      <c r="D1539" s="251">
        <v>86</v>
      </c>
    </row>
    <row r="1540" spans="1:4" x14ac:dyDescent="0.3">
      <c r="A1540" s="242" t="s">
        <v>18124</v>
      </c>
      <c r="B1540" s="242" t="s">
        <v>18125</v>
      </c>
      <c r="C1540" s="242" t="s">
        <v>18126</v>
      </c>
      <c r="D1540" s="251">
        <v>106</v>
      </c>
    </row>
    <row r="1541" spans="1:4" x14ac:dyDescent="0.3">
      <c r="A1541" s="242" t="s">
        <v>18127</v>
      </c>
      <c r="B1541" s="242" t="s">
        <v>18128</v>
      </c>
      <c r="C1541" s="242" t="s">
        <v>18129</v>
      </c>
      <c r="D1541" s="251">
        <v>10.59</v>
      </c>
    </row>
    <row r="1542" spans="1:4" x14ac:dyDescent="0.3">
      <c r="A1542" s="242" t="s">
        <v>18130</v>
      </c>
      <c r="B1542" s="242" t="s">
        <v>18131</v>
      </c>
      <c r="C1542" s="242" t="s">
        <v>18132</v>
      </c>
      <c r="D1542" s="251">
        <v>19.329999999999998</v>
      </c>
    </row>
    <row r="1543" spans="1:4" x14ac:dyDescent="0.3">
      <c r="A1543" s="242" t="s">
        <v>18133</v>
      </c>
      <c r="B1543" s="242" t="s">
        <v>18134</v>
      </c>
      <c r="C1543" s="242" t="s">
        <v>18135</v>
      </c>
      <c r="D1543" s="251">
        <v>13.99</v>
      </c>
    </row>
    <row r="1544" spans="1:4" x14ac:dyDescent="0.3">
      <c r="A1544" s="242" t="s">
        <v>18136</v>
      </c>
      <c r="B1544" s="242" t="s">
        <v>18137</v>
      </c>
      <c r="C1544" s="242" t="s">
        <v>18138</v>
      </c>
      <c r="D1544" s="251">
        <v>57.99</v>
      </c>
    </row>
    <row r="1545" spans="1:4" x14ac:dyDescent="0.3">
      <c r="A1545" s="242" t="s">
        <v>18139</v>
      </c>
      <c r="B1545" s="242" t="s">
        <v>18140</v>
      </c>
      <c r="C1545" s="242" t="s">
        <v>18141</v>
      </c>
      <c r="D1545" s="251">
        <v>43.33</v>
      </c>
    </row>
    <row r="1546" spans="1:4" x14ac:dyDescent="0.3">
      <c r="A1546" s="242" t="s">
        <v>18142</v>
      </c>
      <c r="B1546" s="242" t="s">
        <v>18143</v>
      </c>
      <c r="C1546" s="242" t="s">
        <v>18144</v>
      </c>
      <c r="D1546" s="251">
        <v>11.53</v>
      </c>
    </row>
    <row r="1547" spans="1:4" x14ac:dyDescent="0.3">
      <c r="A1547" s="242" t="s">
        <v>18145</v>
      </c>
      <c r="B1547" s="242" t="s">
        <v>18146</v>
      </c>
      <c r="C1547" s="242" t="s">
        <v>18147</v>
      </c>
      <c r="D1547" s="251">
        <v>14.66</v>
      </c>
    </row>
    <row r="1548" spans="1:4" x14ac:dyDescent="0.3">
      <c r="A1548" s="242" t="s">
        <v>18148</v>
      </c>
      <c r="B1548" s="242" t="s">
        <v>18149</v>
      </c>
      <c r="C1548" s="242" t="s">
        <v>18150</v>
      </c>
      <c r="D1548" s="251">
        <v>139.33000000000001</v>
      </c>
    </row>
    <row r="1549" spans="1:4" x14ac:dyDescent="0.3">
      <c r="A1549" s="242" t="s">
        <v>18151</v>
      </c>
      <c r="B1549" s="242" t="s">
        <v>18152</v>
      </c>
      <c r="C1549" s="242" t="s">
        <v>18153</v>
      </c>
      <c r="D1549" s="251">
        <v>159.33000000000001</v>
      </c>
    </row>
    <row r="1550" spans="1:4" x14ac:dyDescent="0.3">
      <c r="A1550" s="242" t="s">
        <v>18154</v>
      </c>
      <c r="B1550" s="242" t="s">
        <v>18155</v>
      </c>
      <c r="C1550" s="242" t="s">
        <v>18156</v>
      </c>
      <c r="D1550" s="251">
        <v>172.67</v>
      </c>
    </row>
    <row r="1551" spans="1:4" x14ac:dyDescent="0.3">
      <c r="A1551" s="242" t="s">
        <v>18157</v>
      </c>
      <c r="B1551" s="242" t="s">
        <v>18158</v>
      </c>
      <c r="C1551" s="242" t="s">
        <v>18159</v>
      </c>
      <c r="D1551" s="251">
        <v>172.67</v>
      </c>
    </row>
    <row r="1552" spans="1:4" x14ac:dyDescent="0.3">
      <c r="A1552" s="242" t="s">
        <v>18160</v>
      </c>
      <c r="B1552" s="242" t="s">
        <v>18161</v>
      </c>
      <c r="C1552" s="242" t="s">
        <v>18162</v>
      </c>
      <c r="D1552" s="251">
        <v>106</v>
      </c>
    </row>
    <row r="1553" spans="1:4" x14ac:dyDescent="0.3">
      <c r="A1553" s="242" t="s">
        <v>18163</v>
      </c>
      <c r="B1553" s="242" t="s">
        <v>18164</v>
      </c>
      <c r="C1553" s="242" t="s">
        <v>18165</v>
      </c>
      <c r="D1553" s="251">
        <v>25.99</v>
      </c>
    </row>
    <row r="1554" spans="1:4" x14ac:dyDescent="0.3">
      <c r="A1554" s="242" t="s">
        <v>18166</v>
      </c>
      <c r="B1554" s="242" t="s">
        <v>18167</v>
      </c>
      <c r="C1554" s="242" t="s">
        <v>18168</v>
      </c>
      <c r="D1554" s="251">
        <v>33.33</v>
      </c>
    </row>
    <row r="1555" spans="1:4" x14ac:dyDescent="0.3">
      <c r="A1555" s="242" t="s">
        <v>18169</v>
      </c>
      <c r="B1555" s="242" t="s">
        <v>18170</v>
      </c>
      <c r="C1555" s="242" t="s">
        <v>18171</v>
      </c>
      <c r="D1555" s="251">
        <v>40.659999999999997</v>
      </c>
    </row>
    <row r="1556" spans="1:4" x14ac:dyDescent="0.3">
      <c r="A1556" s="242" t="s">
        <v>18172</v>
      </c>
      <c r="B1556" s="242" t="s">
        <v>18173</v>
      </c>
      <c r="C1556" s="242" t="s">
        <v>18174</v>
      </c>
      <c r="D1556" s="251">
        <v>20.66</v>
      </c>
    </row>
    <row r="1557" spans="1:4" x14ac:dyDescent="0.3">
      <c r="A1557" s="242" t="s">
        <v>18175</v>
      </c>
      <c r="B1557" s="242" t="s">
        <v>18176</v>
      </c>
      <c r="C1557" s="242" t="s">
        <v>18177</v>
      </c>
      <c r="D1557" s="251">
        <v>25.99</v>
      </c>
    </row>
    <row r="1558" spans="1:4" x14ac:dyDescent="0.3">
      <c r="A1558" s="242" t="s">
        <v>18178</v>
      </c>
      <c r="B1558" s="242" t="s">
        <v>18179</v>
      </c>
      <c r="C1558" s="242" t="s">
        <v>18180</v>
      </c>
      <c r="D1558" s="251">
        <v>31.99</v>
      </c>
    </row>
    <row r="1559" spans="1:4" x14ac:dyDescent="0.3">
      <c r="A1559" s="242" t="s">
        <v>18181</v>
      </c>
      <c r="B1559" s="242" t="s">
        <v>18182</v>
      </c>
      <c r="C1559" s="242" t="s">
        <v>18183</v>
      </c>
      <c r="D1559" s="251">
        <v>27.99</v>
      </c>
    </row>
    <row r="1560" spans="1:4" x14ac:dyDescent="0.3">
      <c r="A1560" s="242" t="s">
        <v>18184</v>
      </c>
      <c r="B1560" s="242" t="s">
        <v>18185</v>
      </c>
      <c r="C1560" s="242" t="s">
        <v>18186</v>
      </c>
      <c r="D1560" s="251">
        <v>139.33000000000001</v>
      </c>
    </row>
    <row r="1561" spans="1:4" x14ac:dyDescent="0.3">
      <c r="A1561" s="242" t="s">
        <v>18187</v>
      </c>
      <c r="B1561" s="242" t="s">
        <v>18188</v>
      </c>
      <c r="C1561" s="242" t="s">
        <v>18189</v>
      </c>
      <c r="D1561" s="251">
        <v>166</v>
      </c>
    </row>
    <row r="1562" spans="1:4" x14ac:dyDescent="0.3">
      <c r="A1562" s="242" t="s">
        <v>18190</v>
      </c>
      <c r="B1562" s="242" t="s">
        <v>18191</v>
      </c>
      <c r="C1562" s="242" t="s">
        <v>18192</v>
      </c>
      <c r="D1562" s="251">
        <v>179.33</v>
      </c>
    </row>
    <row r="1563" spans="1:4" x14ac:dyDescent="0.3">
      <c r="A1563" s="242" t="s">
        <v>18193</v>
      </c>
      <c r="B1563" s="242" t="s">
        <v>18194</v>
      </c>
      <c r="C1563" s="242" t="s">
        <v>18195</v>
      </c>
      <c r="D1563" s="251">
        <v>179.33</v>
      </c>
    </row>
    <row r="1564" spans="1:4" x14ac:dyDescent="0.3">
      <c r="A1564" s="242" t="s">
        <v>18196</v>
      </c>
      <c r="B1564" s="242" t="s">
        <v>18197</v>
      </c>
      <c r="C1564" s="242" t="s">
        <v>18198</v>
      </c>
      <c r="D1564" s="251">
        <v>172.67</v>
      </c>
    </row>
    <row r="1565" spans="1:4" x14ac:dyDescent="0.3">
      <c r="A1565" s="242" t="s">
        <v>18199</v>
      </c>
      <c r="B1565" s="242" t="s">
        <v>18200</v>
      </c>
      <c r="C1565" s="242" t="s">
        <v>18201</v>
      </c>
      <c r="D1565" s="251">
        <v>119.33</v>
      </c>
    </row>
    <row r="1566" spans="1:4" x14ac:dyDescent="0.3">
      <c r="A1566" s="242" t="s">
        <v>18202</v>
      </c>
      <c r="B1566" s="242" t="s">
        <v>18203</v>
      </c>
      <c r="C1566" s="242" t="s">
        <v>18204</v>
      </c>
      <c r="D1566" s="251">
        <v>132.66999999999999</v>
      </c>
    </row>
    <row r="1567" spans="1:4" x14ac:dyDescent="0.3">
      <c r="A1567" s="242" t="s">
        <v>18205</v>
      </c>
      <c r="B1567" s="242" t="s">
        <v>18206</v>
      </c>
      <c r="C1567" s="242" t="s">
        <v>18207</v>
      </c>
      <c r="D1567" s="251">
        <v>12.73</v>
      </c>
    </row>
    <row r="1568" spans="1:4" x14ac:dyDescent="0.3">
      <c r="A1568" s="242" t="s">
        <v>18208</v>
      </c>
      <c r="B1568" s="242" t="s">
        <v>18209</v>
      </c>
      <c r="C1568" s="242" t="s">
        <v>18210</v>
      </c>
      <c r="D1568" s="251">
        <v>49.99</v>
      </c>
    </row>
    <row r="1569" spans="1:4" x14ac:dyDescent="0.3">
      <c r="A1569" s="242" t="s">
        <v>18211</v>
      </c>
      <c r="B1569" s="242" t="s">
        <v>18212</v>
      </c>
      <c r="C1569" s="242" t="s">
        <v>18213</v>
      </c>
      <c r="D1569" s="251">
        <v>112.67</v>
      </c>
    </row>
    <row r="1570" spans="1:4" x14ac:dyDescent="0.3">
      <c r="A1570" s="242" t="s">
        <v>18214</v>
      </c>
      <c r="B1570" s="242" t="s">
        <v>18215</v>
      </c>
      <c r="C1570" s="242" t="s">
        <v>18216</v>
      </c>
      <c r="D1570" s="251">
        <v>47.33</v>
      </c>
    </row>
    <row r="1571" spans="1:4" x14ac:dyDescent="0.3">
      <c r="A1571" s="242" t="s">
        <v>18217</v>
      </c>
      <c r="B1571" s="242" t="s">
        <v>18218</v>
      </c>
      <c r="C1571" s="242" t="s">
        <v>18219</v>
      </c>
      <c r="D1571" s="251">
        <v>199.33</v>
      </c>
    </row>
    <row r="1572" spans="1:4" x14ac:dyDescent="0.3">
      <c r="A1572" s="242" t="s">
        <v>18220</v>
      </c>
      <c r="B1572" s="242" t="s">
        <v>18221</v>
      </c>
      <c r="C1572" s="242" t="s">
        <v>18222</v>
      </c>
      <c r="D1572" s="251">
        <v>199.33</v>
      </c>
    </row>
    <row r="1573" spans="1:4" x14ac:dyDescent="0.3">
      <c r="A1573" s="242" t="s">
        <v>18223</v>
      </c>
      <c r="B1573" s="242" t="s">
        <v>18224</v>
      </c>
      <c r="C1573" s="242" t="s">
        <v>18225</v>
      </c>
      <c r="D1573" s="251">
        <v>199.33</v>
      </c>
    </row>
    <row r="1574" spans="1:4" x14ac:dyDescent="0.3">
      <c r="A1574" s="242" t="s">
        <v>18226</v>
      </c>
      <c r="B1574" s="242" t="s">
        <v>18227</v>
      </c>
      <c r="C1574" s="242" t="s">
        <v>18228</v>
      </c>
      <c r="D1574" s="251">
        <v>199.33</v>
      </c>
    </row>
    <row r="1575" spans="1:4" x14ac:dyDescent="0.3">
      <c r="A1575" s="242" t="s">
        <v>18229</v>
      </c>
      <c r="B1575" s="242" t="s">
        <v>18230</v>
      </c>
      <c r="C1575" s="242" t="s">
        <v>18231</v>
      </c>
      <c r="D1575" s="251">
        <v>232.67</v>
      </c>
    </row>
    <row r="1576" spans="1:4" x14ac:dyDescent="0.3">
      <c r="A1576" s="242" t="s">
        <v>18232</v>
      </c>
      <c r="B1576" s="242" t="s">
        <v>18233</v>
      </c>
      <c r="C1576" s="242" t="s">
        <v>18234</v>
      </c>
      <c r="D1576" s="251">
        <v>232.67</v>
      </c>
    </row>
    <row r="1577" spans="1:4" x14ac:dyDescent="0.3">
      <c r="A1577" s="242" t="s">
        <v>18235</v>
      </c>
      <c r="B1577" s="242" t="s">
        <v>18236</v>
      </c>
      <c r="C1577" s="242" t="s">
        <v>18237</v>
      </c>
      <c r="D1577" s="251">
        <v>232.67</v>
      </c>
    </row>
    <row r="1578" spans="1:4" x14ac:dyDescent="0.3">
      <c r="A1578" s="242" t="s">
        <v>18238</v>
      </c>
      <c r="B1578" s="242" t="s">
        <v>18239</v>
      </c>
      <c r="C1578" s="242" t="s">
        <v>18240</v>
      </c>
      <c r="D1578" s="251">
        <v>252.67</v>
      </c>
    </row>
    <row r="1579" spans="1:4" x14ac:dyDescent="0.3">
      <c r="A1579" s="242" t="s">
        <v>18241</v>
      </c>
      <c r="B1579" s="242" t="s">
        <v>18242</v>
      </c>
      <c r="C1579" s="242" t="s">
        <v>18243</v>
      </c>
      <c r="D1579" s="251">
        <v>252.67</v>
      </c>
    </row>
    <row r="1580" spans="1:4" x14ac:dyDescent="0.3">
      <c r="A1580" s="242" t="s">
        <v>18244</v>
      </c>
      <c r="B1580" s="242" t="s">
        <v>18245</v>
      </c>
      <c r="C1580" s="242" t="s">
        <v>18246</v>
      </c>
      <c r="D1580" s="251">
        <v>252.67</v>
      </c>
    </row>
    <row r="1581" spans="1:4" x14ac:dyDescent="0.3">
      <c r="A1581" s="242" t="s">
        <v>18247</v>
      </c>
      <c r="B1581" s="242" t="s">
        <v>18248</v>
      </c>
      <c r="C1581" s="242" t="s">
        <v>18249</v>
      </c>
      <c r="D1581" s="251">
        <v>419.33</v>
      </c>
    </row>
    <row r="1582" spans="1:4" x14ac:dyDescent="0.3">
      <c r="A1582" s="242" t="s">
        <v>18250</v>
      </c>
      <c r="B1582" s="242" t="s">
        <v>18251</v>
      </c>
      <c r="C1582" s="242" t="s">
        <v>18252</v>
      </c>
      <c r="D1582" s="251">
        <v>539.33000000000004</v>
      </c>
    </row>
    <row r="1583" spans="1:4" x14ac:dyDescent="0.3">
      <c r="A1583" s="242" t="s">
        <v>18253</v>
      </c>
      <c r="B1583" s="242" t="s">
        <v>18254</v>
      </c>
      <c r="C1583" s="242" t="s">
        <v>18255</v>
      </c>
      <c r="D1583" s="251">
        <v>619.33000000000004</v>
      </c>
    </row>
    <row r="1584" spans="1:4" x14ac:dyDescent="0.3">
      <c r="A1584" s="242" t="s">
        <v>18256</v>
      </c>
      <c r="B1584" s="242" t="s">
        <v>17631</v>
      </c>
      <c r="C1584" s="242" t="s">
        <v>18257</v>
      </c>
      <c r="D1584" s="251">
        <v>212.67</v>
      </c>
    </row>
    <row r="1585" spans="1:4" x14ac:dyDescent="0.3">
      <c r="A1585" s="242" t="s">
        <v>18258</v>
      </c>
      <c r="B1585" s="242" t="s">
        <v>18259</v>
      </c>
      <c r="C1585" s="242" t="s">
        <v>18260</v>
      </c>
      <c r="D1585" s="251">
        <v>212.67</v>
      </c>
    </row>
    <row r="1586" spans="1:4" x14ac:dyDescent="0.3">
      <c r="A1586" s="242" t="s">
        <v>18261</v>
      </c>
      <c r="B1586" s="242" t="s">
        <v>17656</v>
      </c>
      <c r="C1586" s="242" t="s">
        <v>18262</v>
      </c>
      <c r="D1586" s="251">
        <v>232.67</v>
      </c>
    </row>
    <row r="1587" spans="1:4" x14ac:dyDescent="0.3">
      <c r="A1587" s="242" t="s">
        <v>18263</v>
      </c>
      <c r="B1587" s="242" t="s">
        <v>18264</v>
      </c>
      <c r="C1587" s="242" t="s">
        <v>18265</v>
      </c>
      <c r="D1587" s="251">
        <v>232.67</v>
      </c>
    </row>
    <row r="1588" spans="1:4" x14ac:dyDescent="0.3">
      <c r="A1588" s="242" t="s">
        <v>18266</v>
      </c>
      <c r="B1588" s="242" t="s">
        <v>18267</v>
      </c>
      <c r="C1588" s="242" t="s">
        <v>18268</v>
      </c>
      <c r="D1588" s="251">
        <v>339.33</v>
      </c>
    </row>
    <row r="1589" spans="1:4" x14ac:dyDescent="0.3">
      <c r="A1589" s="242" t="s">
        <v>18269</v>
      </c>
      <c r="B1589" s="242" t="s">
        <v>18270</v>
      </c>
      <c r="C1589" s="242" t="s">
        <v>18271</v>
      </c>
      <c r="D1589" s="251">
        <v>339.33</v>
      </c>
    </row>
    <row r="1590" spans="1:4" x14ac:dyDescent="0.3">
      <c r="A1590" s="242" t="s">
        <v>18272</v>
      </c>
      <c r="B1590" s="242" t="s">
        <v>18273</v>
      </c>
      <c r="C1590" s="242" t="s">
        <v>18274</v>
      </c>
      <c r="D1590" s="251">
        <v>339.33</v>
      </c>
    </row>
    <row r="1591" spans="1:4" x14ac:dyDescent="0.3">
      <c r="A1591" s="242" t="s">
        <v>18275</v>
      </c>
      <c r="B1591" s="242" t="s">
        <v>17534</v>
      </c>
      <c r="C1591" s="242" t="s">
        <v>18276</v>
      </c>
      <c r="D1591" s="251">
        <v>679.33</v>
      </c>
    </row>
    <row r="1592" spans="1:4" x14ac:dyDescent="0.3">
      <c r="A1592" s="242" t="s">
        <v>18277</v>
      </c>
      <c r="B1592" s="242" t="s">
        <v>18278</v>
      </c>
      <c r="C1592" s="242" t="s">
        <v>18279</v>
      </c>
      <c r="D1592" s="251">
        <v>272.67</v>
      </c>
    </row>
    <row r="1593" spans="1:4" x14ac:dyDescent="0.3">
      <c r="A1593" s="242" t="s">
        <v>18280</v>
      </c>
      <c r="B1593" s="242" t="s">
        <v>18281</v>
      </c>
      <c r="C1593" s="242" t="s">
        <v>18282</v>
      </c>
      <c r="D1593" s="251">
        <v>272.67</v>
      </c>
    </row>
    <row r="1594" spans="1:4" x14ac:dyDescent="0.3">
      <c r="A1594" s="242" t="s">
        <v>18283</v>
      </c>
      <c r="B1594" s="242" t="s">
        <v>18284</v>
      </c>
      <c r="C1594" s="242" t="s">
        <v>18285</v>
      </c>
      <c r="D1594" s="251">
        <v>272.67</v>
      </c>
    </row>
    <row r="1595" spans="1:4" x14ac:dyDescent="0.3">
      <c r="A1595" s="242" t="s">
        <v>18286</v>
      </c>
      <c r="B1595" s="242" t="s">
        <v>18287</v>
      </c>
      <c r="C1595" s="242" t="s">
        <v>18288</v>
      </c>
      <c r="D1595" s="251">
        <v>232.67</v>
      </c>
    </row>
    <row r="1596" spans="1:4" x14ac:dyDescent="0.3">
      <c r="A1596" s="242" t="s">
        <v>18289</v>
      </c>
      <c r="B1596" s="242" t="s">
        <v>18290</v>
      </c>
      <c r="C1596" s="242" t="s">
        <v>18291</v>
      </c>
      <c r="D1596" s="251">
        <v>232.67</v>
      </c>
    </row>
    <row r="1597" spans="1:4" x14ac:dyDescent="0.3">
      <c r="A1597" s="242" t="s">
        <v>18292</v>
      </c>
      <c r="B1597" s="242" t="s">
        <v>18293</v>
      </c>
      <c r="C1597" s="242" t="s">
        <v>18294</v>
      </c>
      <c r="D1597" s="251">
        <v>252.67</v>
      </c>
    </row>
    <row r="1598" spans="1:4" x14ac:dyDescent="0.3">
      <c r="A1598" s="242" t="s">
        <v>18295</v>
      </c>
      <c r="B1598" s="242" t="s">
        <v>18296</v>
      </c>
      <c r="C1598" s="242" t="s">
        <v>18297</v>
      </c>
      <c r="D1598" s="251">
        <v>252.67</v>
      </c>
    </row>
    <row r="1599" spans="1:4" x14ac:dyDescent="0.3">
      <c r="A1599" s="242" t="s">
        <v>18298</v>
      </c>
      <c r="B1599" s="242" t="s">
        <v>18299</v>
      </c>
      <c r="C1599" s="242" t="s">
        <v>18300</v>
      </c>
      <c r="D1599" s="251">
        <v>286</v>
      </c>
    </row>
    <row r="1600" spans="1:4" x14ac:dyDescent="0.3">
      <c r="A1600" s="242" t="s">
        <v>18301</v>
      </c>
      <c r="B1600" s="242" t="s">
        <v>18302</v>
      </c>
      <c r="C1600" s="242" t="s">
        <v>18303</v>
      </c>
      <c r="D1600" s="251">
        <v>286</v>
      </c>
    </row>
    <row r="1601" spans="1:4" x14ac:dyDescent="0.3">
      <c r="A1601" s="242" t="s">
        <v>18304</v>
      </c>
      <c r="B1601" s="242" t="s">
        <v>18305</v>
      </c>
      <c r="C1601" s="242" t="s">
        <v>18306</v>
      </c>
      <c r="D1601" s="251">
        <v>246</v>
      </c>
    </row>
    <row r="1602" spans="1:4" x14ac:dyDescent="0.3">
      <c r="A1602" s="242" t="s">
        <v>18307</v>
      </c>
      <c r="B1602" s="242" t="s">
        <v>18308</v>
      </c>
      <c r="C1602" s="242" t="s">
        <v>18309</v>
      </c>
      <c r="D1602" s="251">
        <v>246</v>
      </c>
    </row>
    <row r="1603" spans="1:4" x14ac:dyDescent="0.3">
      <c r="A1603" s="242" t="s">
        <v>18310</v>
      </c>
      <c r="B1603" s="242" t="s">
        <v>18311</v>
      </c>
      <c r="C1603" s="242" t="s">
        <v>18312</v>
      </c>
      <c r="D1603" s="251">
        <v>272.67</v>
      </c>
    </row>
    <row r="1604" spans="1:4" x14ac:dyDescent="0.3">
      <c r="A1604" s="242" t="s">
        <v>18313</v>
      </c>
      <c r="B1604" s="242" t="s">
        <v>18314</v>
      </c>
      <c r="C1604" s="242" t="s">
        <v>18315</v>
      </c>
      <c r="D1604" s="251">
        <v>272.67</v>
      </c>
    </row>
    <row r="1605" spans="1:4" x14ac:dyDescent="0.3">
      <c r="A1605" s="242" t="s">
        <v>18316</v>
      </c>
      <c r="B1605" s="242" t="s">
        <v>18317</v>
      </c>
      <c r="C1605" s="242" t="s">
        <v>18318</v>
      </c>
      <c r="D1605" s="251">
        <v>366</v>
      </c>
    </row>
    <row r="1606" spans="1:4" x14ac:dyDescent="0.3">
      <c r="A1606" s="242" t="s">
        <v>18319</v>
      </c>
      <c r="B1606" s="242" t="s">
        <v>18320</v>
      </c>
      <c r="C1606" s="242" t="s">
        <v>18321</v>
      </c>
      <c r="D1606" s="251">
        <v>366</v>
      </c>
    </row>
    <row r="1607" spans="1:4" x14ac:dyDescent="0.3">
      <c r="A1607" s="242" t="s">
        <v>18322</v>
      </c>
      <c r="B1607" s="242" t="s">
        <v>18323</v>
      </c>
      <c r="C1607" s="242" t="s">
        <v>18324</v>
      </c>
      <c r="D1607" s="251">
        <v>272.67</v>
      </c>
    </row>
    <row r="1608" spans="1:4" x14ac:dyDescent="0.3">
      <c r="A1608" s="242" t="s">
        <v>18325</v>
      </c>
      <c r="B1608" s="242" t="s">
        <v>18326</v>
      </c>
      <c r="C1608" s="242" t="s">
        <v>18327</v>
      </c>
      <c r="D1608" s="251">
        <v>272.67</v>
      </c>
    </row>
    <row r="1609" spans="1:4" x14ac:dyDescent="0.3">
      <c r="A1609" s="242" t="s">
        <v>18328</v>
      </c>
      <c r="B1609" s="242" t="s">
        <v>18329</v>
      </c>
      <c r="C1609" s="242" t="s">
        <v>18330</v>
      </c>
      <c r="D1609" s="251">
        <v>272.67</v>
      </c>
    </row>
    <row r="1610" spans="1:4" x14ac:dyDescent="0.3">
      <c r="A1610" s="242" t="s">
        <v>18331</v>
      </c>
      <c r="B1610" s="242" t="s">
        <v>18332</v>
      </c>
      <c r="C1610" s="242" t="s">
        <v>18333</v>
      </c>
      <c r="D1610" s="251">
        <v>40.659999999999997</v>
      </c>
    </row>
    <row r="1611" spans="1:4" x14ac:dyDescent="0.3">
      <c r="A1611" s="242" t="s">
        <v>18334</v>
      </c>
      <c r="B1611" s="242" t="s">
        <v>18335</v>
      </c>
      <c r="C1611" s="242" t="s">
        <v>18336</v>
      </c>
      <c r="D1611" s="251">
        <v>41.99</v>
      </c>
    </row>
    <row r="1612" spans="1:4" x14ac:dyDescent="0.3">
      <c r="A1612" s="242" t="s">
        <v>18337</v>
      </c>
      <c r="B1612" s="242" t="s">
        <v>18338</v>
      </c>
      <c r="C1612" s="242" t="s">
        <v>18339</v>
      </c>
      <c r="D1612" s="251">
        <v>41.99</v>
      </c>
    </row>
    <row r="1613" spans="1:4" x14ac:dyDescent="0.3">
      <c r="A1613" s="242" t="s">
        <v>18340</v>
      </c>
      <c r="B1613" s="242" t="s">
        <v>18341</v>
      </c>
      <c r="C1613" s="242" t="s">
        <v>18342</v>
      </c>
      <c r="D1613" s="251">
        <v>44.66</v>
      </c>
    </row>
    <row r="1614" spans="1:4" x14ac:dyDescent="0.3">
      <c r="A1614" s="242" t="s">
        <v>18343</v>
      </c>
      <c r="B1614" s="242" t="s">
        <v>18344</v>
      </c>
      <c r="C1614" s="242" t="s">
        <v>18345</v>
      </c>
      <c r="D1614" s="251">
        <v>21.99</v>
      </c>
    </row>
    <row r="1615" spans="1:4" x14ac:dyDescent="0.3">
      <c r="A1615" s="242" t="s">
        <v>18346</v>
      </c>
      <c r="B1615" s="242" t="s">
        <v>18347</v>
      </c>
      <c r="C1615" s="242" t="s">
        <v>18348</v>
      </c>
      <c r="D1615" s="251">
        <v>21.99</v>
      </c>
    </row>
    <row r="1616" spans="1:4" x14ac:dyDescent="0.3">
      <c r="A1616" s="242" t="s">
        <v>18349</v>
      </c>
      <c r="B1616" s="242" t="s">
        <v>18350</v>
      </c>
      <c r="C1616" s="242" t="s">
        <v>18351</v>
      </c>
      <c r="D1616" s="251">
        <v>29.33</v>
      </c>
    </row>
    <row r="1617" spans="1:4" x14ac:dyDescent="0.3">
      <c r="A1617" s="242" t="s">
        <v>18352</v>
      </c>
      <c r="B1617" s="242" t="s">
        <v>18353</v>
      </c>
      <c r="C1617" s="242" t="s">
        <v>18354</v>
      </c>
      <c r="D1617" s="251">
        <v>29.33</v>
      </c>
    </row>
    <row r="1618" spans="1:4" x14ac:dyDescent="0.3">
      <c r="A1618" s="242" t="s">
        <v>18355</v>
      </c>
      <c r="B1618" s="242" t="s">
        <v>18356</v>
      </c>
      <c r="C1618" s="242" t="s">
        <v>18357</v>
      </c>
      <c r="D1618" s="251">
        <v>51.33</v>
      </c>
    </row>
    <row r="1619" spans="1:4" x14ac:dyDescent="0.3">
      <c r="A1619" s="242" t="s">
        <v>18358</v>
      </c>
      <c r="B1619" s="242" t="s">
        <v>18359</v>
      </c>
      <c r="C1619" s="242" t="s">
        <v>18360</v>
      </c>
      <c r="D1619" s="251">
        <v>52.66</v>
      </c>
    </row>
    <row r="1620" spans="1:4" x14ac:dyDescent="0.3">
      <c r="A1620" s="242" t="s">
        <v>18361</v>
      </c>
      <c r="B1620" s="242" t="s">
        <v>18362</v>
      </c>
      <c r="C1620" s="242" t="s">
        <v>18363</v>
      </c>
      <c r="D1620" s="251">
        <v>15.33</v>
      </c>
    </row>
    <row r="1621" spans="1:4" x14ac:dyDescent="0.3">
      <c r="A1621" s="242" t="s">
        <v>18364</v>
      </c>
      <c r="B1621" s="242" t="s">
        <v>18365</v>
      </c>
      <c r="C1621" s="242" t="s">
        <v>18366</v>
      </c>
      <c r="D1621" s="251">
        <v>35.33</v>
      </c>
    </row>
    <row r="1622" spans="1:4" x14ac:dyDescent="0.3">
      <c r="A1622" s="242" t="s">
        <v>18367</v>
      </c>
      <c r="B1622" s="242" t="s">
        <v>18368</v>
      </c>
      <c r="C1622" s="242" t="s">
        <v>18369</v>
      </c>
      <c r="D1622" s="251">
        <v>37.33</v>
      </c>
    </row>
    <row r="1623" spans="1:4" x14ac:dyDescent="0.3">
      <c r="A1623" s="242" t="s">
        <v>18370</v>
      </c>
      <c r="B1623" s="242" t="s">
        <v>18371</v>
      </c>
      <c r="C1623" s="242" t="s">
        <v>18372</v>
      </c>
      <c r="D1623" s="251">
        <v>43.33</v>
      </c>
    </row>
    <row r="1624" spans="1:4" x14ac:dyDescent="0.3">
      <c r="A1624" s="242" t="s">
        <v>18373</v>
      </c>
      <c r="B1624" s="242" t="s">
        <v>18374</v>
      </c>
      <c r="C1624" s="242" t="s">
        <v>18375</v>
      </c>
      <c r="D1624" s="251">
        <v>48.66</v>
      </c>
    </row>
    <row r="1625" spans="1:4" x14ac:dyDescent="0.3">
      <c r="A1625" s="242" t="s">
        <v>18376</v>
      </c>
      <c r="B1625" s="242" t="s">
        <v>18377</v>
      </c>
      <c r="C1625" s="242" t="s">
        <v>18378</v>
      </c>
      <c r="D1625" s="251">
        <v>37.33</v>
      </c>
    </row>
    <row r="1626" spans="1:4" x14ac:dyDescent="0.3">
      <c r="A1626" s="242" t="s">
        <v>18379</v>
      </c>
      <c r="B1626" s="242" t="s">
        <v>18380</v>
      </c>
      <c r="C1626" s="242" t="s">
        <v>18381</v>
      </c>
      <c r="D1626" s="251">
        <v>63.99</v>
      </c>
    </row>
    <row r="1627" spans="1:4" x14ac:dyDescent="0.3">
      <c r="A1627" s="242" t="s">
        <v>18382</v>
      </c>
      <c r="B1627" s="242" t="s">
        <v>18383</v>
      </c>
      <c r="C1627" s="242" t="s">
        <v>18384</v>
      </c>
      <c r="D1627" s="251">
        <v>179.33</v>
      </c>
    </row>
    <row r="1628" spans="1:4" x14ac:dyDescent="0.3">
      <c r="A1628" s="242" t="s">
        <v>18385</v>
      </c>
      <c r="B1628" s="242" t="s">
        <v>18386</v>
      </c>
      <c r="C1628" s="242" t="s">
        <v>18387</v>
      </c>
      <c r="D1628" s="251">
        <v>199.33</v>
      </c>
    </row>
    <row r="1629" spans="1:4" x14ac:dyDescent="0.3">
      <c r="A1629" s="242" t="s">
        <v>18388</v>
      </c>
      <c r="B1629" s="242" t="s">
        <v>18389</v>
      </c>
      <c r="C1629" s="242" t="s">
        <v>18390</v>
      </c>
      <c r="D1629" s="251">
        <v>226</v>
      </c>
    </row>
    <row r="1630" spans="1:4" x14ac:dyDescent="0.3">
      <c r="A1630" s="242" t="s">
        <v>18391</v>
      </c>
      <c r="B1630" s="242" t="s">
        <v>18392</v>
      </c>
      <c r="C1630" s="242" t="s">
        <v>18393</v>
      </c>
      <c r="D1630" s="251">
        <v>152.66999999999999</v>
      </c>
    </row>
    <row r="1631" spans="1:4" x14ac:dyDescent="0.3">
      <c r="A1631" s="242" t="s">
        <v>18394</v>
      </c>
      <c r="B1631" s="242" t="s">
        <v>18395</v>
      </c>
      <c r="C1631" s="242" t="s">
        <v>18396</v>
      </c>
      <c r="D1631" s="251">
        <v>179.33</v>
      </c>
    </row>
    <row r="1632" spans="1:4" x14ac:dyDescent="0.3">
      <c r="A1632" s="242" t="s">
        <v>18397</v>
      </c>
      <c r="B1632" s="242" t="s">
        <v>18398</v>
      </c>
      <c r="C1632" s="242" t="s">
        <v>18399</v>
      </c>
      <c r="D1632" s="251">
        <v>99.33</v>
      </c>
    </row>
    <row r="1633" spans="1:4" x14ac:dyDescent="0.3">
      <c r="A1633" s="242" t="s">
        <v>18400</v>
      </c>
      <c r="B1633" s="242" t="s">
        <v>18401</v>
      </c>
      <c r="C1633" s="242" t="s">
        <v>18402</v>
      </c>
      <c r="D1633" s="251">
        <v>112.67</v>
      </c>
    </row>
    <row r="1634" spans="1:4" x14ac:dyDescent="0.3">
      <c r="A1634" s="242" t="s">
        <v>18403</v>
      </c>
      <c r="B1634" s="242" t="s">
        <v>18404</v>
      </c>
      <c r="C1634" s="242" t="s">
        <v>18405</v>
      </c>
      <c r="D1634" s="251">
        <v>139.33000000000001</v>
      </c>
    </row>
    <row r="1635" spans="1:4" x14ac:dyDescent="0.3">
      <c r="A1635" s="242" t="s">
        <v>18406</v>
      </c>
      <c r="B1635" s="242" t="s">
        <v>18407</v>
      </c>
      <c r="C1635" s="242" t="s">
        <v>18408</v>
      </c>
      <c r="D1635" s="251">
        <v>166</v>
      </c>
    </row>
    <row r="1636" spans="1:4" x14ac:dyDescent="0.3">
      <c r="A1636" s="242" t="s">
        <v>18409</v>
      </c>
      <c r="B1636" s="242" t="s">
        <v>18410</v>
      </c>
      <c r="C1636" s="242" t="s">
        <v>18411</v>
      </c>
      <c r="D1636" s="251">
        <v>212.67</v>
      </c>
    </row>
    <row r="1637" spans="1:4" x14ac:dyDescent="0.3">
      <c r="A1637" s="242" t="s">
        <v>18412</v>
      </c>
      <c r="B1637" s="242" t="s">
        <v>18413</v>
      </c>
      <c r="C1637" s="242" t="s">
        <v>18414</v>
      </c>
      <c r="D1637" s="251">
        <v>159.33000000000001</v>
      </c>
    </row>
    <row r="1638" spans="1:4" x14ac:dyDescent="0.3">
      <c r="A1638" s="242" t="s">
        <v>18415</v>
      </c>
      <c r="B1638" s="242" t="s">
        <v>18416</v>
      </c>
      <c r="C1638" s="242" t="s">
        <v>18417</v>
      </c>
      <c r="D1638" s="251">
        <v>199.33</v>
      </c>
    </row>
    <row r="1639" spans="1:4" x14ac:dyDescent="0.3">
      <c r="A1639" s="242" t="s">
        <v>18418</v>
      </c>
      <c r="B1639" s="242" t="s">
        <v>18419</v>
      </c>
      <c r="C1639" s="242" t="s">
        <v>18420</v>
      </c>
      <c r="D1639" s="251">
        <v>259.33</v>
      </c>
    </row>
    <row r="1640" spans="1:4" x14ac:dyDescent="0.3">
      <c r="A1640" s="242" t="s">
        <v>18421</v>
      </c>
      <c r="B1640" s="242" t="s">
        <v>18422</v>
      </c>
      <c r="C1640" s="242" t="s">
        <v>18423</v>
      </c>
      <c r="D1640" s="251">
        <v>286</v>
      </c>
    </row>
    <row r="1641" spans="1:4" x14ac:dyDescent="0.3">
      <c r="A1641" s="242" t="s">
        <v>18424</v>
      </c>
      <c r="B1641" s="242" t="s">
        <v>18425</v>
      </c>
      <c r="C1641" s="242" t="s">
        <v>18426</v>
      </c>
      <c r="D1641" s="251">
        <v>132.66999999999999</v>
      </c>
    </row>
    <row r="1642" spans="1:4" x14ac:dyDescent="0.3">
      <c r="A1642" s="242" t="s">
        <v>18427</v>
      </c>
      <c r="B1642" s="242" t="s">
        <v>18428</v>
      </c>
      <c r="C1642" s="242" t="s">
        <v>18429</v>
      </c>
      <c r="D1642" s="251">
        <v>212.67</v>
      </c>
    </row>
    <row r="1643" spans="1:4" x14ac:dyDescent="0.3">
      <c r="A1643" s="242" t="s">
        <v>18430</v>
      </c>
      <c r="B1643" s="242" t="s">
        <v>18431</v>
      </c>
      <c r="C1643" s="242" t="s">
        <v>18432</v>
      </c>
      <c r="D1643" s="251">
        <v>259.33</v>
      </c>
    </row>
    <row r="1644" spans="1:4" x14ac:dyDescent="0.3">
      <c r="A1644" s="242" t="s">
        <v>18433</v>
      </c>
      <c r="B1644" s="242" t="s">
        <v>18434</v>
      </c>
      <c r="C1644" s="242" t="s">
        <v>18435</v>
      </c>
      <c r="D1644" s="251">
        <v>359.33</v>
      </c>
    </row>
    <row r="1645" spans="1:4" x14ac:dyDescent="0.3">
      <c r="A1645" s="242" t="s">
        <v>18436</v>
      </c>
      <c r="B1645" s="242" t="s">
        <v>18437</v>
      </c>
      <c r="C1645" s="242" t="s">
        <v>18438</v>
      </c>
      <c r="D1645" s="251">
        <v>359.33</v>
      </c>
    </row>
    <row r="1646" spans="1:4" x14ac:dyDescent="0.3">
      <c r="A1646" s="242" t="s">
        <v>18439</v>
      </c>
      <c r="B1646" s="242" t="s">
        <v>18440</v>
      </c>
      <c r="C1646" s="242" t="s">
        <v>18441</v>
      </c>
      <c r="D1646" s="251">
        <v>559.33000000000004</v>
      </c>
    </row>
    <row r="1647" spans="1:4" x14ac:dyDescent="0.3">
      <c r="A1647" s="242" t="s">
        <v>18442</v>
      </c>
      <c r="B1647" s="242" t="s">
        <v>18443</v>
      </c>
      <c r="C1647" s="242" t="s">
        <v>18444</v>
      </c>
      <c r="D1647" s="251">
        <v>18.66</v>
      </c>
    </row>
    <row r="1648" spans="1:4" x14ac:dyDescent="0.3">
      <c r="A1648" s="242" t="s">
        <v>18445</v>
      </c>
      <c r="B1648" s="242" t="s">
        <v>18446</v>
      </c>
      <c r="C1648" s="242" t="s">
        <v>18447</v>
      </c>
      <c r="D1648" s="251">
        <v>266</v>
      </c>
    </row>
    <row r="1649" spans="1:4" x14ac:dyDescent="0.3">
      <c r="A1649" s="242" t="s">
        <v>18448</v>
      </c>
      <c r="B1649" s="242" t="s">
        <v>18449</v>
      </c>
      <c r="C1649" s="242" t="s">
        <v>18450</v>
      </c>
      <c r="D1649" s="251">
        <v>132.66999999999999</v>
      </c>
    </row>
    <row r="1650" spans="1:4" x14ac:dyDescent="0.3">
      <c r="A1650" s="242" t="s">
        <v>18451</v>
      </c>
      <c r="B1650" s="242" t="s">
        <v>18452</v>
      </c>
      <c r="C1650" s="242" t="s">
        <v>18453</v>
      </c>
      <c r="D1650" s="251">
        <v>86</v>
      </c>
    </row>
    <row r="1651" spans="1:4" x14ac:dyDescent="0.3">
      <c r="A1651" s="242" t="s">
        <v>18454</v>
      </c>
      <c r="B1651" s="242" t="s">
        <v>18455</v>
      </c>
      <c r="C1651" s="242" t="s">
        <v>18456</v>
      </c>
      <c r="D1651" s="251">
        <v>192.67</v>
      </c>
    </row>
    <row r="1652" spans="1:4" x14ac:dyDescent="0.3">
      <c r="A1652" s="242" t="s">
        <v>18457</v>
      </c>
      <c r="B1652" s="242" t="s">
        <v>18458</v>
      </c>
      <c r="C1652" s="242" t="s">
        <v>18459</v>
      </c>
      <c r="D1652" s="251">
        <v>3.53</v>
      </c>
    </row>
    <row r="1653" spans="1:4" x14ac:dyDescent="0.3">
      <c r="A1653" s="242" t="s">
        <v>18460</v>
      </c>
      <c r="B1653" s="242" t="s">
        <v>18461</v>
      </c>
      <c r="C1653" s="242" t="s">
        <v>18462</v>
      </c>
      <c r="D1653" s="251">
        <v>10.46</v>
      </c>
    </row>
    <row r="1654" spans="1:4" x14ac:dyDescent="0.3">
      <c r="A1654" s="242" t="s">
        <v>18463</v>
      </c>
      <c r="B1654" s="242" t="s">
        <v>18464</v>
      </c>
      <c r="C1654" s="242" t="s">
        <v>18465</v>
      </c>
      <c r="D1654" s="251">
        <v>5.79</v>
      </c>
    </row>
    <row r="1655" spans="1:4" x14ac:dyDescent="0.3">
      <c r="A1655" s="242" t="s">
        <v>18466</v>
      </c>
      <c r="B1655" s="242" t="s">
        <v>18467</v>
      </c>
      <c r="C1655" s="242" t="s">
        <v>18468</v>
      </c>
      <c r="D1655" s="251">
        <v>192.67</v>
      </c>
    </row>
    <row r="1656" spans="1:4" x14ac:dyDescent="0.3">
      <c r="A1656" s="242" t="s">
        <v>18469</v>
      </c>
      <c r="B1656" s="242" t="s">
        <v>18470</v>
      </c>
      <c r="C1656" s="242" t="s">
        <v>18471</v>
      </c>
      <c r="D1656" s="251">
        <v>192.67</v>
      </c>
    </row>
    <row r="1657" spans="1:4" x14ac:dyDescent="0.3">
      <c r="A1657" s="242" t="s">
        <v>18472</v>
      </c>
      <c r="B1657" s="242" t="s">
        <v>18473</v>
      </c>
      <c r="C1657" s="242" t="s">
        <v>18474</v>
      </c>
      <c r="D1657" s="251">
        <v>212.67</v>
      </c>
    </row>
    <row r="1658" spans="1:4" x14ac:dyDescent="0.3">
      <c r="A1658" s="242" t="s">
        <v>18475</v>
      </c>
      <c r="B1658" s="242" t="s">
        <v>18476</v>
      </c>
      <c r="C1658" s="242" t="s">
        <v>18477</v>
      </c>
      <c r="D1658" s="251">
        <v>212.67</v>
      </c>
    </row>
    <row r="1659" spans="1:4" x14ac:dyDescent="0.3">
      <c r="A1659" s="242" t="s">
        <v>18478</v>
      </c>
      <c r="B1659" s="242" t="s">
        <v>18479</v>
      </c>
      <c r="C1659" s="242" t="s">
        <v>18480</v>
      </c>
      <c r="D1659" s="251">
        <v>45.99</v>
      </c>
    </row>
    <row r="1660" spans="1:4" x14ac:dyDescent="0.3">
      <c r="A1660" s="242" t="s">
        <v>18481</v>
      </c>
      <c r="B1660" s="242" t="s">
        <v>18482</v>
      </c>
      <c r="C1660" s="242" t="s">
        <v>18483</v>
      </c>
      <c r="D1660" s="251">
        <v>61.33</v>
      </c>
    </row>
    <row r="1661" spans="1:4" x14ac:dyDescent="0.3">
      <c r="A1661" s="242" t="s">
        <v>18484</v>
      </c>
      <c r="B1661" s="242" t="s">
        <v>18485</v>
      </c>
      <c r="C1661" s="242" t="s">
        <v>18486</v>
      </c>
      <c r="D1661" s="251">
        <v>37.99</v>
      </c>
    </row>
    <row r="1662" spans="1:4" x14ac:dyDescent="0.3">
      <c r="A1662" s="242" t="s">
        <v>18487</v>
      </c>
      <c r="B1662" s="242" t="s">
        <v>18488</v>
      </c>
      <c r="C1662" s="242" t="s">
        <v>18489</v>
      </c>
      <c r="D1662" s="251">
        <v>37.99</v>
      </c>
    </row>
    <row r="1663" spans="1:4" x14ac:dyDescent="0.3">
      <c r="A1663" s="242" t="s">
        <v>18490</v>
      </c>
      <c r="B1663" s="242" t="s">
        <v>18491</v>
      </c>
      <c r="C1663" s="242" t="s">
        <v>18492</v>
      </c>
      <c r="D1663" s="251">
        <v>20.66</v>
      </c>
    </row>
    <row r="1664" spans="1:4" x14ac:dyDescent="0.3">
      <c r="A1664" s="242" t="s">
        <v>18493</v>
      </c>
      <c r="B1664" s="242" t="s">
        <v>18494</v>
      </c>
      <c r="C1664" s="242" t="s">
        <v>18495</v>
      </c>
      <c r="D1664" s="251">
        <v>24.66</v>
      </c>
    </row>
    <row r="1665" spans="1:4" x14ac:dyDescent="0.3">
      <c r="A1665" s="242" t="s">
        <v>18496</v>
      </c>
      <c r="B1665" s="242" t="s">
        <v>18497</v>
      </c>
      <c r="C1665" s="242" t="s">
        <v>18498</v>
      </c>
      <c r="D1665" s="251">
        <v>37.99</v>
      </c>
    </row>
    <row r="1666" spans="1:4" x14ac:dyDescent="0.3">
      <c r="A1666" s="242" t="s">
        <v>18499</v>
      </c>
      <c r="B1666" s="242" t="s">
        <v>18500</v>
      </c>
      <c r="C1666" s="242" t="s">
        <v>18501</v>
      </c>
      <c r="D1666" s="251">
        <v>45.99</v>
      </c>
    </row>
    <row r="1667" spans="1:4" x14ac:dyDescent="0.3">
      <c r="A1667" s="242" t="s">
        <v>18502</v>
      </c>
      <c r="B1667" s="242" t="s">
        <v>18503</v>
      </c>
      <c r="C1667" s="242" t="s">
        <v>18504</v>
      </c>
      <c r="D1667" s="251">
        <v>126</v>
      </c>
    </row>
    <row r="1668" spans="1:4" x14ac:dyDescent="0.3">
      <c r="A1668" s="242" t="s">
        <v>18505</v>
      </c>
      <c r="B1668" s="242" t="s">
        <v>18506</v>
      </c>
      <c r="C1668" s="242" t="s">
        <v>18507</v>
      </c>
      <c r="D1668" s="251">
        <v>112.67</v>
      </c>
    </row>
    <row r="1669" spans="1:4" x14ac:dyDescent="0.3">
      <c r="A1669" s="242" t="s">
        <v>18508</v>
      </c>
      <c r="B1669" s="242" t="s">
        <v>18509</v>
      </c>
      <c r="C1669" s="242" t="s">
        <v>18510</v>
      </c>
      <c r="D1669" s="251">
        <v>22.66</v>
      </c>
    </row>
    <row r="1670" spans="1:4" x14ac:dyDescent="0.3">
      <c r="A1670" s="242" t="s">
        <v>18511</v>
      </c>
      <c r="B1670" s="242" t="s">
        <v>18512</v>
      </c>
      <c r="C1670" s="242" t="s">
        <v>18513</v>
      </c>
      <c r="D1670" s="251">
        <v>239.33</v>
      </c>
    </row>
    <row r="1671" spans="1:4" x14ac:dyDescent="0.3">
      <c r="A1671" s="242" t="s">
        <v>18514</v>
      </c>
      <c r="B1671" s="242" t="s">
        <v>18515</v>
      </c>
      <c r="C1671" s="242" t="s">
        <v>18516</v>
      </c>
      <c r="D1671" s="251">
        <v>252.67</v>
      </c>
    </row>
    <row r="1672" spans="1:4" x14ac:dyDescent="0.3">
      <c r="A1672" s="242" t="s">
        <v>18517</v>
      </c>
      <c r="B1672" s="242" t="s">
        <v>18518</v>
      </c>
      <c r="C1672" s="242" t="s">
        <v>18519</v>
      </c>
      <c r="D1672" s="251">
        <v>239.33</v>
      </c>
    </row>
    <row r="1673" spans="1:4" x14ac:dyDescent="0.3">
      <c r="A1673" s="242" t="s">
        <v>18520</v>
      </c>
      <c r="B1673" s="242" t="s">
        <v>18521</v>
      </c>
      <c r="C1673" s="242" t="s">
        <v>18522</v>
      </c>
      <c r="D1673" s="251">
        <v>22.66</v>
      </c>
    </row>
    <row r="1674" spans="1:4" x14ac:dyDescent="0.3">
      <c r="A1674" s="242" t="s">
        <v>18523</v>
      </c>
      <c r="B1674" s="242" t="s">
        <v>18524</v>
      </c>
      <c r="C1674" s="242" t="s">
        <v>18525</v>
      </c>
      <c r="D1674" s="251">
        <v>27.33</v>
      </c>
    </row>
    <row r="1675" spans="1:4" x14ac:dyDescent="0.3">
      <c r="A1675" s="242" t="s">
        <v>18526</v>
      </c>
      <c r="B1675" s="242" t="s">
        <v>18527</v>
      </c>
      <c r="C1675" s="242" t="s">
        <v>18528</v>
      </c>
      <c r="D1675" s="251">
        <v>45.99</v>
      </c>
    </row>
    <row r="1676" spans="1:4" x14ac:dyDescent="0.3">
      <c r="A1676" s="242" t="s">
        <v>18529</v>
      </c>
      <c r="B1676" s="242" t="s">
        <v>18530</v>
      </c>
      <c r="C1676" s="242" t="s">
        <v>18531</v>
      </c>
      <c r="D1676" s="251">
        <v>53.33</v>
      </c>
    </row>
    <row r="1677" spans="1:4" x14ac:dyDescent="0.3">
      <c r="A1677" s="242" t="s">
        <v>18532</v>
      </c>
      <c r="B1677" s="242" t="s">
        <v>18533</v>
      </c>
      <c r="C1677" s="242" t="s">
        <v>18534</v>
      </c>
      <c r="D1677" s="251">
        <v>119.33</v>
      </c>
    </row>
    <row r="1678" spans="1:4" x14ac:dyDescent="0.3">
      <c r="A1678" s="242" t="s">
        <v>18535</v>
      </c>
      <c r="B1678" s="242" t="s">
        <v>18536</v>
      </c>
      <c r="C1678" s="242" t="s">
        <v>18537</v>
      </c>
      <c r="D1678" s="251">
        <v>17.329999999999998</v>
      </c>
    </row>
    <row r="1679" spans="1:4" x14ac:dyDescent="0.3">
      <c r="A1679" s="242" t="s">
        <v>18538</v>
      </c>
      <c r="B1679" s="242" t="s">
        <v>18539</v>
      </c>
      <c r="C1679" s="242" t="s">
        <v>18540</v>
      </c>
      <c r="D1679" s="251">
        <v>7.39</v>
      </c>
    </row>
    <row r="1680" spans="1:4" x14ac:dyDescent="0.3">
      <c r="A1680" s="242" t="s">
        <v>18541</v>
      </c>
      <c r="B1680" s="242" t="s">
        <v>18542</v>
      </c>
      <c r="C1680" s="242" t="s">
        <v>18543</v>
      </c>
      <c r="D1680" s="251">
        <v>15.99</v>
      </c>
    </row>
    <row r="1681" spans="1:4" x14ac:dyDescent="0.3">
      <c r="A1681" s="242" t="s">
        <v>18544</v>
      </c>
      <c r="B1681" s="242" t="s">
        <v>18545</v>
      </c>
      <c r="C1681" s="242" t="s">
        <v>18546</v>
      </c>
      <c r="D1681" s="251">
        <v>31.99</v>
      </c>
    </row>
    <row r="1682" spans="1:4" x14ac:dyDescent="0.3">
      <c r="A1682" s="242" t="s">
        <v>18547</v>
      </c>
      <c r="B1682" s="242" t="s">
        <v>18548</v>
      </c>
      <c r="C1682" s="242" t="s">
        <v>18549</v>
      </c>
      <c r="D1682" s="251">
        <v>21.33</v>
      </c>
    </row>
    <row r="1683" spans="1:4" x14ac:dyDescent="0.3">
      <c r="A1683" s="242" t="s">
        <v>18550</v>
      </c>
      <c r="B1683" s="242" t="s">
        <v>18551</v>
      </c>
      <c r="C1683" s="242" t="s">
        <v>18552</v>
      </c>
      <c r="D1683" s="251">
        <v>28.66</v>
      </c>
    </row>
    <row r="1684" spans="1:4" x14ac:dyDescent="0.3">
      <c r="A1684" s="242" t="s">
        <v>18553</v>
      </c>
      <c r="B1684" s="242" t="s">
        <v>18554</v>
      </c>
      <c r="C1684" s="242" t="s">
        <v>18555</v>
      </c>
      <c r="D1684" s="251">
        <v>4.26</v>
      </c>
    </row>
    <row r="1685" spans="1:4" x14ac:dyDescent="0.3">
      <c r="A1685" s="242" t="s">
        <v>18556</v>
      </c>
      <c r="B1685" s="242" t="s">
        <v>18557</v>
      </c>
      <c r="C1685" s="242" t="s">
        <v>18558</v>
      </c>
      <c r="D1685" s="251">
        <v>15.99</v>
      </c>
    </row>
    <row r="1686" spans="1:4" x14ac:dyDescent="0.3">
      <c r="A1686" s="242" t="s">
        <v>18559</v>
      </c>
      <c r="B1686" s="242" t="s">
        <v>18560</v>
      </c>
      <c r="C1686" s="242" t="s">
        <v>18561</v>
      </c>
      <c r="D1686" s="251">
        <v>10.46</v>
      </c>
    </row>
    <row r="1687" spans="1:4" x14ac:dyDescent="0.3">
      <c r="A1687" s="242" t="s">
        <v>18562</v>
      </c>
      <c r="B1687" s="242" t="s">
        <v>18563</v>
      </c>
      <c r="C1687" s="242" t="s">
        <v>18564</v>
      </c>
      <c r="D1687" s="251">
        <v>72.67</v>
      </c>
    </row>
    <row r="1688" spans="1:4" x14ac:dyDescent="0.3">
      <c r="A1688" s="242" t="s">
        <v>18565</v>
      </c>
      <c r="B1688" s="242" t="s">
        <v>18566</v>
      </c>
      <c r="C1688" s="242" t="s">
        <v>18567</v>
      </c>
      <c r="D1688" s="251">
        <v>63.99</v>
      </c>
    </row>
    <row r="1689" spans="1:4" x14ac:dyDescent="0.3">
      <c r="A1689" s="242" t="s">
        <v>18568</v>
      </c>
      <c r="B1689" s="242" t="s">
        <v>18569</v>
      </c>
      <c r="C1689" s="242" t="s">
        <v>18570</v>
      </c>
      <c r="D1689" s="251">
        <v>79.33</v>
      </c>
    </row>
    <row r="1690" spans="1:4" x14ac:dyDescent="0.3">
      <c r="A1690" s="242" t="s">
        <v>18571</v>
      </c>
      <c r="B1690" s="242" t="s">
        <v>18572</v>
      </c>
      <c r="C1690" s="242" t="s">
        <v>18573</v>
      </c>
      <c r="D1690" s="251">
        <v>79.33</v>
      </c>
    </row>
    <row r="1691" spans="1:4" x14ac:dyDescent="0.3">
      <c r="A1691" s="242" t="s">
        <v>18574</v>
      </c>
      <c r="B1691" s="242" t="s">
        <v>18575</v>
      </c>
      <c r="C1691" s="242" t="s">
        <v>18576</v>
      </c>
      <c r="D1691" s="251">
        <v>10.46</v>
      </c>
    </row>
    <row r="1692" spans="1:4" x14ac:dyDescent="0.3">
      <c r="A1692" s="242" t="s">
        <v>18577</v>
      </c>
      <c r="B1692" s="242" t="s">
        <v>18578</v>
      </c>
      <c r="C1692" s="242" t="s">
        <v>18579</v>
      </c>
      <c r="D1692" s="251">
        <v>17.329999999999998</v>
      </c>
    </row>
    <row r="1693" spans="1:4" x14ac:dyDescent="0.3">
      <c r="A1693" s="242" t="s">
        <v>18580</v>
      </c>
      <c r="B1693" s="242" t="s">
        <v>18581</v>
      </c>
      <c r="C1693" s="242" t="s">
        <v>18582</v>
      </c>
      <c r="D1693" s="251">
        <v>8.1300000000000008</v>
      </c>
    </row>
    <row r="1694" spans="1:4" x14ac:dyDescent="0.3">
      <c r="A1694" s="242" t="s">
        <v>18583</v>
      </c>
      <c r="B1694" s="242" t="s">
        <v>18584</v>
      </c>
      <c r="C1694" s="242" t="s">
        <v>18585</v>
      </c>
      <c r="D1694" s="251">
        <v>48.66</v>
      </c>
    </row>
    <row r="1695" spans="1:4" x14ac:dyDescent="0.3">
      <c r="A1695" s="242" t="s">
        <v>18586</v>
      </c>
      <c r="B1695" s="242" t="s">
        <v>18587</v>
      </c>
      <c r="C1695" s="242" t="s">
        <v>18588</v>
      </c>
      <c r="D1695" s="251">
        <v>17.989999999999998</v>
      </c>
    </row>
    <row r="1696" spans="1:4" x14ac:dyDescent="0.3">
      <c r="A1696" s="242" t="s">
        <v>18589</v>
      </c>
      <c r="B1696" s="242" t="s">
        <v>18590</v>
      </c>
      <c r="C1696" s="242" t="s">
        <v>18591</v>
      </c>
      <c r="D1696" s="251">
        <v>319.33</v>
      </c>
    </row>
    <row r="1697" spans="1:4" x14ac:dyDescent="0.3">
      <c r="A1697" s="242" t="s">
        <v>18592</v>
      </c>
      <c r="B1697" s="242" t="s">
        <v>18593</v>
      </c>
      <c r="C1697" s="242" t="s">
        <v>18594</v>
      </c>
      <c r="D1697" s="251">
        <v>699.33</v>
      </c>
    </row>
    <row r="1698" spans="1:4" x14ac:dyDescent="0.3">
      <c r="A1698" s="242" t="s">
        <v>18595</v>
      </c>
      <c r="B1698" s="242" t="s">
        <v>18596</v>
      </c>
      <c r="C1698" s="242" t="s">
        <v>18597</v>
      </c>
      <c r="D1698" s="251">
        <v>65.33</v>
      </c>
    </row>
    <row r="1699" spans="1:4" x14ac:dyDescent="0.3">
      <c r="A1699" s="242" t="s">
        <v>18598</v>
      </c>
      <c r="B1699" s="242" t="s">
        <v>18599</v>
      </c>
      <c r="C1699" s="242" t="s">
        <v>18600</v>
      </c>
      <c r="D1699" s="251">
        <v>62.66</v>
      </c>
    </row>
    <row r="1700" spans="1:4" x14ac:dyDescent="0.3">
      <c r="A1700" s="242" t="s">
        <v>18601</v>
      </c>
      <c r="B1700" s="242" t="s">
        <v>18602</v>
      </c>
      <c r="C1700" s="242" t="s">
        <v>18603</v>
      </c>
      <c r="D1700" s="251">
        <v>33.99</v>
      </c>
    </row>
    <row r="1701" spans="1:4" x14ac:dyDescent="0.3">
      <c r="A1701" s="242" t="s">
        <v>18604</v>
      </c>
      <c r="B1701" s="242" t="s">
        <v>18605</v>
      </c>
      <c r="C1701" s="242" t="s">
        <v>18606</v>
      </c>
      <c r="D1701" s="251">
        <v>57.33</v>
      </c>
    </row>
    <row r="1702" spans="1:4" x14ac:dyDescent="0.3">
      <c r="A1702" s="242" t="s">
        <v>18607</v>
      </c>
      <c r="B1702" s="242" t="s">
        <v>18608</v>
      </c>
      <c r="C1702" s="242" t="s">
        <v>18609</v>
      </c>
      <c r="D1702" s="251">
        <v>119.33</v>
      </c>
    </row>
    <row r="1703" spans="1:4" x14ac:dyDescent="0.3">
      <c r="A1703" s="242" t="s">
        <v>18610</v>
      </c>
      <c r="B1703" s="242" t="s">
        <v>18611</v>
      </c>
      <c r="C1703" s="242" t="s">
        <v>18612</v>
      </c>
      <c r="D1703" s="251">
        <v>259.33</v>
      </c>
    </row>
    <row r="1704" spans="1:4" x14ac:dyDescent="0.3">
      <c r="A1704" s="242" t="s">
        <v>18613</v>
      </c>
      <c r="B1704" s="242" t="s">
        <v>18614</v>
      </c>
      <c r="C1704" s="242" t="s">
        <v>18615</v>
      </c>
      <c r="D1704" s="251">
        <v>35.33</v>
      </c>
    </row>
    <row r="1705" spans="1:4" x14ac:dyDescent="0.3">
      <c r="A1705" s="242" t="s">
        <v>18616</v>
      </c>
      <c r="B1705" s="242" t="s">
        <v>18617</v>
      </c>
      <c r="C1705" s="242" t="s">
        <v>18618</v>
      </c>
      <c r="D1705" s="251">
        <v>35.33</v>
      </c>
    </row>
    <row r="1706" spans="1:4" x14ac:dyDescent="0.3">
      <c r="A1706" s="242" t="s">
        <v>18619</v>
      </c>
      <c r="B1706" s="242" t="s">
        <v>18620</v>
      </c>
      <c r="C1706" s="242" t="s">
        <v>18621</v>
      </c>
      <c r="D1706" s="251">
        <v>31.99</v>
      </c>
    </row>
    <row r="1707" spans="1:4" x14ac:dyDescent="0.3">
      <c r="A1707" s="242" t="s">
        <v>18622</v>
      </c>
      <c r="B1707" s="242" t="s">
        <v>18623</v>
      </c>
      <c r="C1707" s="242" t="s">
        <v>18624</v>
      </c>
      <c r="D1707" s="251">
        <v>21.33</v>
      </c>
    </row>
    <row r="1708" spans="1:4" x14ac:dyDescent="0.3">
      <c r="A1708" s="242" t="s">
        <v>18625</v>
      </c>
      <c r="B1708" s="242" t="s">
        <v>18626</v>
      </c>
      <c r="C1708" s="242" t="s">
        <v>18627</v>
      </c>
      <c r="D1708" s="251">
        <v>10.59</v>
      </c>
    </row>
    <row r="1709" spans="1:4" x14ac:dyDescent="0.3">
      <c r="A1709" s="242" t="s">
        <v>18628</v>
      </c>
      <c r="B1709" s="242" t="s">
        <v>18629</v>
      </c>
      <c r="C1709" s="242" t="s">
        <v>18630</v>
      </c>
      <c r="D1709" s="251">
        <v>24.66</v>
      </c>
    </row>
    <row r="1710" spans="1:4" x14ac:dyDescent="0.3">
      <c r="A1710" s="242" t="s">
        <v>18631</v>
      </c>
      <c r="B1710" s="242" t="s">
        <v>18632</v>
      </c>
      <c r="C1710" s="242" t="s">
        <v>18633</v>
      </c>
      <c r="D1710" s="251">
        <v>14.66</v>
      </c>
    </row>
    <row r="1711" spans="1:4" x14ac:dyDescent="0.3">
      <c r="A1711" s="242" t="s">
        <v>18634</v>
      </c>
      <c r="B1711" s="242" t="s">
        <v>18635</v>
      </c>
      <c r="C1711" s="242" t="s">
        <v>18636</v>
      </c>
      <c r="D1711" s="251">
        <v>13.99</v>
      </c>
    </row>
    <row r="1712" spans="1:4" x14ac:dyDescent="0.3">
      <c r="A1712" s="242" t="s">
        <v>18637</v>
      </c>
      <c r="B1712" s="242" t="s">
        <v>18638</v>
      </c>
      <c r="C1712" s="242" t="s">
        <v>18639</v>
      </c>
      <c r="D1712" s="251">
        <v>10.19</v>
      </c>
    </row>
    <row r="1713" spans="1:4" x14ac:dyDescent="0.3">
      <c r="A1713" s="242" t="s">
        <v>18640</v>
      </c>
      <c r="B1713" s="242" t="s">
        <v>18641</v>
      </c>
      <c r="C1713" s="242" t="s">
        <v>18642</v>
      </c>
      <c r="D1713" s="251">
        <v>7.33</v>
      </c>
    </row>
    <row r="1714" spans="1:4" x14ac:dyDescent="0.3">
      <c r="A1714" s="242" t="s">
        <v>18643</v>
      </c>
      <c r="B1714" s="242" t="s">
        <v>18644</v>
      </c>
      <c r="C1714" s="242" t="s">
        <v>18645</v>
      </c>
      <c r="D1714" s="251">
        <v>12.66</v>
      </c>
    </row>
    <row r="1715" spans="1:4" x14ac:dyDescent="0.3">
      <c r="A1715" s="242" t="s">
        <v>18646</v>
      </c>
      <c r="B1715" s="242" t="s">
        <v>18647</v>
      </c>
      <c r="C1715" s="242" t="s">
        <v>18648</v>
      </c>
      <c r="D1715" s="251">
        <v>21.33</v>
      </c>
    </row>
    <row r="1716" spans="1:4" x14ac:dyDescent="0.3">
      <c r="A1716" s="242" t="s">
        <v>18649</v>
      </c>
      <c r="B1716" s="242" t="s">
        <v>18650</v>
      </c>
      <c r="C1716" s="242" t="s">
        <v>18651</v>
      </c>
      <c r="D1716" s="251">
        <v>172.67</v>
      </c>
    </row>
    <row r="1717" spans="1:4" x14ac:dyDescent="0.3">
      <c r="A1717" s="242" t="s">
        <v>18652</v>
      </c>
      <c r="B1717" s="242" t="s">
        <v>18653</v>
      </c>
      <c r="C1717" s="242" t="s">
        <v>18654</v>
      </c>
      <c r="D1717" s="251">
        <v>126</v>
      </c>
    </row>
    <row r="1718" spans="1:4" x14ac:dyDescent="0.3">
      <c r="A1718" s="242" t="s">
        <v>18655</v>
      </c>
      <c r="B1718" s="242" t="s">
        <v>18656</v>
      </c>
      <c r="C1718" s="242" t="s">
        <v>18657</v>
      </c>
      <c r="D1718" s="251">
        <v>92.67</v>
      </c>
    </row>
    <row r="1719" spans="1:4" x14ac:dyDescent="0.3">
      <c r="A1719" s="242" t="s">
        <v>18658</v>
      </c>
      <c r="B1719" s="242" t="s">
        <v>18659</v>
      </c>
      <c r="C1719" s="242" t="s">
        <v>18660</v>
      </c>
      <c r="D1719" s="251">
        <v>232.67</v>
      </c>
    </row>
    <row r="1720" spans="1:4" x14ac:dyDescent="0.3">
      <c r="A1720" s="242" t="s">
        <v>18661</v>
      </c>
      <c r="B1720" s="242" t="s">
        <v>18662</v>
      </c>
      <c r="C1720" s="242" t="s">
        <v>18663</v>
      </c>
      <c r="D1720" s="251">
        <v>7.39</v>
      </c>
    </row>
    <row r="1721" spans="1:4" x14ac:dyDescent="0.3">
      <c r="A1721" s="242" t="s">
        <v>18664</v>
      </c>
      <c r="B1721" s="242" t="s">
        <v>18665</v>
      </c>
      <c r="C1721" s="242" t="s">
        <v>18666</v>
      </c>
      <c r="D1721" s="251">
        <v>37.99</v>
      </c>
    </row>
    <row r="1722" spans="1:4" x14ac:dyDescent="0.3">
      <c r="A1722" s="242" t="s">
        <v>18667</v>
      </c>
      <c r="B1722" s="242" t="s">
        <v>18668</v>
      </c>
      <c r="C1722" s="242" t="s">
        <v>18669</v>
      </c>
      <c r="D1722" s="251">
        <v>272.67</v>
      </c>
    </row>
    <row r="1723" spans="1:4" x14ac:dyDescent="0.3">
      <c r="A1723" s="242" t="s">
        <v>18670</v>
      </c>
      <c r="B1723" s="242" t="s">
        <v>18671</v>
      </c>
      <c r="C1723" s="242" t="s">
        <v>18672</v>
      </c>
      <c r="D1723" s="251">
        <v>13.33</v>
      </c>
    </row>
    <row r="1724" spans="1:4" x14ac:dyDescent="0.3">
      <c r="A1724" s="242" t="s">
        <v>18673</v>
      </c>
      <c r="B1724" s="242" t="s">
        <v>18674</v>
      </c>
      <c r="C1724" s="242" t="s">
        <v>18675</v>
      </c>
      <c r="D1724" s="251">
        <v>39.33</v>
      </c>
    </row>
    <row r="1725" spans="1:4" x14ac:dyDescent="0.3">
      <c r="A1725" s="242" t="s">
        <v>18676</v>
      </c>
      <c r="B1725" s="242" t="s">
        <v>18677</v>
      </c>
      <c r="C1725" s="242" t="s">
        <v>18678</v>
      </c>
      <c r="D1725" s="251">
        <v>65.989999999999995</v>
      </c>
    </row>
    <row r="1726" spans="1:4" x14ac:dyDescent="0.3">
      <c r="A1726" s="242" t="s">
        <v>18679</v>
      </c>
      <c r="B1726" s="242" t="s">
        <v>18680</v>
      </c>
      <c r="C1726" s="242" t="s">
        <v>18681</v>
      </c>
      <c r="D1726" s="251">
        <v>21.33</v>
      </c>
    </row>
    <row r="1727" spans="1:4" x14ac:dyDescent="0.3">
      <c r="A1727" s="242" t="s">
        <v>18682</v>
      </c>
      <c r="B1727" s="242" t="s">
        <v>18683</v>
      </c>
      <c r="C1727" s="242" t="s">
        <v>18684</v>
      </c>
      <c r="D1727" s="251">
        <v>31.99</v>
      </c>
    </row>
    <row r="1728" spans="1:4" x14ac:dyDescent="0.3">
      <c r="A1728" s="242" t="s">
        <v>18685</v>
      </c>
      <c r="B1728" s="242" t="s">
        <v>18686</v>
      </c>
      <c r="C1728" s="242" t="s">
        <v>18687</v>
      </c>
      <c r="D1728" s="251">
        <v>42.66</v>
      </c>
    </row>
    <row r="1729" spans="1:4" x14ac:dyDescent="0.3">
      <c r="A1729" s="242" t="s">
        <v>18688</v>
      </c>
      <c r="B1729" s="242" t="s">
        <v>18689</v>
      </c>
      <c r="C1729" s="242" t="s">
        <v>18690</v>
      </c>
      <c r="D1729" s="251">
        <v>37.33</v>
      </c>
    </row>
    <row r="1730" spans="1:4" x14ac:dyDescent="0.3">
      <c r="A1730" s="242" t="s">
        <v>18691</v>
      </c>
      <c r="B1730" s="242" t="s">
        <v>18692</v>
      </c>
      <c r="C1730" s="242" t="s">
        <v>18693</v>
      </c>
      <c r="D1730" s="251">
        <v>8.4600000000000009</v>
      </c>
    </row>
    <row r="1731" spans="1:4" x14ac:dyDescent="0.3">
      <c r="A1731" s="242" t="s">
        <v>18694</v>
      </c>
      <c r="B1731" s="242" t="s">
        <v>18695</v>
      </c>
      <c r="C1731" s="242" t="s">
        <v>18696</v>
      </c>
      <c r="D1731" s="251">
        <v>31.99</v>
      </c>
    </row>
    <row r="1732" spans="1:4" x14ac:dyDescent="0.3">
      <c r="A1732" s="242" t="s">
        <v>18697</v>
      </c>
      <c r="B1732" s="242" t="s">
        <v>18698</v>
      </c>
      <c r="C1732" s="242" t="s">
        <v>18699</v>
      </c>
      <c r="D1732" s="251">
        <v>37.33</v>
      </c>
    </row>
    <row r="1733" spans="1:4" x14ac:dyDescent="0.3">
      <c r="A1733" s="242" t="s">
        <v>18700</v>
      </c>
      <c r="B1733" s="242" t="s">
        <v>18701</v>
      </c>
      <c r="C1733" s="242" t="s">
        <v>18702</v>
      </c>
      <c r="D1733" s="251">
        <v>31.99</v>
      </c>
    </row>
    <row r="1734" spans="1:4" x14ac:dyDescent="0.3">
      <c r="A1734" s="242" t="s">
        <v>18703</v>
      </c>
      <c r="B1734" s="242" t="s">
        <v>18704</v>
      </c>
      <c r="C1734" s="242" t="s">
        <v>18705</v>
      </c>
      <c r="D1734" s="251">
        <v>9.4600000000000009</v>
      </c>
    </row>
    <row r="1735" spans="1:4" x14ac:dyDescent="0.3">
      <c r="A1735" s="242" t="s">
        <v>18706</v>
      </c>
      <c r="B1735" s="242" t="s">
        <v>18707</v>
      </c>
      <c r="C1735" s="242" t="s">
        <v>18708</v>
      </c>
      <c r="D1735" s="251">
        <v>42.66</v>
      </c>
    </row>
    <row r="1736" spans="1:4" x14ac:dyDescent="0.3">
      <c r="A1736" s="242" t="s">
        <v>18709</v>
      </c>
      <c r="B1736" s="242" t="s">
        <v>18710</v>
      </c>
      <c r="C1736" s="242" t="s">
        <v>18711</v>
      </c>
      <c r="D1736" s="251">
        <v>126</v>
      </c>
    </row>
    <row r="1737" spans="1:4" x14ac:dyDescent="0.3">
      <c r="A1737" s="242" t="s">
        <v>18712</v>
      </c>
      <c r="B1737" s="242" t="s">
        <v>18713</v>
      </c>
      <c r="C1737" s="242" t="s">
        <v>18714</v>
      </c>
      <c r="D1737" s="251">
        <v>17.989999999999998</v>
      </c>
    </row>
    <row r="1738" spans="1:4" x14ac:dyDescent="0.3">
      <c r="A1738" s="242" t="s">
        <v>18715</v>
      </c>
      <c r="B1738" s="242" t="s">
        <v>18716</v>
      </c>
      <c r="C1738" s="242" t="s">
        <v>18717</v>
      </c>
      <c r="D1738" s="251">
        <v>42.66</v>
      </c>
    </row>
    <row r="1739" spans="1:4" x14ac:dyDescent="0.3">
      <c r="A1739" s="242" t="s">
        <v>18718</v>
      </c>
      <c r="B1739" s="242" t="s">
        <v>18719</v>
      </c>
      <c r="C1739" s="242" t="s">
        <v>18720</v>
      </c>
      <c r="D1739" s="251">
        <v>31.99</v>
      </c>
    </row>
    <row r="1740" spans="1:4" x14ac:dyDescent="0.3">
      <c r="A1740" s="242" t="s">
        <v>18721</v>
      </c>
      <c r="B1740" s="242" t="s">
        <v>18722</v>
      </c>
      <c r="C1740" s="242" t="s">
        <v>18723</v>
      </c>
      <c r="D1740" s="251">
        <v>126</v>
      </c>
    </row>
    <row r="1741" spans="1:4" x14ac:dyDescent="0.3">
      <c r="A1741" s="242" t="s">
        <v>18724</v>
      </c>
      <c r="B1741" s="242" t="s">
        <v>18725</v>
      </c>
      <c r="C1741" s="242" t="s">
        <v>18726</v>
      </c>
      <c r="D1741" s="251">
        <v>339.33</v>
      </c>
    </row>
    <row r="1742" spans="1:4" x14ac:dyDescent="0.3">
      <c r="A1742" s="242" t="s">
        <v>18727</v>
      </c>
      <c r="B1742" s="242" t="s">
        <v>18728</v>
      </c>
      <c r="C1742" s="242" t="s">
        <v>18729</v>
      </c>
      <c r="D1742" s="251">
        <v>379.33</v>
      </c>
    </row>
    <row r="1743" spans="1:4" x14ac:dyDescent="0.3">
      <c r="A1743" s="242" t="s">
        <v>18730</v>
      </c>
      <c r="B1743" s="242" t="s">
        <v>18731</v>
      </c>
      <c r="C1743" s="242" t="s">
        <v>18732</v>
      </c>
      <c r="D1743" s="251">
        <v>42.66</v>
      </c>
    </row>
    <row r="1744" spans="1:4" x14ac:dyDescent="0.3">
      <c r="A1744" s="242" t="s">
        <v>18733</v>
      </c>
      <c r="B1744" s="242" t="s">
        <v>18734</v>
      </c>
      <c r="C1744" s="242" t="s">
        <v>18735</v>
      </c>
      <c r="D1744" s="251">
        <v>17.329999999999998</v>
      </c>
    </row>
    <row r="1745" spans="1:4" x14ac:dyDescent="0.3">
      <c r="A1745" s="242" t="s">
        <v>18736</v>
      </c>
      <c r="B1745" s="242" t="s">
        <v>18737</v>
      </c>
      <c r="C1745" s="242" t="s">
        <v>18738</v>
      </c>
      <c r="D1745" s="251">
        <v>99.33</v>
      </c>
    </row>
    <row r="1746" spans="1:4" x14ac:dyDescent="0.3">
      <c r="A1746" s="242" t="s">
        <v>18739</v>
      </c>
      <c r="B1746" s="242" t="s">
        <v>18740</v>
      </c>
      <c r="C1746" s="242" t="s">
        <v>18741</v>
      </c>
      <c r="D1746" s="251">
        <v>86</v>
      </c>
    </row>
    <row r="1747" spans="1:4" x14ac:dyDescent="0.3">
      <c r="A1747" s="242" t="s">
        <v>18742</v>
      </c>
      <c r="B1747" s="242" t="s">
        <v>18743</v>
      </c>
      <c r="C1747" s="242" t="s">
        <v>18744</v>
      </c>
      <c r="D1747" s="251">
        <v>63.33</v>
      </c>
    </row>
    <row r="1748" spans="1:4" x14ac:dyDescent="0.3">
      <c r="A1748" s="242" t="s">
        <v>18745</v>
      </c>
      <c r="B1748" s="242" t="s">
        <v>18746</v>
      </c>
      <c r="C1748" s="242" t="s">
        <v>18747</v>
      </c>
      <c r="D1748" s="251">
        <v>63.33</v>
      </c>
    </row>
    <row r="1749" spans="1:4" x14ac:dyDescent="0.3">
      <c r="A1749" s="242" t="s">
        <v>18748</v>
      </c>
      <c r="B1749" s="242" t="s">
        <v>18749</v>
      </c>
      <c r="C1749" s="242" t="s">
        <v>18750</v>
      </c>
      <c r="D1749" s="251">
        <v>63.33</v>
      </c>
    </row>
    <row r="1750" spans="1:4" x14ac:dyDescent="0.3">
      <c r="A1750" s="242" t="s">
        <v>18751</v>
      </c>
      <c r="B1750" s="242" t="s">
        <v>17833</v>
      </c>
      <c r="C1750" s="242" t="s">
        <v>18752</v>
      </c>
      <c r="D1750" s="251">
        <v>392.67</v>
      </c>
    </row>
    <row r="1751" spans="1:4" x14ac:dyDescent="0.3">
      <c r="A1751" s="242" t="s">
        <v>18753</v>
      </c>
      <c r="B1751" s="242" t="s">
        <v>18754</v>
      </c>
      <c r="C1751" s="242" t="s">
        <v>18755</v>
      </c>
      <c r="D1751" s="251">
        <v>392.67</v>
      </c>
    </row>
    <row r="1752" spans="1:4" x14ac:dyDescent="0.3">
      <c r="A1752" s="242" t="s">
        <v>18756</v>
      </c>
      <c r="B1752" s="242" t="s">
        <v>18757</v>
      </c>
      <c r="C1752" s="242" t="s">
        <v>18758</v>
      </c>
      <c r="D1752" s="251">
        <v>132.66999999999999</v>
      </c>
    </row>
    <row r="1753" spans="1:4" x14ac:dyDescent="0.3">
      <c r="A1753" s="242" t="s">
        <v>18759</v>
      </c>
      <c r="B1753" s="242" t="s">
        <v>18760</v>
      </c>
      <c r="C1753" s="242" t="s">
        <v>18761</v>
      </c>
      <c r="D1753" s="251">
        <v>99.33</v>
      </c>
    </row>
    <row r="1754" spans="1:4" x14ac:dyDescent="0.3">
      <c r="A1754" s="242" t="s">
        <v>18762</v>
      </c>
      <c r="B1754" s="242" t="s">
        <v>18763</v>
      </c>
      <c r="C1754" s="242" t="s">
        <v>18764</v>
      </c>
      <c r="D1754" s="251">
        <v>212.67</v>
      </c>
    </row>
    <row r="1755" spans="1:4" x14ac:dyDescent="0.3">
      <c r="A1755" s="242" t="s">
        <v>18765</v>
      </c>
      <c r="B1755" s="242" t="s">
        <v>18766</v>
      </c>
      <c r="C1755" s="242" t="s">
        <v>18767</v>
      </c>
      <c r="D1755" s="251">
        <v>246</v>
      </c>
    </row>
    <row r="1756" spans="1:4" x14ac:dyDescent="0.3">
      <c r="A1756" s="242" t="s">
        <v>18768</v>
      </c>
      <c r="B1756" s="242" t="s">
        <v>18769</v>
      </c>
      <c r="C1756" s="242" t="s">
        <v>18770</v>
      </c>
      <c r="D1756" s="251">
        <v>6.73</v>
      </c>
    </row>
    <row r="1757" spans="1:4" x14ac:dyDescent="0.3">
      <c r="A1757" s="242" t="s">
        <v>18771</v>
      </c>
      <c r="B1757" s="242" t="s">
        <v>18772</v>
      </c>
      <c r="C1757" s="242" t="s">
        <v>18773</v>
      </c>
      <c r="D1757" s="251">
        <v>6.73</v>
      </c>
    </row>
    <row r="1758" spans="1:4" x14ac:dyDescent="0.3">
      <c r="A1758" s="242" t="s">
        <v>18774</v>
      </c>
      <c r="B1758" s="242" t="s">
        <v>18775</v>
      </c>
      <c r="C1758" s="242" t="s">
        <v>18776</v>
      </c>
      <c r="D1758" s="251">
        <v>33.99</v>
      </c>
    </row>
    <row r="1759" spans="1:4" x14ac:dyDescent="0.3">
      <c r="A1759" s="242" t="s">
        <v>18777</v>
      </c>
      <c r="B1759" s="242" t="s">
        <v>18778</v>
      </c>
      <c r="C1759" s="242" t="s">
        <v>18779</v>
      </c>
      <c r="D1759" s="251">
        <v>10.130000000000001</v>
      </c>
    </row>
    <row r="1760" spans="1:4" x14ac:dyDescent="0.3">
      <c r="A1760" s="242" t="s">
        <v>18780</v>
      </c>
      <c r="B1760" s="242" t="s">
        <v>18781</v>
      </c>
      <c r="C1760" s="242" t="s">
        <v>18782</v>
      </c>
      <c r="D1760" s="251">
        <v>86</v>
      </c>
    </row>
    <row r="1761" spans="1:4" x14ac:dyDescent="0.3">
      <c r="A1761" s="242" t="s">
        <v>18783</v>
      </c>
      <c r="B1761" s="242" t="s">
        <v>18784</v>
      </c>
      <c r="C1761" s="242" t="s">
        <v>18785</v>
      </c>
      <c r="D1761" s="251">
        <v>106</v>
      </c>
    </row>
    <row r="1762" spans="1:4" x14ac:dyDescent="0.3">
      <c r="A1762" s="242" t="s">
        <v>18786</v>
      </c>
      <c r="B1762" s="242" t="s">
        <v>18787</v>
      </c>
      <c r="C1762" s="242" t="s">
        <v>18788</v>
      </c>
      <c r="D1762" s="251">
        <v>126</v>
      </c>
    </row>
    <row r="1763" spans="1:4" x14ac:dyDescent="0.3">
      <c r="A1763" s="242" t="s">
        <v>18789</v>
      </c>
      <c r="B1763" s="242" t="s">
        <v>18790</v>
      </c>
      <c r="C1763" s="242" t="s">
        <v>18791</v>
      </c>
      <c r="D1763" s="251">
        <v>132.66999999999999</v>
      </c>
    </row>
    <row r="1764" spans="1:4" x14ac:dyDescent="0.3">
      <c r="A1764" s="242" t="s">
        <v>18792</v>
      </c>
      <c r="B1764" s="242" t="s">
        <v>18793</v>
      </c>
      <c r="C1764" s="242" t="s">
        <v>18794</v>
      </c>
      <c r="D1764" s="251">
        <v>146</v>
      </c>
    </row>
    <row r="1765" spans="1:4" x14ac:dyDescent="0.3">
      <c r="A1765" s="242" t="s">
        <v>18795</v>
      </c>
      <c r="B1765" s="242" t="s">
        <v>18796</v>
      </c>
      <c r="C1765" s="242" t="s">
        <v>18797</v>
      </c>
      <c r="D1765" s="251">
        <v>172.67</v>
      </c>
    </row>
    <row r="1766" spans="1:4" x14ac:dyDescent="0.3">
      <c r="A1766" s="242" t="s">
        <v>18798</v>
      </c>
      <c r="B1766" s="242" t="s">
        <v>18799</v>
      </c>
      <c r="C1766" s="242" t="s">
        <v>18800</v>
      </c>
      <c r="D1766" s="251">
        <v>159.33000000000001</v>
      </c>
    </row>
    <row r="1767" spans="1:4" x14ac:dyDescent="0.3">
      <c r="A1767" s="242" t="s">
        <v>18801</v>
      </c>
      <c r="B1767" s="242" t="s">
        <v>18802</v>
      </c>
      <c r="C1767" s="242" t="s">
        <v>18803</v>
      </c>
      <c r="D1767" s="251">
        <v>106</v>
      </c>
    </row>
    <row r="1768" spans="1:4" x14ac:dyDescent="0.3">
      <c r="A1768" s="242" t="s">
        <v>18804</v>
      </c>
      <c r="B1768" s="242" t="s">
        <v>18805</v>
      </c>
      <c r="C1768" s="242" t="s">
        <v>18806</v>
      </c>
      <c r="D1768" s="251">
        <v>126</v>
      </c>
    </row>
    <row r="1769" spans="1:4" x14ac:dyDescent="0.3">
      <c r="A1769" s="242" t="s">
        <v>18807</v>
      </c>
      <c r="B1769" s="242" t="s">
        <v>18808</v>
      </c>
      <c r="C1769" s="242" t="s">
        <v>18809</v>
      </c>
      <c r="D1769" s="251">
        <v>34.659999999999997</v>
      </c>
    </row>
    <row r="1770" spans="1:4" x14ac:dyDescent="0.3">
      <c r="A1770" s="242" t="s">
        <v>18810</v>
      </c>
      <c r="B1770" s="242" t="s">
        <v>18811</v>
      </c>
      <c r="C1770" s="242" t="s">
        <v>18812</v>
      </c>
      <c r="D1770" s="251">
        <v>34.659999999999997</v>
      </c>
    </row>
    <row r="1771" spans="1:4" x14ac:dyDescent="0.3">
      <c r="A1771" s="242" t="s">
        <v>18813</v>
      </c>
      <c r="B1771" s="242" t="s">
        <v>18814</v>
      </c>
      <c r="C1771" s="242" t="s">
        <v>18815</v>
      </c>
      <c r="D1771" s="251">
        <v>40.659999999999997</v>
      </c>
    </row>
    <row r="1772" spans="1:4" x14ac:dyDescent="0.3">
      <c r="A1772" s="242" t="s">
        <v>18816</v>
      </c>
      <c r="B1772" s="242" t="s">
        <v>18817</v>
      </c>
      <c r="C1772" s="242" t="s">
        <v>18818</v>
      </c>
      <c r="D1772" s="251">
        <v>40.659999999999997</v>
      </c>
    </row>
    <row r="1773" spans="1:4" x14ac:dyDescent="0.3">
      <c r="A1773" s="242" t="s">
        <v>18819</v>
      </c>
      <c r="B1773" s="242" t="s">
        <v>18820</v>
      </c>
      <c r="C1773" s="242" t="s">
        <v>18821</v>
      </c>
      <c r="D1773" s="251">
        <v>19.329999999999998</v>
      </c>
    </row>
    <row r="1774" spans="1:4" x14ac:dyDescent="0.3">
      <c r="A1774" s="242" t="s">
        <v>18822</v>
      </c>
      <c r="B1774" s="242" t="s">
        <v>18823</v>
      </c>
      <c r="C1774" s="242" t="s">
        <v>18824</v>
      </c>
      <c r="D1774" s="251">
        <v>10.53</v>
      </c>
    </row>
    <row r="1775" spans="1:4" x14ac:dyDescent="0.3">
      <c r="A1775" s="242" t="s">
        <v>18825</v>
      </c>
      <c r="B1775" s="242" t="s">
        <v>18826</v>
      </c>
      <c r="C1775" s="242" t="s">
        <v>18827</v>
      </c>
      <c r="D1775" s="251">
        <v>6.33</v>
      </c>
    </row>
    <row r="1776" spans="1:4" x14ac:dyDescent="0.3">
      <c r="A1776" s="242" t="s">
        <v>18828</v>
      </c>
      <c r="B1776" s="242" t="s">
        <v>18829</v>
      </c>
      <c r="C1776" s="242" t="s">
        <v>18830</v>
      </c>
      <c r="D1776" s="251">
        <v>6.33</v>
      </c>
    </row>
    <row r="1777" spans="1:4" x14ac:dyDescent="0.3">
      <c r="A1777" s="242" t="s">
        <v>18831</v>
      </c>
      <c r="B1777" s="242" t="s">
        <v>18832</v>
      </c>
      <c r="C1777" s="242" t="s">
        <v>18833</v>
      </c>
      <c r="D1777" s="251">
        <v>6.33</v>
      </c>
    </row>
    <row r="1778" spans="1:4" x14ac:dyDescent="0.3">
      <c r="A1778" s="242" t="s">
        <v>18834</v>
      </c>
      <c r="B1778" s="242" t="s">
        <v>18835</v>
      </c>
      <c r="C1778" s="242" t="s">
        <v>18836</v>
      </c>
      <c r="D1778" s="251">
        <v>13.99</v>
      </c>
    </row>
    <row r="1779" spans="1:4" x14ac:dyDescent="0.3">
      <c r="A1779" s="242" t="s">
        <v>18837</v>
      </c>
      <c r="B1779" s="242" t="s">
        <v>18838</v>
      </c>
      <c r="C1779" s="242" t="s">
        <v>18839</v>
      </c>
      <c r="D1779" s="251">
        <v>15.99</v>
      </c>
    </row>
    <row r="1780" spans="1:4" x14ac:dyDescent="0.3">
      <c r="A1780" s="242" t="s">
        <v>18840</v>
      </c>
      <c r="B1780" s="242" t="s">
        <v>18841</v>
      </c>
      <c r="C1780" s="242" t="s">
        <v>18842</v>
      </c>
      <c r="D1780" s="251">
        <v>15.99</v>
      </c>
    </row>
    <row r="1781" spans="1:4" x14ac:dyDescent="0.3">
      <c r="A1781" s="242" t="s">
        <v>18843</v>
      </c>
      <c r="B1781" s="242" t="s">
        <v>18844</v>
      </c>
      <c r="C1781" s="242" t="s">
        <v>18845</v>
      </c>
      <c r="D1781" s="251">
        <v>15.99</v>
      </c>
    </row>
    <row r="1782" spans="1:4" x14ac:dyDescent="0.3">
      <c r="A1782" s="242" t="s">
        <v>18846</v>
      </c>
      <c r="B1782" s="242" t="s">
        <v>18847</v>
      </c>
      <c r="C1782" s="242" t="s">
        <v>18848</v>
      </c>
      <c r="D1782" s="251">
        <v>13.13</v>
      </c>
    </row>
    <row r="1783" spans="1:4" x14ac:dyDescent="0.3">
      <c r="A1783" s="242" t="s">
        <v>18849</v>
      </c>
      <c r="B1783" s="242" t="s">
        <v>18850</v>
      </c>
      <c r="C1783" s="242" t="s">
        <v>18851</v>
      </c>
      <c r="D1783" s="251">
        <v>15.99</v>
      </c>
    </row>
    <row r="1784" spans="1:4" x14ac:dyDescent="0.3">
      <c r="A1784" s="242" t="s">
        <v>18852</v>
      </c>
      <c r="B1784" s="242" t="s">
        <v>18853</v>
      </c>
      <c r="C1784" s="242" t="s">
        <v>18854</v>
      </c>
      <c r="D1784" s="251">
        <v>11.33</v>
      </c>
    </row>
    <row r="1785" spans="1:4" x14ac:dyDescent="0.3">
      <c r="A1785" s="242" t="s">
        <v>18855</v>
      </c>
      <c r="B1785" s="242" t="s">
        <v>18856</v>
      </c>
      <c r="C1785" s="242" t="s">
        <v>18857</v>
      </c>
      <c r="D1785" s="251">
        <v>11.33</v>
      </c>
    </row>
    <row r="1786" spans="1:4" x14ac:dyDescent="0.3">
      <c r="A1786" s="242" t="s">
        <v>18858</v>
      </c>
      <c r="B1786" s="242" t="s">
        <v>18859</v>
      </c>
      <c r="C1786" s="242" t="s">
        <v>18860</v>
      </c>
      <c r="D1786" s="251">
        <v>41.33</v>
      </c>
    </row>
    <row r="1787" spans="1:4" x14ac:dyDescent="0.3">
      <c r="A1787" s="242" t="s">
        <v>18861</v>
      </c>
      <c r="B1787" s="242" t="s">
        <v>18862</v>
      </c>
      <c r="C1787" s="242" t="s">
        <v>18863</v>
      </c>
      <c r="D1787" s="251">
        <v>41.33</v>
      </c>
    </row>
    <row r="1788" spans="1:4" x14ac:dyDescent="0.3">
      <c r="A1788" s="242" t="s">
        <v>18864</v>
      </c>
      <c r="B1788" s="242" t="s">
        <v>18865</v>
      </c>
      <c r="C1788" s="242" t="s">
        <v>18866</v>
      </c>
      <c r="D1788" s="251">
        <v>92.67</v>
      </c>
    </row>
    <row r="1789" spans="1:4" x14ac:dyDescent="0.3">
      <c r="A1789" s="242" t="s">
        <v>18867</v>
      </c>
      <c r="B1789" s="242" t="s">
        <v>18868</v>
      </c>
      <c r="C1789" s="242" t="s">
        <v>18869</v>
      </c>
      <c r="D1789" s="251">
        <v>34.659999999999997</v>
      </c>
    </row>
    <row r="1790" spans="1:4" x14ac:dyDescent="0.3">
      <c r="A1790" s="242" t="s">
        <v>18870</v>
      </c>
      <c r="B1790" s="242" t="s">
        <v>18871</v>
      </c>
      <c r="C1790" s="242" t="s">
        <v>18872</v>
      </c>
      <c r="D1790" s="251">
        <v>34.659999999999997</v>
      </c>
    </row>
    <row r="1791" spans="1:4" x14ac:dyDescent="0.3">
      <c r="A1791" s="242" t="s">
        <v>18873</v>
      </c>
      <c r="B1791" s="242" t="s">
        <v>18874</v>
      </c>
      <c r="C1791" s="242" t="s">
        <v>18875</v>
      </c>
      <c r="D1791" s="251">
        <v>38.659999999999997</v>
      </c>
    </row>
    <row r="1792" spans="1:4" x14ac:dyDescent="0.3">
      <c r="A1792" s="242" t="s">
        <v>18876</v>
      </c>
      <c r="B1792" s="242" t="s">
        <v>18877</v>
      </c>
      <c r="C1792" s="242" t="s">
        <v>18878</v>
      </c>
      <c r="D1792" s="251">
        <v>38.659999999999997</v>
      </c>
    </row>
    <row r="1793" spans="1:4" x14ac:dyDescent="0.3">
      <c r="A1793" s="242" t="s">
        <v>18879</v>
      </c>
      <c r="B1793" s="242" t="s">
        <v>18880</v>
      </c>
      <c r="C1793" s="242" t="s">
        <v>18881</v>
      </c>
      <c r="D1793" s="251">
        <v>62.66</v>
      </c>
    </row>
    <row r="1794" spans="1:4" x14ac:dyDescent="0.3">
      <c r="A1794" s="242" t="s">
        <v>18882</v>
      </c>
      <c r="B1794" s="242" t="s">
        <v>18883</v>
      </c>
      <c r="C1794" s="242" t="s">
        <v>18884</v>
      </c>
      <c r="D1794" s="251">
        <v>13.33</v>
      </c>
    </row>
    <row r="1795" spans="1:4" x14ac:dyDescent="0.3">
      <c r="A1795" s="242" t="s">
        <v>18885</v>
      </c>
      <c r="B1795" s="242" t="s">
        <v>18886</v>
      </c>
      <c r="C1795" s="242" t="s">
        <v>18887</v>
      </c>
      <c r="D1795" s="251">
        <v>13.33</v>
      </c>
    </row>
    <row r="1796" spans="1:4" x14ac:dyDescent="0.3">
      <c r="A1796" s="242" t="s">
        <v>18888</v>
      </c>
      <c r="B1796" s="242" t="s">
        <v>18889</v>
      </c>
      <c r="C1796" s="242" t="s">
        <v>18890</v>
      </c>
      <c r="D1796" s="251">
        <v>41.33</v>
      </c>
    </row>
    <row r="1797" spans="1:4" x14ac:dyDescent="0.3">
      <c r="A1797" s="242" t="s">
        <v>18891</v>
      </c>
      <c r="B1797" s="242" t="s">
        <v>18892</v>
      </c>
      <c r="C1797" s="242" t="s">
        <v>18893</v>
      </c>
      <c r="D1797" s="251">
        <v>10.130000000000001</v>
      </c>
    </row>
    <row r="1798" spans="1:4" x14ac:dyDescent="0.3">
      <c r="A1798" s="242" t="s">
        <v>18894</v>
      </c>
      <c r="B1798" s="242" t="s">
        <v>18895</v>
      </c>
      <c r="C1798" s="242" t="s">
        <v>18896</v>
      </c>
      <c r="D1798" s="251">
        <v>12.99</v>
      </c>
    </row>
    <row r="1799" spans="1:4" x14ac:dyDescent="0.3">
      <c r="A1799" s="242" t="s">
        <v>18897</v>
      </c>
      <c r="B1799" s="242" t="s">
        <v>18898</v>
      </c>
      <c r="C1799" s="242" t="s">
        <v>18899</v>
      </c>
      <c r="D1799" s="251">
        <v>19.329999999999998</v>
      </c>
    </row>
    <row r="1800" spans="1:4" x14ac:dyDescent="0.3">
      <c r="A1800" s="242" t="s">
        <v>18900</v>
      </c>
      <c r="B1800" s="242" t="s">
        <v>18901</v>
      </c>
      <c r="C1800" s="242" t="s">
        <v>18902</v>
      </c>
      <c r="D1800" s="251">
        <v>12.99</v>
      </c>
    </row>
    <row r="1801" spans="1:4" x14ac:dyDescent="0.3">
      <c r="A1801" s="242" t="s">
        <v>18903</v>
      </c>
      <c r="B1801" s="242" t="s">
        <v>18904</v>
      </c>
      <c r="C1801" s="242" t="s">
        <v>18905</v>
      </c>
      <c r="D1801" s="251">
        <v>19.329999999999998</v>
      </c>
    </row>
    <row r="1802" spans="1:4" x14ac:dyDescent="0.3">
      <c r="A1802" s="242" t="s">
        <v>18906</v>
      </c>
      <c r="B1802" s="242" t="s">
        <v>18907</v>
      </c>
      <c r="C1802" s="242" t="s">
        <v>18908</v>
      </c>
      <c r="D1802" s="251">
        <v>13.99</v>
      </c>
    </row>
    <row r="1803" spans="1:4" x14ac:dyDescent="0.3">
      <c r="A1803" s="242" t="s">
        <v>18909</v>
      </c>
      <c r="B1803" s="242" t="s">
        <v>18910</v>
      </c>
      <c r="C1803" s="242" t="s">
        <v>18911</v>
      </c>
      <c r="D1803" s="251">
        <v>12.93</v>
      </c>
    </row>
    <row r="1804" spans="1:4" x14ac:dyDescent="0.3">
      <c r="A1804" s="242" t="s">
        <v>18912</v>
      </c>
      <c r="B1804" s="242" t="s">
        <v>18913</v>
      </c>
      <c r="C1804" s="242" t="s">
        <v>18914</v>
      </c>
      <c r="D1804" s="251">
        <v>10.19</v>
      </c>
    </row>
    <row r="1805" spans="1:4" x14ac:dyDescent="0.3">
      <c r="A1805" s="242" t="s">
        <v>18915</v>
      </c>
      <c r="B1805" s="242" t="s">
        <v>18916</v>
      </c>
      <c r="C1805" s="242" t="s">
        <v>18917</v>
      </c>
      <c r="D1805" s="251">
        <v>6.86</v>
      </c>
    </row>
    <row r="1806" spans="1:4" x14ac:dyDescent="0.3">
      <c r="A1806" s="242" t="s">
        <v>18918</v>
      </c>
      <c r="B1806" s="242" t="s">
        <v>18919</v>
      </c>
      <c r="C1806" s="242" t="s">
        <v>18920</v>
      </c>
      <c r="D1806" s="251">
        <v>12.93</v>
      </c>
    </row>
    <row r="1807" spans="1:4" x14ac:dyDescent="0.3">
      <c r="A1807" s="242" t="s">
        <v>18921</v>
      </c>
      <c r="B1807" s="242" t="s">
        <v>18922</v>
      </c>
      <c r="C1807" s="242" t="s">
        <v>18923</v>
      </c>
      <c r="D1807" s="251">
        <v>17.329999999999998</v>
      </c>
    </row>
    <row r="1808" spans="1:4" x14ac:dyDescent="0.3">
      <c r="A1808" s="242" t="s">
        <v>18924</v>
      </c>
      <c r="B1808" s="242" t="s">
        <v>18925</v>
      </c>
      <c r="C1808" s="242" t="s">
        <v>18926</v>
      </c>
      <c r="D1808" s="251">
        <v>6.86</v>
      </c>
    </row>
    <row r="1809" spans="1:4" x14ac:dyDescent="0.3">
      <c r="A1809" s="242" t="s">
        <v>18927</v>
      </c>
      <c r="B1809" s="242" t="s">
        <v>18928</v>
      </c>
      <c r="C1809" s="242" t="s">
        <v>18929</v>
      </c>
      <c r="D1809" s="251">
        <v>23.99</v>
      </c>
    </row>
    <row r="1810" spans="1:4" x14ac:dyDescent="0.3">
      <c r="A1810" s="242" t="s">
        <v>18930</v>
      </c>
      <c r="B1810" s="242" t="s">
        <v>18931</v>
      </c>
      <c r="C1810" s="242" t="s">
        <v>18932</v>
      </c>
      <c r="D1810" s="251">
        <v>30.66</v>
      </c>
    </row>
    <row r="1811" spans="1:4" x14ac:dyDescent="0.3">
      <c r="A1811" s="242" t="s">
        <v>18933</v>
      </c>
      <c r="B1811" s="242" t="s">
        <v>18934</v>
      </c>
      <c r="C1811" s="242" t="s">
        <v>18935</v>
      </c>
      <c r="D1811" s="251">
        <v>10.19</v>
      </c>
    </row>
    <row r="1812" spans="1:4" x14ac:dyDescent="0.3">
      <c r="A1812" s="242" t="s">
        <v>18936</v>
      </c>
      <c r="B1812" s="242" t="s">
        <v>18937</v>
      </c>
      <c r="C1812" s="242" t="s">
        <v>18938</v>
      </c>
      <c r="D1812" s="251">
        <v>19.989999999999998</v>
      </c>
    </row>
    <row r="1813" spans="1:4" x14ac:dyDescent="0.3">
      <c r="A1813" s="242" t="s">
        <v>18939</v>
      </c>
      <c r="B1813" s="242" t="s">
        <v>18940</v>
      </c>
      <c r="C1813" s="242" t="s">
        <v>18941</v>
      </c>
      <c r="D1813" s="251">
        <v>6.86</v>
      </c>
    </row>
    <row r="1814" spans="1:4" x14ac:dyDescent="0.3">
      <c r="A1814" s="242" t="s">
        <v>18942</v>
      </c>
      <c r="B1814" s="242" t="s">
        <v>18943</v>
      </c>
      <c r="C1814" s="242" t="s">
        <v>18944</v>
      </c>
      <c r="D1814" s="251">
        <v>11.33</v>
      </c>
    </row>
    <row r="1815" spans="1:4" x14ac:dyDescent="0.3">
      <c r="A1815" s="242" t="s">
        <v>18945</v>
      </c>
      <c r="B1815" s="242" t="s">
        <v>18946</v>
      </c>
      <c r="C1815" s="242" t="s">
        <v>18947</v>
      </c>
      <c r="D1815" s="251">
        <v>11.33</v>
      </c>
    </row>
    <row r="1816" spans="1:4" x14ac:dyDescent="0.3">
      <c r="A1816" s="242" t="s">
        <v>18948</v>
      </c>
      <c r="B1816" s="242" t="s">
        <v>18949</v>
      </c>
      <c r="C1816" s="242" t="s">
        <v>18950</v>
      </c>
      <c r="D1816" s="251">
        <v>14.66</v>
      </c>
    </row>
    <row r="1817" spans="1:4" x14ac:dyDescent="0.3">
      <c r="A1817" s="242" t="s">
        <v>18951</v>
      </c>
      <c r="B1817" s="242" t="s">
        <v>18952</v>
      </c>
      <c r="C1817" s="242" t="s">
        <v>18953</v>
      </c>
      <c r="D1817" s="251">
        <v>15.99</v>
      </c>
    </row>
    <row r="1818" spans="1:4" x14ac:dyDescent="0.3">
      <c r="A1818" s="242" t="s">
        <v>18954</v>
      </c>
      <c r="B1818" s="242" t="s">
        <v>18955</v>
      </c>
      <c r="C1818" s="242" t="s">
        <v>18956</v>
      </c>
      <c r="D1818" s="251">
        <v>15.99</v>
      </c>
    </row>
    <row r="1819" spans="1:4" x14ac:dyDescent="0.3">
      <c r="A1819" s="242" t="s">
        <v>18957</v>
      </c>
      <c r="B1819" s="242" t="s">
        <v>18958</v>
      </c>
      <c r="C1819" s="242" t="s">
        <v>18959</v>
      </c>
      <c r="D1819" s="251">
        <v>40.659999999999997</v>
      </c>
    </row>
    <row r="1820" spans="1:4" x14ac:dyDescent="0.3">
      <c r="A1820" s="242" t="s">
        <v>18960</v>
      </c>
      <c r="B1820" s="242" t="s">
        <v>18961</v>
      </c>
      <c r="C1820" s="242" t="s">
        <v>18962</v>
      </c>
      <c r="D1820" s="251">
        <v>40.659999999999997</v>
      </c>
    </row>
    <row r="1821" spans="1:4" x14ac:dyDescent="0.3">
      <c r="A1821" s="242" t="s">
        <v>18963</v>
      </c>
      <c r="B1821" s="242" t="s">
        <v>18964</v>
      </c>
      <c r="C1821" s="242" t="s">
        <v>18965</v>
      </c>
      <c r="D1821" s="251">
        <v>12.99</v>
      </c>
    </row>
    <row r="1822" spans="1:4" x14ac:dyDescent="0.3">
      <c r="A1822" s="242" t="s">
        <v>18966</v>
      </c>
      <c r="B1822" s="242" t="s">
        <v>18967</v>
      </c>
      <c r="C1822" s="242" t="s">
        <v>18968</v>
      </c>
      <c r="D1822" s="251">
        <v>19.329999999999998</v>
      </c>
    </row>
  </sheetData>
  <pageMargins left="0.25" right="0.25" top="0.75" bottom="0.75" header="0.3" footer="0.3"/>
  <pageSetup paperSize="9" scale="96" orientation="portrait" r:id="rId1"/>
  <rowBreaks count="1" manualBreakCount="1">
    <brk id="1772" max="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D3BBC-389B-45C3-B68D-4FF26186C962}">
  <sheetPr>
    <pageSetUpPr fitToPage="1"/>
  </sheetPr>
  <dimension ref="A1:AU642"/>
  <sheetViews>
    <sheetView zoomScale="70" zoomScaleNormal="70" workbookViewId="0">
      <pane xSplit="2" ySplit="7" topLeftCell="M8" activePane="bottomRight" state="frozen"/>
      <selection pane="topRight" activeCell="C1" sqref="C1"/>
      <selection pane="bottomLeft" activeCell="A8" sqref="A8"/>
      <selection pane="bottomRight" activeCell="AA15" sqref="AA15"/>
    </sheetView>
  </sheetViews>
  <sheetFormatPr defaultColWidth="13.6640625" defaultRowHeight="13.2" x14ac:dyDescent="0.25"/>
  <cols>
    <col min="1" max="1" width="10.5546875" style="3" bestFit="1" customWidth="1"/>
    <col min="2" max="2" width="27.88671875" style="1" customWidth="1"/>
    <col min="3" max="3" width="15.6640625" style="7" customWidth="1"/>
    <col min="4" max="4" width="2.6640625" customWidth="1"/>
    <col min="5" max="5" width="13.6640625" style="5" customWidth="1"/>
    <col min="6" max="6" width="17.5546875" style="5" customWidth="1"/>
    <col min="7" max="7" width="13.6640625" style="69" bestFit="1" customWidth="1"/>
    <col min="8" max="8" width="8.6640625" bestFit="1" customWidth="1"/>
    <col min="9" max="9" width="8.88671875" bestFit="1" customWidth="1"/>
    <col min="10" max="12" width="9.5546875" hidden="1" customWidth="1"/>
    <col min="13" max="13" width="2.6640625" customWidth="1"/>
    <col min="14" max="14" width="11.6640625" bestFit="1" customWidth="1"/>
    <col min="15" max="15" width="12.44140625" bestFit="1" customWidth="1"/>
    <col min="16" max="16" width="13.6640625" customWidth="1"/>
    <col min="17" max="17" width="15" customWidth="1"/>
    <col min="18" max="19" width="13.6640625" customWidth="1"/>
    <col min="20" max="20" width="10" customWidth="1"/>
    <col min="21" max="21" width="9" customWidth="1"/>
    <col min="22" max="22" width="2.6640625" customWidth="1"/>
    <col min="23" max="25" width="9.88671875" hidden="1" customWidth="1"/>
    <col min="26" max="27" width="13.6640625" customWidth="1"/>
    <col min="28" max="28" width="13.6640625" hidden="1" customWidth="1"/>
    <col min="29" max="46" width="13.6640625" customWidth="1"/>
    <col min="47" max="16384" width="13.6640625" style="1"/>
  </cols>
  <sheetData>
    <row r="1" spans="1:46" s="10" customFormat="1" ht="61.95" customHeight="1" x14ac:dyDescent="0.5">
      <c r="A1" s="33"/>
      <c r="B1" s="9"/>
      <c r="C1" s="22"/>
      <c r="D1" s="16"/>
      <c r="E1" s="23"/>
      <c r="F1" s="34"/>
      <c r="G1" s="66"/>
      <c r="H1" s="8"/>
      <c r="I1" s="8"/>
      <c r="J1" s="8"/>
      <c r="K1" s="8"/>
      <c r="L1" s="8"/>
      <c r="M1" s="8"/>
      <c r="N1" s="8"/>
      <c r="O1" s="138" t="s">
        <v>13954</v>
      </c>
      <c r="P1" s="8"/>
      <c r="Q1" s="122" t="s">
        <v>13955</v>
      </c>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row>
    <row r="2" spans="1:46" s="10" customFormat="1" ht="21" customHeight="1" x14ac:dyDescent="0.45">
      <c r="A2" s="29" t="s">
        <v>224</v>
      </c>
      <c r="B2" s="9"/>
      <c r="C2" s="24"/>
      <c r="D2" s="16"/>
      <c r="E2" s="291">
        <v>2021</v>
      </c>
      <c r="F2" s="291"/>
      <c r="G2" s="291"/>
      <c r="H2" s="291"/>
      <c r="I2" s="291"/>
      <c r="J2" s="286">
        <v>2017</v>
      </c>
      <c r="K2" s="286"/>
      <c r="L2" s="286"/>
      <c r="M2" s="57"/>
      <c r="N2" s="277">
        <v>2022</v>
      </c>
      <c r="O2" s="277"/>
      <c r="P2" s="277"/>
      <c r="Q2" s="277"/>
      <c r="R2" s="277"/>
      <c r="S2" s="277"/>
      <c r="T2" s="277"/>
      <c r="U2" s="277"/>
      <c r="V2" s="58"/>
      <c r="W2" s="286">
        <v>2018</v>
      </c>
      <c r="X2" s="286"/>
      <c r="Y2" s="286"/>
      <c r="Z2" s="277" t="s">
        <v>13956</v>
      </c>
      <c r="AA2" s="277"/>
      <c r="AB2" s="277"/>
      <c r="AC2" s="277"/>
      <c r="AD2" s="277"/>
      <c r="AE2" s="277"/>
      <c r="AF2" s="8"/>
      <c r="AG2" s="8"/>
      <c r="AH2" s="8"/>
      <c r="AI2" s="8"/>
      <c r="AJ2" s="8"/>
      <c r="AK2" s="8"/>
      <c r="AL2" s="8"/>
      <c r="AM2" s="8"/>
      <c r="AN2" s="8"/>
      <c r="AO2" s="8"/>
      <c r="AP2" s="8"/>
      <c r="AQ2" s="8"/>
      <c r="AR2" s="8"/>
      <c r="AS2" s="8"/>
      <c r="AT2" s="8"/>
    </row>
    <row r="3" spans="1:46" ht="15" customHeight="1" x14ac:dyDescent="0.25">
      <c r="A3" s="77"/>
      <c r="B3" s="78"/>
      <c r="C3" s="79"/>
      <c r="D3" s="16"/>
      <c r="E3" s="287"/>
      <c r="F3" s="287"/>
      <c r="G3" s="287"/>
      <c r="H3" s="287"/>
      <c r="I3" s="287"/>
      <c r="J3" s="45"/>
      <c r="K3" s="45"/>
      <c r="L3" s="46"/>
      <c r="N3" s="278"/>
      <c r="O3" s="278"/>
      <c r="P3" s="278"/>
      <c r="Q3" s="278"/>
      <c r="R3" s="278"/>
      <c r="S3" s="278"/>
      <c r="T3" s="278"/>
      <c r="U3" s="278"/>
      <c r="W3" s="45"/>
      <c r="X3" s="45"/>
      <c r="Y3" s="46"/>
      <c r="Z3" s="278"/>
      <c r="AA3" s="278"/>
      <c r="AB3" s="278"/>
      <c r="AC3" s="278"/>
      <c r="AD3" s="278"/>
      <c r="AE3" s="278"/>
    </row>
    <row r="4" spans="1:46" ht="7.5" customHeight="1" x14ac:dyDescent="0.25">
      <c r="A4" s="80"/>
      <c r="B4" s="78"/>
      <c r="C4" s="79"/>
      <c r="D4" s="16"/>
      <c r="E4" s="287"/>
      <c r="F4" s="287"/>
      <c r="G4" s="287"/>
      <c r="H4" s="287"/>
      <c r="I4" s="287"/>
      <c r="J4" s="28"/>
      <c r="K4" s="28"/>
      <c r="L4" s="47"/>
      <c r="N4" s="278"/>
      <c r="O4" s="278"/>
      <c r="P4" s="278"/>
      <c r="Q4" s="278"/>
      <c r="R4" s="278"/>
      <c r="S4" s="278"/>
      <c r="T4" s="278"/>
      <c r="U4" s="278"/>
      <c r="W4" s="28"/>
      <c r="X4" s="28"/>
      <c r="Y4" s="47"/>
      <c r="Z4" s="279"/>
      <c r="AA4" s="279"/>
      <c r="AB4" s="279"/>
      <c r="AC4" s="279"/>
      <c r="AD4" s="279"/>
      <c r="AE4" s="279"/>
    </row>
    <row r="5" spans="1:46" ht="13.5" customHeight="1" x14ac:dyDescent="0.3">
      <c r="A5" s="25"/>
      <c r="B5" s="26"/>
      <c r="C5" s="35"/>
      <c r="D5" s="16"/>
      <c r="E5" s="133" t="s">
        <v>225</v>
      </c>
      <c r="F5" s="133" t="s">
        <v>226</v>
      </c>
      <c r="G5" s="133"/>
      <c r="H5" s="137"/>
      <c r="I5" s="137"/>
      <c r="J5" s="26"/>
      <c r="K5" s="26"/>
      <c r="L5" s="26"/>
      <c r="N5" s="135" t="s">
        <v>114</v>
      </c>
      <c r="O5" s="135" t="s">
        <v>115</v>
      </c>
      <c r="P5" s="282" t="s">
        <v>13902</v>
      </c>
      <c r="Q5" s="284" t="s">
        <v>13900</v>
      </c>
      <c r="R5" s="284" t="s">
        <v>13901</v>
      </c>
      <c r="S5" s="282" t="s">
        <v>13883</v>
      </c>
      <c r="T5" s="282" t="s">
        <v>13904</v>
      </c>
      <c r="U5" s="289" t="s">
        <v>13884</v>
      </c>
      <c r="W5" s="36"/>
      <c r="X5" s="36"/>
      <c r="Y5" s="36"/>
      <c r="Z5" s="280" t="s">
        <v>13953</v>
      </c>
      <c r="AA5" s="280" t="s">
        <v>13948</v>
      </c>
      <c r="AB5" s="280" t="s">
        <v>13952</v>
      </c>
      <c r="AC5" s="280" t="s">
        <v>13950</v>
      </c>
      <c r="AD5" s="280" t="s">
        <v>13949</v>
      </c>
      <c r="AE5" s="280" t="s">
        <v>13951</v>
      </c>
    </row>
    <row r="6" spans="1:46" ht="13.8" x14ac:dyDescent="0.3">
      <c r="A6" s="32" t="s">
        <v>119</v>
      </c>
      <c r="B6" s="27" t="s">
        <v>118</v>
      </c>
      <c r="C6" s="37" t="s">
        <v>0</v>
      </c>
      <c r="D6" s="16"/>
      <c r="E6" s="134" t="s">
        <v>227</v>
      </c>
      <c r="F6" s="134" t="s">
        <v>228</v>
      </c>
      <c r="G6" s="134" t="s">
        <v>13889</v>
      </c>
      <c r="H6" s="132" t="s">
        <v>13881</v>
      </c>
      <c r="I6" s="132" t="s">
        <v>13882</v>
      </c>
      <c r="J6" s="27"/>
      <c r="K6" s="27"/>
      <c r="L6" s="27"/>
      <c r="N6" s="136" t="s">
        <v>116</v>
      </c>
      <c r="O6" s="136" t="s">
        <v>117</v>
      </c>
      <c r="P6" s="283"/>
      <c r="Q6" s="285"/>
      <c r="R6" s="285"/>
      <c r="S6" s="283"/>
      <c r="T6" s="288"/>
      <c r="U6" s="290"/>
      <c r="W6" s="38"/>
      <c r="X6" s="38"/>
      <c r="Y6" s="38"/>
      <c r="Z6" s="280"/>
      <c r="AA6" s="280"/>
      <c r="AB6" s="280"/>
      <c r="AC6" s="280"/>
      <c r="AD6" s="280"/>
      <c r="AE6" s="280"/>
    </row>
    <row r="7" spans="1:46" ht="13.8" x14ac:dyDescent="0.3">
      <c r="A7" s="31"/>
      <c r="B7" s="31"/>
      <c r="C7" s="40"/>
      <c r="D7" s="16"/>
      <c r="E7" s="59" t="s">
        <v>13176</v>
      </c>
      <c r="F7" s="59" t="s">
        <v>13177</v>
      </c>
      <c r="G7" s="59"/>
      <c r="H7" s="56"/>
      <c r="I7" s="56"/>
      <c r="J7" s="59" t="s">
        <v>13178</v>
      </c>
      <c r="K7" s="59" t="s">
        <v>13179</v>
      </c>
      <c r="L7" s="59" t="s">
        <v>13180</v>
      </c>
      <c r="N7" s="59" t="s">
        <v>13176</v>
      </c>
      <c r="O7" s="59" t="s">
        <v>13177</v>
      </c>
      <c r="P7" s="59"/>
      <c r="Q7" s="59"/>
      <c r="R7" s="59"/>
      <c r="S7" s="59" t="s">
        <v>13177</v>
      </c>
      <c r="T7" s="59"/>
      <c r="U7" s="59"/>
      <c r="W7" s="59" t="s">
        <v>13178</v>
      </c>
      <c r="X7" s="59" t="s">
        <v>13179</v>
      </c>
      <c r="Y7" s="59" t="s">
        <v>13180</v>
      </c>
      <c r="Z7" s="280"/>
      <c r="AA7" s="280"/>
      <c r="AB7" s="280"/>
      <c r="AC7" s="280"/>
      <c r="AD7" s="280"/>
      <c r="AE7" s="280"/>
    </row>
    <row r="8" spans="1:46" ht="13.8" x14ac:dyDescent="0.25">
      <c r="A8" s="20"/>
      <c r="B8" s="81" t="s">
        <v>13945</v>
      </c>
      <c r="C8" s="21"/>
      <c r="D8" s="16"/>
      <c r="E8" s="19"/>
      <c r="F8" s="19"/>
      <c r="G8" s="67"/>
      <c r="AS8" s="1"/>
      <c r="AT8" s="1"/>
    </row>
    <row r="9" spans="1:46" x14ac:dyDescent="0.25">
      <c r="A9" s="70" t="s">
        <v>13940</v>
      </c>
      <c r="B9" s="70" t="s">
        <v>13946</v>
      </c>
      <c r="C9" s="71">
        <v>8715839085334</v>
      </c>
      <c r="D9" s="16"/>
      <c r="E9" s="82" t="s">
        <v>13885</v>
      </c>
      <c r="F9" s="82" t="s">
        <v>13885</v>
      </c>
      <c r="G9" s="82" t="s">
        <v>13885</v>
      </c>
      <c r="H9" s="82" t="s">
        <v>13885</v>
      </c>
      <c r="I9" s="82" t="s">
        <v>13885</v>
      </c>
      <c r="J9" s="85"/>
      <c r="K9" s="75"/>
      <c r="L9" s="86"/>
      <c r="N9" s="72">
        <f t="shared" ref="N9:N10" si="0">O9/1.5</f>
        <v>56.666666666666664</v>
      </c>
      <c r="O9" s="72">
        <v>85</v>
      </c>
      <c r="P9" s="83" t="s">
        <v>13885</v>
      </c>
      <c r="Q9" s="121">
        <v>168</v>
      </c>
      <c r="R9" s="92">
        <f t="shared" ref="R9:R10" si="1">Q9/7.6</f>
        <v>22.105263157894736</v>
      </c>
      <c r="S9" s="83" t="s">
        <v>13885</v>
      </c>
      <c r="T9" s="93">
        <f t="shared" ref="T9:T10" si="2">N9/R9</f>
        <v>2.5634920634920633</v>
      </c>
      <c r="U9" s="83" t="s">
        <v>13885</v>
      </c>
      <c r="W9" s="53">
        <v>0</v>
      </c>
      <c r="X9" s="41">
        <v>0</v>
      </c>
      <c r="Y9" s="118">
        <v>0</v>
      </c>
      <c r="Z9" s="128" t="s">
        <v>13885</v>
      </c>
      <c r="AA9" s="128" t="s">
        <v>13885</v>
      </c>
      <c r="AB9" s="130">
        <v>1032</v>
      </c>
      <c r="AC9" s="129">
        <f>N9*AB9</f>
        <v>58480</v>
      </c>
      <c r="AD9" s="128" t="s">
        <v>13885</v>
      </c>
      <c r="AE9" s="128" t="s">
        <v>13885</v>
      </c>
      <c r="AS9" s="1"/>
      <c r="AT9" s="1"/>
    </row>
    <row r="10" spans="1:46" x14ac:dyDescent="0.25">
      <c r="A10" s="70" t="s">
        <v>13941</v>
      </c>
      <c r="B10" s="70" t="s">
        <v>13947</v>
      </c>
      <c r="C10" s="71">
        <v>8715839085341</v>
      </c>
      <c r="D10" s="16"/>
      <c r="E10" s="82" t="s">
        <v>13885</v>
      </c>
      <c r="F10" s="82" t="s">
        <v>13885</v>
      </c>
      <c r="G10" s="82" t="s">
        <v>13885</v>
      </c>
      <c r="H10" s="82" t="s">
        <v>13885</v>
      </c>
      <c r="I10" s="82" t="s">
        <v>13885</v>
      </c>
      <c r="J10" s="85"/>
      <c r="K10" s="75"/>
      <c r="L10" s="86"/>
      <c r="N10" s="72">
        <f t="shared" si="0"/>
        <v>56.666666666666664</v>
      </c>
      <c r="O10" s="72">
        <v>85</v>
      </c>
      <c r="P10" s="83" t="s">
        <v>13885</v>
      </c>
      <c r="Q10" s="121">
        <v>168</v>
      </c>
      <c r="R10" s="92">
        <f t="shared" si="1"/>
        <v>22.105263157894736</v>
      </c>
      <c r="S10" s="83" t="s">
        <v>13885</v>
      </c>
      <c r="T10" s="93">
        <f t="shared" si="2"/>
        <v>2.5634920634920633</v>
      </c>
      <c r="U10" s="83" t="s">
        <v>13885</v>
      </c>
      <c r="W10" s="53">
        <v>0</v>
      </c>
      <c r="X10" s="41">
        <v>0</v>
      </c>
      <c r="Y10" s="118">
        <v>0</v>
      </c>
      <c r="Z10" s="127" t="s">
        <v>13885</v>
      </c>
      <c r="AA10" s="127" t="s">
        <v>13885</v>
      </c>
      <c r="AB10" s="130">
        <v>1032</v>
      </c>
      <c r="AC10" s="129">
        <f>N10*AB10</f>
        <v>58480</v>
      </c>
      <c r="AD10" s="127" t="s">
        <v>13885</v>
      </c>
      <c r="AE10" s="127" t="s">
        <v>13885</v>
      </c>
      <c r="AS10" s="1"/>
      <c r="AT10" s="1"/>
    </row>
    <row r="11" spans="1:46" ht="13.8" x14ac:dyDescent="0.25">
      <c r="A11" s="20"/>
      <c r="B11" s="81" t="s">
        <v>13880</v>
      </c>
      <c r="C11" s="21"/>
      <c r="D11" s="16"/>
      <c r="E11" s="19"/>
      <c r="F11" s="19"/>
      <c r="G11" s="67"/>
      <c r="AS11" s="1"/>
      <c r="AT11" s="1"/>
    </row>
    <row r="12" spans="1:46" x14ac:dyDescent="0.25">
      <c r="A12" s="39" t="s">
        <v>13879</v>
      </c>
      <c r="B12" s="39" t="s">
        <v>13886</v>
      </c>
      <c r="C12" s="30">
        <v>8715839065404</v>
      </c>
      <c r="D12" s="16"/>
      <c r="E12" s="41">
        <f>F12/1.5</f>
        <v>59.333333333333336</v>
      </c>
      <c r="F12" s="41">
        <v>89</v>
      </c>
      <c r="G12" s="111">
        <v>194.56</v>
      </c>
      <c r="H12" s="94">
        <f>G12/7.85</f>
        <v>24.78471337579618</v>
      </c>
      <c r="I12" s="95">
        <f>E12/H12</f>
        <v>2.3939487390350878</v>
      </c>
      <c r="J12" s="53">
        <v>0</v>
      </c>
      <c r="K12" s="41">
        <v>0</v>
      </c>
      <c r="L12" s="54">
        <v>0</v>
      </c>
      <c r="N12" s="41">
        <f>O12/1.5</f>
        <v>70</v>
      </c>
      <c r="O12" s="41">
        <v>105</v>
      </c>
      <c r="P12" s="87">
        <f t="shared" ref="P12:P13" si="3">(Q12-G12)/(G12)</f>
        <v>3.001644736842107E-2</v>
      </c>
      <c r="Q12" s="111">
        <v>200.4</v>
      </c>
      <c r="R12" s="89">
        <f>Q12/7.6</f>
        <v>26.368421052631582</v>
      </c>
      <c r="S12" s="90">
        <f>O12-F12</f>
        <v>16</v>
      </c>
      <c r="T12" s="91">
        <f>N12/R12</f>
        <v>2.6546906187624746</v>
      </c>
      <c r="U12" s="91">
        <f>T12-I12</f>
        <v>0.26074187972738683</v>
      </c>
      <c r="W12" s="53">
        <v>0</v>
      </c>
      <c r="X12" s="41">
        <v>0</v>
      </c>
      <c r="Y12" s="118">
        <v>0</v>
      </c>
      <c r="Z12" s="124">
        <f>S12/F12</f>
        <v>0.1797752808988764</v>
      </c>
      <c r="AA12" s="124">
        <f>11200/AC12</f>
        <v>0.13559322033898305</v>
      </c>
      <c r="AB12" s="125">
        <v>1180</v>
      </c>
      <c r="AC12" s="129">
        <f t="shared" ref="AC12:AC16" si="4">N12*AB12</f>
        <v>82600</v>
      </c>
      <c r="AD12" s="126">
        <f>AA12+P12</f>
        <v>0.16560966770740412</v>
      </c>
      <c r="AE12" s="126">
        <f>AD12-Z12</f>
        <v>-1.4165613191472276E-2</v>
      </c>
      <c r="AS12" s="1"/>
      <c r="AT12" s="1"/>
    </row>
    <row r="13" spans="1:46" x14ac:dyDescent="0.25">
      <c r="A13" s="39" t="s">
        <v>2764</v>
      </c>
      <c r="B13" s="39" t="s">
        <v>13887</v>
      </c>
      <c r="C13" s="30" t="str">
        <f>VLOOKUP(A13,EAN!$A:$C,3,0)</f>
        <v>8715839064322</v>
      </c>
      <c r="D13" s="16"/>
      <c r="E13" s="41">
        <f t="shared" ref="E13:E18" si="5">F13/1.5</f>
        <v>59.333333333333336</v>
      </c>
      <c r="F13" s="41">
        <v>89</v>
      </c>
      <c r="G13" s="111">
        <v>194.56</v>
      </c>
      <c r="H13" s="94">
        <f t="shared" ref="H13:H18" si="6">G13/7.85</f>
        <v>24.78471337579618</v>
      </c>
      <c r="I13" s="95">
        <f>E13/H13</f>
        <v>2.3939487390350878</v>
      </c>
      <c r="J13" s="53">
        <v>0</v>
      </c>
      <c r="K13" s="41">
        <v>0</v>
      </c>
      <c r="L13" s="54">
        <v>0</v>
      </c>
      <c r="N13" s="41">
        <f t="shared" ref="N13:N43" si="7">O13/1.5</f>
        <v>70</v>
      </c>
      <c r="O13" s="41">
        <v>105</v>
      </c>
      <c r="P13" s="87">
        <f t="shared" si="3"/>
        <v>3.001644736842107E-2</v>
      </c>
      <c r="Q13" s="111">
        <v>200.4</v>
      </c>
      <c r="R13" s="89">
        <f>Q13/7.6</f>
        <v>26.368421052631582</v>
      </c>
      <c r="S13" s="90">
        <f>O13-F13</f>
        <v>16</v>
      </c>
      <c r="T13" s="91">
        <f>N13/R13</f>
        <v>2.6546906187624746</v>
      </c>
      <c r="U13" s="91">
        <f>T13-I13</f>
        <v>0.26074187972738683</v>
      </c>
      <c r="W13" s="53">
        <v>0</v>
      </c>
      <c r="X13" s="41">
        <v>0</v>
      </c>
      <c r="Y13" s="118">
        <v>0</v>
      </c>
      <c r="Z13" s="124">
        <f t="shared" ref="Z13:Z17" si="8">S13/F13</f>
        <v>0.1797752808988764</v>
      </c>
      <c r="AA13" s="124">
        <f t="shared" ref="AA13:AA18" si="9">11200/AC13</f>
        <v>0.13559322033898305</v>
      </c>
      <c r="AB13" s="125">
        <v>1180</v>
      </c>
      <c r="AC13" s="129">
        <f t="shared" si="4"/>
        <v>82600</v>
      </c>
      <c r="AD13" s="126">
        <f t="shared" ref="AD13:AD18" si="10">AA13+P13</f>
        <v>0.16560966770740412</v>
      </c>
      <c r="AE13" s="126">
        <f t="shared" ref="AE13:AE28" si="11">AD13-Z13</f>
        <v>-1.4165613191472276E-2</v>
      </c>
      <c r="AS13" s="1"/>
      <c r="AT13" s="1"/>
    </row>
    <row r="14" spans="1:46" x14ac:dyDescent="0.25">
      <c r="A14" s="39" t="s">
        <v>2767</v>
      </c>
      <c r="B14" s="39" t="s">
        <v>13888</v>
      </c>
      <c r="C14" s="30" t="str">
        <f>VLOOKUP(A14,EAN!$A:$C,3,0)</f>
        <v>8715839064339</v>
      </c>
      <c r="D14" s="16"/>
      <c r="E14" s="41">
        <f t="shared" si="5"/>
        <v>59.333333333333336</v>
      </c>
      <c r="F14" s="41">
        <v>89</v>
      </c>
      <c r="G14" s="111">
        <v>194.56</v>
      </c>
      <c r="H14" s="94">
        <f t="shared" si="6"/>
        <v>24.78471337579618</v>
      </c>
      <c r="I14" s="95">
        <f t="shared" ref="I14:I18" si="12">E14/H14</f>
        <v>2.3939487390350878</v>
      </c>
      <c r="J14" s="53">
        <v>0</v>
      </c>
      <c r="K14" s="41">
        <v>0</v>
      </c>
      <c r="L14" s="54">
        <v>0</v>
      </c>
      <c r="N14" s="41">
        <f t="shared" si="7"/>
        <v>70</v>
      </c>
      <c r="O14" s="41">
        <v>105</v>
      </c>
      <c r="P14" s="87">
        <f>(Q14-G14)/(G14)</f>
        <v>3.001644736842107E-2</v>
      </c>
      <c r="Q14" s="111">
        <v>200.4</v>
      </c>
      <c r="R14" s="89">
        <f t="shared" ref="R14:R16" si="13">Q14/7.6</f>
        <v>26.368421052631582</v>
      </c>
      <c r="S14" s="90">
        <f>O14-F14</f>
        <v>16</v>
      </c>
      <c r="T14" s="91">
        <f t="shared" ref="T14:T18" si="14">N14/R14</f>
        <v>2.6546906187624746</v>
      </c>
      <c r="U14" s="91">
        <f>T14-I14</f>
        <v>0.26074187972738683</v>
      </c>
      <c r="W14" s="53">
        <v>0</v>
      </c>
      <c r="X14" s="41">
        <v>0</v>
      </c>
      <c r="Y14" s="118">
        <v>0</v>
      </c>
      <c r="Z14" s="124">
        <f t="shared" si="8"/>
        <v>0.1797752808988764</v>
      </c>
      <c r="AA14" s="124">
        <f t="shared" si="9"/>
        <v>0.13559322033898305</v>
      </c>
      <c r="AB14" s="125">
        <v>1180</v>
      </c>
      <c r="AC14" s="129">
        <f t="shared" si="4"/>
        <v>82600</v>
      </c>
      <c r="AD14" s="126">
        <f t="shared" si="10"/>
        <v>0.16560966770740412</v>
      </c>
      <c r="AE14" s="126">
        <f t="shared" si="11"/>
        <v>-1.4165613191472276E-2</v>
      </c>
      <c r="AS14" s="1"/>
      <c r="AT14" s="1"/>
    </row>
    <row r="15" spans="1:46" x14ac:dyDescent="0.25">
      <c r="A15" s="39" t="s">
        <v>13898</v>
      </c>
      <c r="B15" s="39" t="s">
        <v>13896</v>
      </c>
      <c r="C15" s="30">
        <v>8715839070453</v>
      </c>
      <c r="D15" s="16"/>
      <c r="E15" s="41">
        <f t="shared" si="5"/>
        <v>63.333333333333336</v>
      </c>
      <c r="F15" s="41">
        <v>95</v>
      </c>
      <c r="G15" s="111">
        <v>201.19</v>
      </c>
      <c r="H15" s="94">
        <f t="shared" si="6"/>
        <v>25.629299363057324</v>
      </c>
      <c r="I15" s="95">
        <f t="shared" si="12"/>
        <v>2.4711301091836906</v>
      </c>
      <c r="J15" s="73">
        <v>0</v>
      </c>
      <c r="K15" s="72">
        <v>0</v>
      </c>
      <c r="L15" s="74">
        <v>0</v>
      </c>
      <c r="N15" s="41">
        <f t="shared" si="7"/>
        <v>76.666666666666671</v>
      </c>
      <c r="O15" s="139">
        <v>115</v>
      </c>
      <c r="P15" s="87">
        <f>(Q15-G15)/(G15)</f>
        <v>3.0021372831651634E-2</v>
      </c>
      <c r="Q15" s="111">
        <v>207.23</v>
      </c>
      <c r="R15" s="89">
        <f t="shared" si="13"/>
        <v>27.267105263157895</v>
      </c>
      <c r="S15" s="90">
        <f t="shared" ref="S15:S18" si="15">O15-F15</f>
        <v>20</v>
      </c>
      <c r="T15" s="91">
        <f t="shared" si="14"/>
        <v>2.811690714021458</v>
      </c>
      <c r="U15" s="91">
        <f t="shared" ref="U15:U18" si="16">T15-I15</f>
        <v>0.3405606048377674</v>
      </c>
      <c r="W15" s="53">
        <v>0</v>
      </c>
      <c r="X15" s="41">
        <v>0</v>
      </c>
      <c r="Y15" s="118">
        <v>0</v>
      </c>
      <c r="Z15" s="124">
        <f t="shared" si="8"/>
        <v>0.21052631578947367</v>
      </c>
      <c r="AA15" s="124">
        <f t="shared" si="9"/>
        <v>0.12380250552689756</v>
      </c>
      <c r="AB15" s="125">
        <v>1180</v>
      </c>
      <c r="AC15" s="129">
        <f t="shared" si="4"/>
        <v>90466.666666666672</v>
      </c>
      <c r="AD15" s="126">
        <f t="shared" si="10"/>
        <v>0.15382387835854919</v>
      </c>
      <c r="AE15" s="126">
        <f t="shared" si="11"/>
        <v>-5.6702437430924485E-2</v>
      </c>
      <c r="AS15" s="1"/>
      <c r="AT15" s="1"/>
    </row>
    <row r="16" spans="1:46" x14ac:dyDescent="0.25">
      <c r="A16" s="39" t="s">
        <v>13899</v>
      </c>
      <c r="B16" s="39" t="s">
        <v>13897</v>
      </c>
      <c r="C16" s="30">
        <v>8715839070460</v>
      </c>
      <c r="D16" s="16"/>
      <c r="E16" s="41">
        <f t="shared" si="5"/>
        <v>63.333333333333336</v>
      </c>
      <c r="F16" s="41">
        <v>95</v>
      </c>
      <c r="G16" s="111">
        <v>199.6</v>
      </c>
      <c r="H16" s="94">
        <f t="shared" si="6"/>
        <v>25.426751592356688</v>
      </c>
      <c r="I16" s="95">
        <f t="shared" si="12"/>
        <v>2.4908149632598531</v>
      </c>
      <c r="J16" s="73">
        <v>0</v>
      </c>
      <c r="K16" s="72">
        <v>0</v>
      </c>
      <c r="L16" s="74">
        <v>0</v>
      </c>
      <c r="N16" s="41">
        <f t="shared" si="7"/>
        <v>76.666666666666671</v>
      </c>
      <c r="O16" s="139">
        <v>115</v>
      </c>
      <c r="P16" s="87">
        <f t="shared" ref="P16:P18" si="17">(Q16-G16)/(G16)</f>
        <v>3.0010020040080208E-2</v>
      </c>
      <c r="Q16" s="111">
        <v>205.59</v>
      </c>
      <c r="R16" s="89">
        <f t="shared" si="13"/>
        <v>27.051315789473687</v>
      </c>
      <c r="S16" s="90">
        <f t="shared" si="15"/>
        <v>20</v>
      </c>
      <c r="T16" s="91">
        <f t="shared" si="14"/>
        <v>2.8341196880522723</v>
      </c>
      <c r="U16" s="91">
        <f t="shared" si="16"/>
        <v>0.34330472479241925</v>
      </c>
      <c r="W16" s="53">
        <v>0</v>
      </c>
      <c r="X16" s="41">
        <v>0</v>
      </c>
      <c r="Y16" s="118">
        <v>0</v>
      </c>
      <c r="Z16" s="124">
        <f t="shared" si="8"/>
        <v>0.21052631578947367</v>
      </c>
      <c r="AA16" s="124">
        <f t="shared" si="9"/>
        <v>0.12380250552689756</v>
      </c>
      <c r="AB16" s="125">
        <v>1180</v>
      </c>
      <c r="AC16" s="129">
        <f t="shared" si="4"/>
        <v>90466.666666666672</v>
      </c>
      <c r="AD16" s="126">
        <f t="shared" si="10"/>
        <v>0.15381252556697778</v>
      </c>
      <c r="AE16" s="126">
        <f t="shared" si="11"/>
        <v>-5.6713790222495897E-2</v>
      </c>
      <c r="AS16" s="1"/>
      <c r="AT16" s="1"/>
    </row>
    <row r="17" spans="1:46" x14ac:dyDescent="0.25">
      <c r="A17" s="39" t="s">
        <v>13924</v>
      </c>
      <c r="B17" s="39" t="s">
        <v>13926</v>
      </c>
      <c r="C17" s="30">
        <v>8715839076028</v>
      </c>
      <c r="D17" s="16"/>
      <c r="E17" s="41">
        <f t="shared" si="5"/>
        <v>59.333333333333336</v>
      </c>
      <c r="F17" s="41">
        <v>89</v>
      </c>
      <c r="G17" s="111">
        <v>199.07</v>
      </c>
      <c r="H17" s="94">
        <f t="shared" si="6"/>
        <v>25.359235668789808</v>
      </c>
      <c r="I17" s="95">
        <f t="shared" si="12"/>
        <v>2.3397129987776495</v>
      </c>
      <c r="J17" s="85"/>
      <c r="K17" s="75"/>
      <c r="L17" s="86"/>
      <c r="N17" s="41">
        <f t="shared" si="7"/>
        <v>70</v>
      </c>
      <c r="O17" s="41">
        <v>105</v>
      </c>
      <c r="P17" s="87">
        <f t="shared" si="17"/>
        <v>2.9989450946903095E-2</v>
      </c>
      <c r="Q17" s="111">
        <v>205.04</v>
      </c>
      <c r="R17" s="89">
        <f>Q17/7.6</f>
        <v>26.978947368421053</v>
      </c>
      <c r="S17" s="90">
        <f t="shared" si="15"/>
        <v>16</v>
      </c>
      <c r="T17" s="91">
        <f t="shared" si="14"/>
        <v>2.5946156847444399</v>
      </c>
      <c r="U17" s="91">
        <f t="shared" si="16"/>
        <v>0.25490268596679044</v>
      </c>
      <c r="W17" s="62"/>
      <c r="X17" s="42"/>
      <c r="Y17" s="63"/>
      <c r="Z17" s="124">
        <f t="shared" si="8"/>
        <v>0.1797752808988764</v>
      </c>
      <c r="AA17" s="124">
        <f t="shared" si="9"/>
        <v>0.15503875968992248</v>
      </c>
      <c r="AB17" s="125">
        <v>1032</v>
      </c>
      <c r="AC17" s="129">
        <f>N17*AB17</f>
        <v>72240</v>
      </c>
      <c r="AD17" s="126">
        <f t="shared" si="10"/>
        <v>0.18502821063682556</v>
      </c>
      <c r="AE17" s="126">
        <f t="shared" si="11"/>
        <v>5.2529297379491635E-3</v>
      </c>
      <c r="AS17" s="1"/>
      <c r="AT17" s="1"/>
    </row>
    <row r="18" spans="1:46" x14ac:dyDescent="0.25">
      <c r="A18" s="39" t="s">
        <v>13925</v>
      </c>
      <c r="B18" s="39" t="s">
        <v>13927</v>
      </c>
      <c r="C18" s="30">
        <v>8715839076035</v>
      </c>
      <c r="D18" s="16"/>
      <c r="E18" s="41">
        <f t="shared" si="5"/>
        <v>59.333333333333336</v>
      </c>
      <c r="F18" s="41">
        <v>89</v>
      </c>
      <c r="G18" s="111">
        <v>199.07</v>
      </c>
      <c r="H18" s="94">
        <f t="shared" si="6"/>
        <v>25.359235668789808</v>
      </c>
      <c r="I18" s="95">
        <f t="shared" si="12"/>
        <v>2.3397129987776495</v>
      </c>
      <c r="J18" s="85"/>
      <c r="K18" s="75"/>
      <c r="L18" s="86"/>
      <c r="N18" s="41">
        <f t="shared" si="7"/>
        <v>70</v>
      </c>
      <c r="O18" s="41">
        <v>105</v>
      </c>
      <c r="P18" s="87">
        <f t="shared" si="17"/>
        <v>2.9989450946903095E-2</v>
      </c>
      <c r="Q18" s="111">
        <v>205.04</v>
      </c>
      <c r="R18" s="89">
        <f>Q18/7.6</f>
        <v>26.978947368421053</v>
      </c>
      <c r="S18" s="90">
        <f t="shared" si="15"/>
        <v>16</v>
      </c>
      <c r="T18" s="91">
        <f t="shared" si="14"/>
        <v>2.5946156847444399</v>
      </c>
      <c r="U18" s="91">
        <f t="shared" si="16"/>
        <v>0.25490268596679044</v>
      </c>
      <c r="W18" s="62"/>
      <c r="X18" s="42"/>
      <c r="Y18" s="63"/>
      <c r="Z18" s="124">
        <f>S18/F18</f>
        <v>0.1797752808988764</v>
      </c>
      <c r="AA18" s="124">
        <f t="shared" si="9"/>
        <v>0.15503875968992248</v>
      </c>
      <c r="AB18" s="125">
        <v>1032</v>
      </c>
      <c r="AC18" s="129">
        <f>N18*AB18</f>
        <v>72240</v>
      </c>
      <c r="AD18" s="126">
        <f t="shared" si="10"/>
        <v>0.18502821063682556</v>
      </c>
      <c r="AE18" s="126">
        <f t="shared" si="11"/>
        <v>5.2529297379491635E-3</v>
      </c>
      <c r="AS18" s="1"/>
      <c r="AT18" s="1"/>
    </row>
    <row r="19" spans="1:46" ht="13.8" x14ac:dyDescent="0.25">
      <c r="A19" s="12"/>
      <c r="B19" s="81" t="s">
        <v>13905</v>
      </c>
      <c r="C19" s="18"/>
      <c r="D19" s="16"/>
      <c r="E19" s="14"/>
      <c r="F19" s="14"/>
      <c r="G19" s="68"/>
      <c r="N19" s="20"/>
      <c r="O19" s="19"/>
      <c r="P19" s="20"/>
      <c r="Q19" s="88"/>
      <c r="R19" s="20"/>
      <c r="S19" s="20"/>
      <c r="T19" s="20"/>
      <c r="U19" s="91"/>
      <c r="Z19" s="123"/>
      <c r="AA19" s="123"/>
      <c r="AB19" s="123"/>
      <c r="AC19" s="123"/>
      <c r="AD19" s="123"/>
      <c r="AE19" s="141"/>
      <c r="AQ19" s="1"/>
      <c r="AR19" s="1"/>
      <c r="AS19" s="1"/>
      <c r="AT19" s="1"/>
    </row>
    <row r="20" spans="1:46" x14ac:dyDescent="0.25">
      <c r="A20" s="39" t="s">
        <v>13906</v>
      </c>
      <c r="B20" s="39" t="s">
        <v>13915</v>
      </c>
      <c r="C20" s="17">
        <v>8715839077735</v>
      </c>
      <c r="D20" s="16"/>
      <c r="E20" s="41">
        <f>F20/1.5</f>
        <v>59.333333333333336</v>
      </c>
      <c r="F20" s="41">
        <v>89</v>
      </c>
      <c r="G20" s="111">
        <v>187.9</v>
      </c>
      <c r="H20" s="94">
        <f>G20/7.85</f>
        <v>23.93630573248408</v>
      </c>
      <c r="I20" s="95">
        <f>E20/H20</f>
        <v>2.4788007805570338</v>
      </c>
      <c r="J20" s="53" t="e">
        <f>VLOOKUP(A20,Mastersheet!$A:$AK,30,0)</f>
        <v>#N/A</v>
      </c>
      <c r="K20" s="41" t="e">
        <f>VLOOKUP(A20,Mastersheet!$A:$AK,32,0)</f>
        <v>#N/A</v>
      </c>
      <c r="L20" s="54" t="e">
        <f>VLOOKUP(A20,Mastersheet!$A:$AK,34,0)</f>
        <v>#N/A</v>
      </c>
      <c r="M20" s="96"/>
      <c r="N20" s="41">
        <f t="shared" si="7"/>
        <v>72.666666666666671</v>
      </c>
      <c r="O20" s="41">
        <v>109</v>
      </c>
      <c r="P20" s="87">
        <f>(Q20-G20)/(G20)</f>
        <v>0.11335816923895679</v>
      </c>
      <c r="Q20" s="111">
        <v>209.2</v>
      </c>
      <c r="R20" s="89">
        <f>Q20/7.6</f>
        <v>27.526315789473685</v>
      </c>
      <c r="S20" s="90">
        <f t="shared" ref="S20:S28" si="18">O20-F20</f>
        <v>20</v>
      </c>
      <c r="T20" s="91">
        <f>N20/R20</f>
        <v>2.639898024219248</v>
      </c>
      <c r="U20" s="91">
        <f>T20-I20</f>
        <v>0.16109724366221423</v>
      </c>
      <c r="W20" s="53">
        <v>0</v>
      </c>
      <c r="X20" s="41">
        <v>0</v>
      </c>
      <c r="Y20" s="54">
        <v>0</v>
      </c>
      <c r="Z20" s="124">
        <f>S20/F20</f>
        <v>0.2247191011235955</v>
      </c>
      <c r="AA20" s="124">
        <f>11200/AC20</f>
        <v>9.9437703462562879E-2</v>
      </c>
      <c r="AB20" s="125">
        <v>1550</v>
      </c>
      <c r="AC20" s="129">
        <f>N20*AB20</f>
        <v>112633.33333333334</v>
      </c>
      <c r="AD20" s="126">
        <f>AA20+P20</f>
        <v>0.21279587270151967</v>
      </c>
      <c r="AE20" s="126">
        <f t="shared" si="11"/>
        <v>-1.1923228422075827E-2</v>
      </c>
      <c r="AQ20" s="1"/>
      <c r="AR20" s="1"/>
      <c r="AS20" s="1"/>
      <c r="AT20" s="1"/>
    </row>
    <row r="21" spans="1:46" x14ac:dyDescent="0.25">
      <c r="A21" s="39" t="s">
        <v>13907</v>
      </c>
      <c r="B21" s="39" t="s">
        <v>13916</v>
      </c>
      <c r="C21" s="17">
        <v>8715839077742</v>
      </c>
      <c r="D21" s="16"/>
      <c r="E21" s="41">
        <f t="shared" ref="E21:E28" si="19">F21/1.5</f>
        <v>59.333333333333336</v>
      </c>
      <c r="F21" s="41">
        <v>89</v>
      </c>
      <c r="G21" s="111">
        <v>187.9</v>
      </c>
      <c r="H21" s="94">
        <f t="shared" ref="H21:H28" si="20">G21/7.85</f>
        <v>23.93630573248408</v>
      </c>
      <c r="I21" s="95">
        <f>E21/H21</f>
        <v>2.4788007805570338</v>
      </c>
      <c r="J21" s="53" t="e">
        <f>VLOOKUP(A21,Mastersheet!$A:$AK,30,0)</f>
        <v>#N/A</v>
      </c>
      <c r="K21" s="41" t="e">
        <f>VLOOKUP(A21,Mastersheet!$A:$AK,32,0)</f>
        <v>#N/A</v>
      </c>
      <c r="L21" s="54" t="e">
        <f>VLOOKUP(A21,Mastersheet!$A:$AK,34,0)</f>
        <v>#N/A</v>
      </c>
      <c r="M21" s="96"/>
      <c r="N21" s="41">
        <f t="shared" si="7"/>
        <v>72.666666666666671</v>
      </c>
      <c r="O21" s="41">
        <v>109</v>
      </c>
      <c r="P21" s="87">
        <f t="shared" ref="P21:P43" si="21">(Q21-G21)/(G21)</f>
        <v>0.11335816923895679</v>
      </c>
      <c r="Q21" s="111">
        <v>209.2</v>
      </c>
      <c r="R21" s="89">
        <f>Q21/7.6</f>
        <v>27.526315789473685</v>
      </c>
      <c r="S21" s="90">
        <f t="shared" si="18"/>
        <v>20</v>
      </c>
      <c r="T21" s="91">
        <f>N21/R21</f>
        <v>2.639898024219248</v>
      </c>
      <c r="U21" s="91">
        <f>T21-I21</f>
        <v>0.16109724366221423</v>
      </c>
      <c r="W21" s="53">
        <v>0</v>
      </c>
      <c r="X21" s="41">
        <v>0</v>
      </c>
      <c r="Y21" s="54">
        <v>0</v>
      </c>
      <c r="Z21" s="124">
        <f t="shared" ref="Z21:Z28" si="22">S21/F21</f>
        <v>0.2247191011235955</v>
      </c>
      <c r="AA21" s="124">
        <f t="shared" ref="AA21:AA28" si="23">11200/AC21</f>
        <v>9.9437703462562879E-2</v>
      </c>
      <c r="AB21" s="125">
        <v>1550</v>
      </c>
      <c r="AC21" s="129">
        <f t="shared" ref="AC21:AC31" si="24">N21*AB21</f>
        <v>112633.33333333334</v>
      </c>
      <c r="AD21" s="126">
        <f t="shared" ref="AD21:AD28" si="25">AA21+P21</f>
        <v>0.21279587270151967</v>
      </c>
      <c r="AE21" s="126">
        <f t="shared" si="11"/>
        <v>-1.1923228422075827E-2</v>
      </c>
      <c r="AS21" s="1"/>
      <c r="AT21" s="1"/>
    </row>
    <row r="22" spans="1:46" x14ac:dyDescent="0.25">
      <c r="A22" s="39" t="s">
        <v>13908</v>
      </c>
      <c r="B22" s="39" t="s">
        <v>13917</v>
      </c>
      <c r="C22" s="17">
        <v>8715839077759</v>
      </c>
      <c r="D22" s="16"/>
      <c r="E22" s="41">
        <f t="shared" si="19"/>
        <v>66</v>
      </c>
      <c r="F22" s="41">
        <v>99</v>
      </c>
      <c r="G22" s="111">
        <v>221.4</v>
      </c>
      <c r="H22" s="94">
        <f t="shared" si="20"/>
        <v>28.203821656050959</v>
      </c>
      <c r="I22" s="95">
        <f>E22/H22</f>
        <v>2.3401084010840107</v>
      </c>
      <c r="J22" s="53" t="e">
        <f>VLOOKUP(A22,Mastersheet!$A:$AK,30,0)</f>
        <v>#N/A</v>
      </c>
      <c r="K22" s="41" t="e">
        <f>VLOOKUP(A22,Mastersheet!$A:$AK,32,0)</f>
        <v>#N/A</v>
      </c>
      <c r="L22" s="54" t="e">
        <f>VLOOKUP(A22,Mastersheet!$A:$AK,34,0)</f>
        <v>#N/A</v>
      </c>
      <c r="M22" s="96"/>
      <c r="N22" s="41">
        <f t="shared" si="7"/>
        <v>79.333333333333329</v>
      </c>
      <c r="O22" s="41">
        <v>119</v>
      </c>
      <c r="P22" s="87">
        <f t="shared" si="21"/>
        <v>0.12059620596205957</v>
      </c>
      <c r="Q22" s="111">
        <v>248.1</v>
      </c>
      <c r="R22" s="89">
        <f t="shared" ref="R22:R31" si="26">Q22/7.6</f>
        <v>32.644736842105267</v>
      </c>
      <c r="S22" s="90">
        <f t="shared" si="18"/>
        <v>20</v>
      </c>
      <c r="T22" s="91">
        <f>N22/R22</f>
        <v>2.4302028751847371</v>
      </c>
      <c r="U22" s="91">
        <f>T22-I22</f>
        <v>9.0094474100726352E-2</v>
      </c>
      <c r="W22" s="53">
        <v>0</v>
      </c>
      <c r="X22" s="41">
        <v>0</v>
      </c>
      <c r="Y22" s="54">
        <v>0</v>
      </c>
      <c r="Z22" s="124">
        <f t="shared" si="22"/>
        <v>0.20202020202020202</v>
      </c>
      <c r="AA22" s="124">
        <f t="shared" si="23"/>
        <v>9.108159392789375E-2</v>
      </c>
      <c r="AB22" s="125">
        <v>1550</v>
      </c>
      <c r="AC22" s="129">
        <f t="shared" si="24"/>
        <v>122966.66666666666</v>
      </c>
      <c r="AD22" s="126">
        <f t="shared" si="25"/>
        <v>0.21167779988995333</v>
      </c>
      <c r="AE22" s="126">
        <f t="shared" si="11"/>
        <v>9.6575978697513165E-3</v>
      </c>
      <c r="AS22" s="1"/>
      <c r="AT22" s="1"/>
    </row>
    <row r="23" spans="1:46" x14ac:dyDescent="0.25">
      <c r="A23" s="39" t="s">
        <v>13909</v>
      </c>
      <c r="B23" s="39" t="s">
        <v>13918</v>
      </c>
      <c r="C23" s="30">
        <v>8715839077766</v>
      </c>
      <c r="D23" s="16"/>
      <c r="E23" s="41">
        <f>F23/1.5</f>
        <v>66</v>
      </c>
      <c r="F23" s="41">
        <v>99</v>
      </c>
      <c r="G23" s="111">
        <v>221.4</v>
      </c>
      <c r="H23" s="94">
        <f t="shared" si="20"/>
        <v>28.203821656050959</v>
      </c>
      <c r="I23" s="95">
        <f>E23/H23</f>
        <v>2.3401084010840107</v>
      </c>
      <c r="J23" s="53" t="e">
        <f>VLOOKUP(A23,Mastersheet!$A:$AK,30,0)</f>
        <v>#N/A</v>
      </c>
      <c r="K23" s="41" t="e">
        <f>VLOOKUP(A23,Mastersheet!$A:$AK,32,0)</f>
        <v>#N/A</v>
      </c>
      <c r="L23" s="54" t="e">
        <f>VLOOKUP(A23,Mastersheet!$A:$AK,34,0)</f>
        <v>#N/A</v>
      </c>
      <c r="M23" s="96"/>
      <c r="N23" s="41">
        <f t="shared" si="7"/>
        <v>79.333333333333329</v>
      </c>
      <c r="O23" s="41">
        <v>119</v>
      </c>
      <c r="P23" s="87">
        <f t="shared" si="21"/>
        <v>0.12059620596205957</v>
      </c>
      <c r="Q23" s="111">
        <v>248.1</v>
      </c>
      <c r="R23" s="89">
        <f t="shared" si="26"/>
        <v>32.644736842105267</v>
      </c>
      <c r="S23" s="90">
        <f t="shared" si="18"/>
        <v>20</v>
      </c>
      <c r="T23" s="91">
        <f>N23/R23</f>
        <v>2.4302028751847371</v>
      </c>
      <c r="U23" s="91">
        <f>T23-I23</f>
        <v>9.0094474100726352E-2</v>
      </c>
      <c r="W23" s="53">
        <v>0</v>
      </c>
      <c r="X23" s="41">
        <v>0</v>
      </c>
      <c r="Y23" s="54">
        <v>0</v>
      </c>
      <c r="Z23" s="124">
        <f t="shared" si="22"/>
        <v>0.20202020202020202</v>
      </c>
      <c r="AA23" s="124">
        <f t="shared" si="23"/>
        <v>9.108159392789375E-2</v>
      </c>
      <c r="AB23" s="125">
        <v>1550</v>
      </c>
      <c r="AC23" s="129">
        <f t="shared" si="24"/>
        <v>122966.66666666666</v>
      </c>
      <c r="AD23" s="126">
        <f t="shared" si="25"/>
        <v>0.21167779988995333</v>
      </c>
      <c r="AE23" s="126">
        <f t="shared" si="11"/>
        <v>9.6575978697513165E-3</v>
      </c>
      <c r="AS23" s="1"/>
      <c r="AT23" s="1"/>
    </row>
    <row r="24" spans="1:46" x14ac:dyDescent="0.25">
      <c r="A24" s="39" t="s">
        <v>13910</v>
      </c>
      <c r="B24" s="39" t="s">
        <v>13919</v>
      </c>
      <c r="C24" s="30">
        <v>8715839077773</v>
      </c>
      <c r="D24" s="16"/>
      <c r="E24" s="41">
        <f>F24/1.5</f>
        <v>86</v>
      </c>
      <c r="F24" s="41">
        <v>129</v>
      </c>
      <c r="G24" s="111">
        <v>257.7</v>
      </c>
      <c r="H24" s="94">
        <f t="shared" si="20"/>
        <v>32.828025477707008</v>
      </c>
      <c r="I24" s="95">
        <f t="shared" ref="I24:I25" si="27">E24/H24</f>
        <v>2.6197128443927045</v>
      </c>
      <c r="J24" s="73" t="e">
        <f>VLOOKUP(A24,Mastersheet!$A:$AK,30,0)</f>
        <v>#N/A</v>
      </c>
      <c r="K24" s="72" t="e">
        <f>VLOOKUP(A24,Mastersheet!$A:$AK,32,0)</f>
        <v>#N/A</v>
      </c>
      <c r="L24" s="74" t="e">
        <f>VLOOKUP(A24,Mastersheet!$A:$AK,34,0)</f>
        <v>#N/A</v>
      </c>
      <c r="M24" s="96"/>
      <c r="N24" s="41">
        <f t="shared" si="7"/>
        <v>103.33333333333333</v>
      </c>
      <c r="O24" s="139">
        <v>155</v>
      </c>
      <c r="P24" s="87">
        <f t="shared" si="21"/>
        <v>0.10865347303065581</v>
      </c>
      <c r="Q24" s="111">
        <v>285.7</v>
      </c>
      <c r="R24" s="89">
        <f t="shared" si="26"/>
        <v>37.592105263157897</v>
      </c>
      <c r="S24" s="90">
        <f t="shared" si="18"/>
        <v>26</v>
      </c>
      <c r="T24" s="91">
        <f t="shared" ref="T24:T25" si="28">N24/R24</f>
        <v>2.7488041068720102</v>
      </c>
      <c r="U24" s="91">
        <f t="shared" ref="U24:U25" si="29">T24-I24</f>
        <v>0.12909126247930569</v>
      </c>
      <c r="W24" s="53">
        <v>0</v>
      </c>
      <c r="X24" s="41">
        <v>0</v>
      </c>
      <c r="Y24" s="54">
        <v>0</v>
      </c>
      <c r="Z24" s="124">
        <f t="shared" si="22"/>
        <v>0.20155038759689922</v>
      </c>
      <c r="AA24" s="124">
        <f t="shared" si="23"/>
        <v>6.9927159209157139E-2</v>
      </c>
      <c r="AB24" s="125">
        <v>1550</v>
      </c>
      <c r="AC24" s="129">
        <f t="shared" si="24"/>
        <v>160166.66666666666</v>
      </c>
      <c r="AD24" s="126">
        <f t="shared" si="25"/>
        <v>0.17858063223981296</v>
      </c>
      <c r="AE24" s="126">
        <f t="shared" si="11"/>
        <v>-2.2969755357086258E-2</v>
      </c>
      <c r="AS24" s="1"/>
      <c r="AT24" s="1"/>
    </row>
    <row r="25" spans="1:46" x14ac:dyDescent="0.25">
      <c r="A25" s="39" t="s">
        <v>13911</v>
      </c>
      <c r="B25" s="39" t="s">
        <v>13920</v>
      </c>
      <c r="C25" s="30">
        <v>8715839077780</v>
      </c>
      <c r="D25" s="16"/>
      <c r="E25" s="41">
        <f>F25/1.5</f>
        <v>86</v>
      </c>
      <c r="F25" s="41">
        <v>129</v>
      </c>
      <c r="G25" s="111">
        <v>257.7</v>
      </c>
      <c r="H25" s="94">
        <f t="shared" si="20"/>
        <v>32.828025477707008</v>
      </c>
      <c r="I25" s="95">
        <f t="shared" si="27"/>
        <v>2.6197128443927045</v>
      </c>
      <c r="J25" s="73" t="e">
        <f>VLOOKUP(A25,Mastersheet!$A:$AK,30,0)</f>
        <v>#N/A</v>
      </c>
      <c r="K25" s="72" t="e">
        <f>VLOOKUP(A25,Mastersheet!$A:$AK,32,0)</f>
        <v>#N/A</v>
      </c>
      <c r="L25" s="74" t="e">
        <f>VLOOKUP(A25,Mastersheet!$A:$AK,34,0)</f>
        <v>#N/A</v>
      </c>
      <c r="M25" s="96"/>
      <c r="N25" s="41">
        <f t="shared" si="7"/>
        <v>103.33333333333333</v>
      </c>
      <c r="O25" s="139">
        <v>155</v>
      </c>
      <c r="P25" s="87">
        <f t="shared" si="21"/>
        <v>0.10865347303065581</v>
      </c>
      <c r="Q25" s="111">
        <v>285.7</v>
      </c>
      <c r="R25" s="89">
        <f>Q25/7.6</f>
        <v>37.592105263157897</v>
      </c>
      <c r="S25" s="90">
        <f>O25-F25</f>
        <v>26</v>
      </c>
      <c r="T25" s="91">
        <f t="shared" si="28"/>
        <v>2.7488041068720102</v>
      </c>
      <c r="U25" s="91">
        <f t="shared" si="29"/>
        <v>0.12909126247930569</v>
      </c>
      <c r="W25" s="53">
        <v>0</v>
      </c>
      <c r="X25" s="41">
        <v>0</v>
      </c>
      <c r="Y25" s="54">
        <v>0</v>
      </c>
      <c r="Z25" s="124">
        <f t="shared" si="22"/>
        <v>0.20155038759689922</v>
      </c>
      <c r="AA25" s="124">
        <f t="shared" si="23"/>
        <v>6.9927159209157139E-2</v>
      </c>
      <c r="AB25" s="125">
        <v>1550</v>
      </c>
      <c r="AC25" s="129">
        <f t="shared" si="24"/>
        <v>160166.66666666666</v>
      </c>
      <c r="AD25" s="126">
        <f t="shared" si="25"/>
        <v>0.17858063223981296</v>
      </c>
      <c r="AE25" s="126">
        <f t="shared" si="11"/>
        <v>-2.2969755357086258E-2</v>
      </c>
      <c r="AS25" s="1"/>
      <c r="AT25" s="1"/>
    </row>
    <row r="26" spans="1:46" x14ac:dyDescent="0.25">
      <c r="A26" s="39" t="s">
        <v>13912</v>
      </c>
      <c r="B26" s="39" t="s">
        <v>13921</v>
      </c>
      <c r="C26" s="17">
        <v>8715839077797</v>
      </c>
      <c r="D26" s="16"/>
      <c r="E26" s="41">
        <f>F26/1.5</f>
        <v>79.333333333333329</v>
      </c>
      <c r="F26" s="41">
        <v>119</v>
      </c>
      <c r="G26" s="111">
        <v>250.8</v>
      </c>
      <c r="H26" s="94">
        <f t="shared" si="20"/>
        <v>31.949044585987263</v>
      </c>
      <c r="I26" s="95">
        <f>E26/H26</f>
        <v>2.4831206804891011</v>
      </c>
      <c r="J26" s="53"/>
      <c r="K26" s="41"/>
      <c r="L26" s="54"/>
      <c r="M26" s="96"/>
      <c r="N26" s="41">
        <f t="shared" si="7"/>
        <v>96.666666666666671</v>
      </c>
      <c r="O26" s="139">
        <v>145</v>
      </c>
      <c r="P26" s="87">
        <f t="shared" si="21"/>
        <v>0.14354066985645933</v>
      </c>
      <c r="Q26" s="111">
        <v>286.8</v>
      </c>
      <c r="R26" s="89">
        <f t="shared" si="26"/>
        <v>37.736842105263165</v>
      </c>
      <c r="S26" s="90">
        <f t="shared" si="18"/>
        <v>26</v>
      </c>
      <c r="T26" s="91">
        <f>N26/R26</f>
        <v>2.5615992561599255</v>
      </c>
      <c r="U26" s="91">
        <f>T26-I26</f>
        <v>7.8478575670824391E-2</v>
      </c>
      <c r="W26" s="53"/>
      <c r="X26" s="41"/>
      <c r="Y26" s="54"/>
      <c r="Z26" s="124">
        <f t="shared" si="22"/>
        <v>0.21848739495798319</v>
      </c>
      <c r="AA26" s="124">
        <f t="shared" si="23"/>
        <v>7.4749721913236922E-2</v>
      </c>
      <c r="AB26" s="125">
        <v>1550</v>
      </c>
      <c r="AC26" s="129">
        <f t="shared" si="24"/>
        <v>149833.33333333334</v>
      </c>
      <c r="AD26" s="126">
        <f t="shared" si="25"/>
        <v>0.21829039176969625</v>
      </c>
      <c r="AE26" s="126">
        <f t="shared" si="11"/>
        <v>-1.9700318828694274E-4</v>
      </c>
      <c r="AS26" s="1"/>
      <c r="AT26" s="1"/>
    </row>
    <row r="27" spans="1:46" x14ac:dyDescent="0.25">
      <c r="A27" s="39" t="s">
        <v>13913</v>
      </c>
      <c r="B27" s="39" t="s">
        <v>13922</v>
      </c>
      <c r="C27" s="17">
        <v>8715839077803</v>
      </c>
      <c r="D27" s="16"/>
      <c r="E27" s="41">
        <f t="shared" si="19"/>
        <v>79.333333333333329</v>
      </c>
      <c r="F27" s="41">
        <v>119</v>
      </c>
      <c r="G27" s="111">
        <v>250.8</v>
      </c>
      <c r="H27" s="94">
        <f t="shared" si="20"/>
        <v>31.949044585987263</v>
      </c>
      <c r="I27" s="95">
        <f>E27/H27</f>
        <v>2.4831206804891011</v>
      </c>
      <c r="J27" s="53"/>
      <c r="K27" s="41"/>
      <c r="L27" s="54"/>
      <c r="M27" s="96"/>
      <c r="N27" s="41">
        <f t="shared" si="7"/>
        <v>96.666666666666671</v>
      </c>
      <c r="O27" s="139">
        <v>145</v>
      </c>
      <c r="P27" s="87">
        <f t="shared" si="21"/>
        <v>0.14354066985645933</v>
      </c>
      <c r="Q27" s="111">
        <v>286.8</v>
      </c>
      <c r="R27" s="89">
        <f t="shared" si="26"/>
        <v>37.736842105263165</v>
      </c>
      <c r="S27" s="90">
        <f t="shared" si="18"/>
        <v>26</v>
      </c>
      <c r="T27" s="91">
        <f>N27/R27</f>
        <v>2.5615992561599255</v>
      </c>
      <c r="U27" s="91">
        <f>T27-I27</f>
        <v>7.8478575670824391E-2</v>
      </c>
      <c r="W27" s="53"/>
      <c r="X27" s="41"/>
      <c r="Y27" s="54"/>
      <c r="Z27" s="124">
        <f t="shared" si="22"/>
        <v>0.21848739495798319</v>
      </c>
      <c r="AA27" s="124">
        <f t="shared" si="23"/>
        <v>7.4749721913236922E-2</v>
      </c>
      <c r="AB27" s="125">
        <v>1550</v>
      </c>
      <c r="AC27" s="129">
        <f t="shared" si="24"/>
        <v>149833.33333333334</v>
      </c>
      <c r="AD27" s="126">
        <f t="shared" si="25"/>
        <v>0.21829039176969625</v>
      </c>
      <c r="AE27" s="126">
        <f t="shared" si="11"/>
        <v>-1.9700318828694274E-4</v>
      </c>
      <c r="AS27" s="1"/>
      <c r="AT27" s="1"/>
    </row>
    <row r="28" spans="1:46" x14ac:dyDescent="0.25">
      <c r="A28" s="98" t="s">
        <v>13914</v>
      </c>
      <c r="B28" s="98" t="s">
        <v>13923</v>
      </c>
      <c r="C28" s="99">
        <v>8715839077810</v>
      </c>
      <c r="D28" s="16"/>
      <c r="E28" s="100">
        <f t="shared" si="19"/>
        <v>79.333333333333329</v>
      </c>
      <c r="F28" s="100">
        <v>119</v>
      </c>
      <c r="G28" s="112">
        <v>250.8</v>
      </c>
      <c r="H28" s="101">
        <f t="shared" si="20"/>
        <v>31.949044585987263</v>
      </c>
      <c r="I28" s="102">
        <f>E28/H28</f>
        <v>2.4831206804891011</v>
      </c>
      <c r="J28" s="53" t="e">
        <f>VLOOKUP(A28,Mastersheet!$A:$AK,30,0)</f>
        <v>#N/A</v>
      </c>
      <c r="K28" s="41" t="e">
        <f>VLOOKUP(A28,Mastersheet!$A:$AK,32,0)</f>
        <v>#N/A</v>
      </c>
      <c r="L28" s="54" t="e">
        <f>VLOOKUP(A28,Mastersheet!$A:$AK,34,0)</f>
        <v>#N/A</v>
      </c>
      <c r="M28" s="96"/>
      <c r="N28" s="100">
        <f t="shared" si="7"/>
        <v>96.666666666666671</v>
      </c>
      <c r="O28" s="139">
        <v>145</v>
      </c>
      <c r="P28" s="103">
        <f t="shared" si="21"/>
        <v>0.14354066985645933</v>
      </c>
      <c r="Q28" s="112">
        <v>286.8</v>
      </c>
      <c r="R28" s="104">
        <f t="shared" si="26"/>
        <v>37.736842105263165</v>
      </c>
      <c r="S28" s="105">
        <f t="shared" si="18"/>
        <v>26</v>
      </c>
      <c r="T28" s="106">
        <f>N28/R28</f>
        <v>2.5615992561599255</v>
      </c>
      <c r="U28" s="106">
        <f>T28-I28</f>
        <v>7.8478575670824391E-2</v>
      </c>
      <c r="W28" s="53">
        <v>0</v>
      </c>
      <c r="X28" s="41">
        <v>0</v>
      </c>
      <c r="Y28" s="54">
        <v>0</v>
      </c>
      <c r="Z28" s="124">
        <f t="shared" si="22"/>
        <v>0.21848739495798319</v>
      </c>
      <c r="AA28" s="124">
        <f t="shared" si="23"/>
        <v>7.4749721913236922E-2</v>
      </c>
      <c r="AB28" s="125">
        <v>1550</v>
      </c>
      <c r="AC28" s="129">
        <f t="shared" si="24"/>
        <v>149833.33333333334</v>
      </c>
      <c r="AD28" s="126">
        <f t="shared" si="25"/>
        <v>0.21829039176969625</v>
      </c>
      <c r="AE28" s="126">
        <f t="shared" si="11"/>
        <v>-1.9700318828694274E-4</v>
      </c>
      <c r="AS28" s="1"/>
      <c r="AT28" s="1"/>
    </row>
    <row r="29" spans="1:46" x14ac:dyDescent="0.25">
      <c r="A29" s="70" t="s">
        <v>13937</v>
      </c>
      <c r="B29" s="70" t="s">
        <v>13942</v>
      </c>
      <c r="C29" s="71">
        <v>8715839085372</v>
      </c>
      <c r="D29" s="16"/>
      <c r="E29" s="82" t="s">
        <v>13885</v>
      </c>
      <c r="F29" s="82" t="s">
        <v>13885</v>
      </c>
      <c r="G29" s="82" t="s">
        <v>13885</v>
      </c>
      <c r="H29" s="82" t="s">
        <v>13885</v>
      </c>
      <c r="I29" s="82" t="s">
        <v>13885</v>
      </c>
      <c r="J29" s="62"/>
      <c r="K29" s="42"/>
      <c r="L29" s="63"/>
      <c r="N29" s="72">
        <f t="shared" si="7"/>
        <v>86</v>
      </c>
      <c r="O29" s="72">
        <v>129</v>
      </c>
      <c r="P29" s="83" t="s">
        <v>13885</v>
      </c>
      <c r="Q29" s="121">
        <f>Q23+30</f>
        <v>278.10000000000002</v>
      </c>
      <c r="R29" s="92">
        <f t="shared" si="26"/>
        <v>36.592105263157897</v>
      </c>
      <c r="S29" s="83" t="s">
        <v>13885</v>
      </c>
      <c r="T29" s="93">
        <f t="shared" ref="T29:T31" si="30">N29/R29</f>
        <v>2.3502337288745054</v>
      </c>
      <c r="U29" s="83" t="s">
        <v>13885</v>
      </c>
      <c r="W29" s="62"/>
      <c r="X29" s="42"/>
      <c r="Y29" s="63"/>
      <c r="Z29" s="127" t="s">
        <v>13885</v>
      </c>
      <c r="AA29" s="127" t="s">
        <v>13885</v>
      </c>
      <c r="AB29" s="125">
        <v>1550</v>
      </c>
      <c r="AC29" s="142">
        <f t="shared" si="24"/>
        <v>133300</v>
      </c>
      <c r="AD29" s="127" t="s">
        <v>13885</v>
      </c>
      <c r="AE29" s="127" t="s">
        <v>13885</v>
      </c>
      <c r="AS29" s="1"/>
      <c r="AT29" s="1"/>
    </row>
    <row r="30" spans="1:46" x14ac:dyDescent="0.25">
      <c r="A30" s="70" t="s">
        <v>13938</v>
      </c>
      <c r="B30" s="70" t="s">
        <v>13943</v>
      </c>
      <c r="C30" s="71">
        <v>8715839085358</v>
      </c>
      <c r="D30" s="16"/>
      <c r="E30" s="82" t="s">
        <v>13885</v>
      </c>
      <c r="F30" s="82" t="s">
        <v>13885</v>
      </c>
      <c r="G30" s="82" t="s">
        <v>13885</v>
      </c>
      <c r="H30" s="82" t="s">
        <v>13885</v>
      </c>
      <c r="I30" s="82" t="s">
        <v>13885</v>
      </c>
      <c r="J30" s="62"/>
      <c r="K30" s="42"/>
      <c r="L30" s="63"/>
      <c r="N30" s="72">
        <f t="shared" si="7"/>
        <v>103.33333333333333</v>
      </c>
      <c r="O30" s="72">
        <v>155</v>
      </c>
      <c r="P30" s="83" t="s">
        <v>13885</v>
      </c>
      <c r="Q30" s="121">
        <f>Q28+25</f>
        <v>311.8</v>
      </c>
      <c r="R30" s="92">
        <f t="shared" si="26"/>
        <v>41.026315789473685</v>
      </c>
      <c r="S30" s="83" t="s">
        <v>13885</v>
      </c>
      <c r="T30" s="93">
        <f t="shared" si="30"/>
        <v>2.5187085738721402</v>
      </c>
      <c r="U30" s="83" t="s">
        <v>13885</v>
      </c>
      <c r="W30" s="62"/>
      <c r="X30" s="42"/>
      <c r="Y30" s="63"/>
      <c r="Z30" s="127" t="s">
        <v>13885</v>
      </c>
      <c r="AA30" s="127" t="s">
        <v>13885</v>
      </c>
      <c r="AB30" s="125">
        <v>1550</v>
      </c>
      <c r="AC30" s="142">
        <f t="shared" si="24"/>
        <v>160166.66666666666</v>
      </c>
      <c r="AD30" s="127" t="s">
        <v>13885</v>
      </c>
      <c r="AE30" s="127" t="s">
        <v>13885</v>
      </c>
      <c r="AS30" s="1"/>
      <c r="AT30" s="1"/>
    </row>
    <row r="31" spans="1:46" x14ac:dyDescent="0.25">
      <c r="A31" s="70" t="s">
        <v>13939</v>
      </c>
      <c r="B31" s="70" t="s">
        <v>13944</v>
      </c>
      <c r="C31" s="71">
        <v>8715839085365</v>
      </c>
      <c r="D31" s="16"/>
      <c r="E31" s="82" t="s">
        <v>13885</v>
      </c>
      <c r="F31" s="82" t="s">
        <v>13885</v>
      </c>
      <c r="G31" s="82" t="s">
        <v>13885</v>
      </c>
      <c r="H31" s="82" t="s">
        <v>13885</v>
      </c>
      <c r="I31" s="82" t="s">
        <v>13885</v>
      </c>
      <c r="J31" s="62"/>
      <c r="K31" s="42"/>
      <c r="L31" s="63"/>
      <c r="N31" s="72">
        <f t="shared" si="7"/>
        <v>103.33333333333333</v>
      </c>
      <c r="O31" s="72">
        <v>155</v>
      </c>
      <c r="P31" s="83" t="s">
        <v>13885</v>
      </c>
      <c r="Q31" s="121">
        <f>Q28+30</f>
        <v>316.8</v>
      </c>
      <c r="R31" s="92">
        <f t="shared" si="26"/>
        <v>41.684210526315795</v>
      </c>
      <c r="S31" s="83" t="s">
        <v>13885</v>
      </c>
      <c r="T31" s="93">
        <f t="shared" si="30"/>
        <v>2.4789562289562284</v>
      </c>
      <c r="U31" s="83" t="s">
        <v>13885</v>
      </c>
      <c r="W31" s="62"/>
      <c r="X31" s="42"/>
      <c r="Y31" s="63"/>
      <c r="Z31" s="127" t="s">
        <v>13885</v>
      </c>
      <c r="AA31" s="127" t="s">
        <v>13885</v>
      </c>
      <c r="AB31" s="125">
        <v>1550</v>
      </c>
      <c r="AC31" s="142">
        <f t="shared" si="24"/>
        <v>160166.66666666666</v>
      </c>
      <c r="AD31" s="127" t="s">
        <v>13885</v>
      </c>
      <c r="AE31" s="127" t="s">
        <v>13885</v>
      </c>
      <c r="AS31" s="1"/>
      <c r="AT31" s="1"/>
    </row>
    <row r="32" spans="1:46" ht="13.8" x14ac:dyDescent="0.25">
      <c r="A32" s="20"/>
      <c r="B32" s="81" t="s">
        <v>13928</v>
      </c>
      <c r="C32" s="21"/>
      <c r="D32" s="16"/>
      <c r="E32" s="60"/>
      <c r="F32" s="61"/>
      <c r="G32" s="67"/>
      <c r="N32" s="20"/>
      <c r="O32" s="61"/>
      <c r="P32" s="20"/>
      <c r="Q32" s="88"/>
      <c r="R32" s="20"/>
      <c r="S32" s="20"/>
      <c r="T32" s="20"/>
      <c r="U32" s="91"/>
      <c r="AA32" s="117"/>
      <c r="AC32" s="119"/>
      <c r="AD32" s="120"/>
      <c r="AS32" s="1"/>
      <c r="AT32" s="1"/>
    </row>
    <row r="33" spans="1:47" x14ac:dyDescent="0.25">
      <c r="A33" s="39" t="s">
        <v>172</v>
      </c>
      <c r="B33" s="39" t="s">
        <v>13269</v>
      </c>
      <c r="C33" s="30">
        <v>8715839045222</v>
      </c>
      <c r="D33" s="16"/>
      <c r="E33" s="44">
        <f>F33/1.5</f>
        <v>159.33333333333334</v>
      </c>
      <c r="F33" s="113">
        <v>239</v>
      </c>
      <c r="G33" s="116"/>
      <c r="H33" s="94">
        <f>35.74+37</f>
        <v>72.740000000000009</v>
      </c>
      <c r="I33" s="95">
        <f>E33/H33</f>
        <v>2.190450004582531</v>
      </c>
      <c r="J33" s="53">
        <f>VLOOKUP(A33,Mastersheet!$A:$AK,30,0)</f>
        <v>183.2</v>
      </c>
      <c r="K33" s="41">
        <f>VLOOKUP(A33,Mastersheet!$A:$AK,32,0)</f>
        <v>151.83000000000001</v>
      </c>
      <c r="L33" s="54">
        <f>VLOOKUP(A33,Mastersheet!$A:$AK,34,0)</f>
        <v>121.92</v>
      </c>
      <c r="N33" s="41">
        <f t="shared" si="7"/>
        <v>190</v>
      </c>
      <c r="O33" s="44">
        <v>285</v>
      </c>
      <c r="P33" s="87">
        <f>(R33-H33)/(H33)</f>
        <v>0.11850426175419287</v>
      </c>
      <c r="Q33" s="115"/>
      <c r="R33" s="89">
        <f>40.36+41</f>
        <v>81.36</v>
      </c>
      <c r="S33" s="90">
        <f t="shared" ref="S33:S34" si="31">O33-F33</f>
        <v>46</v>
      </c>
      <c r="T33" s="91">
        <f>N33/R33</f>
        <v>2.3352999016715832</v>
      </c>
      <c r="U33" s="91">
        <f>T33-I33</f>
        <v>0.14484989708905216</v>
      </c>
      <c r="W33" s="53">
        <v>0</v>
      </c>
      <c r="X33" s="41">
        <v>0</v>
      </c>
      <c r="Y33" s="54">
        <v>0</v>
      </c>
      <c r="Z33" s="124">
        <f>S33/F33</f>
        <v>0.19246861924686193</v>
      </c>
      <c r="AA33" s="124">
        <f t="shared" ref="AA33:AA34" si="32">11200/AC33</f>
        <v>3.8030560271646856E-2</v>
      </c>
      <c r="AB33" s="125">
        <v>1550</v>
      </c>
      <c r="AC33" s="129">
        <f t="shared" ref="AC33:AC43" si="33">N33*AB33</f>
        <v>294500</v>
      </c>
      <c r="AD33" s="120"/>
      <c r="AS33" s="1"/>
      <c r="AT33" s="1"/>
    </row>
    <row r="34" spans="1:47" x14ac:dyDescent="0.25">
      <c r="A34" s="39" t="s">
        <v>173</v>
      </c>
      <c r="B34" s="39" t="s">
        <v>13272</v>
      </c>
      <c r="C34" s="17">
        <v>8715839045208</v>
      </c>
      <c r="D34" s="16"/>
      <c r="E34" s="41">
        <f>F34/1.5</f>
        <v>179.33333333333334</v>
      </c>
      <c r="F34" s="114">
        <v>269</v>
      </c>
      <c r="G34" s="116"/>
      <c r="H34" s="94">
        <f>35.74+47</f>
        <v>82.740000000000009</v>
      </c>
      <c r="I34" s="95">
        <f>E34/H34</f>
        <v>2.1674321166706951</v>
      </c>
      <c r="J34" s="53">
        <f>VLOOKUP(A34,Mastersheet!$A:$AK,30,0)</f>
        <v>207.2</v>
      </c>
      <c r="K34" s="41">
        <f>VLOOKUP(A34,Mastersheet!$A:$AK,32,0)</f>
        <v>170.12</v>
      </c>
      <c r="L34" s="54">
        <f>VLOOKUP(A34,Mastersheet!$A:$AK,34,0)</f>
        <v>139.41999999999999</v>
      </c>
      <c r="N34" s="41">
        <f t="shared" si="7"/>
        <v>216.66666666666666</v>
      </c>
      <c r="O34" s="41">
        <v>325</v>
      </c>
      <c r="P34" s="87">
        <f>(R34-H34)/(H34)</f>
        <v>0.11626782692772528</v>
      </c>
      <c r="Q34" s="115"/>
      <c r="R34" s="89">
        <f>40.36+52</f>
        <v>92.36</v>
      </c>
      <c r="S34" s="90">
        <f t="shared" si="31"/>
        <v>56</v>
      </c>
      <c r="T34" s="91">
        <f>N34/R34</f>
        <v>2.3458928829218997</v>
      </c>
      <c r="U34" s="91">
        <f>T34-I34</f>
        <v>0.17846076625120455</v>
      </c>
      <c r="W34" s="53">
        <v>0</v>
      </c>
      <c r="X34" s="41">
        <v>0</v>
      </c>
      <c r="Y34" s="54">
        <v>0</v>
      </c>
      <c r="Z34" s="124">
        <f t="shared" ref="Z34" si="34">S34/F34</f>
        <v>0.20817843866171004</v>
      </c>
      <c r="AA34" s="124">
        <f t="shared" si="32"/>
        <v>3.3349875930521092E-2</v>
      </c>
      <c r="AB34" s="125">
        <v>1550</v>
      </c>
      <c r="AC34" s="129">
        <f t="shared" si="33"/>
        <v>335833.33333333331</v>
      </c>
      <c r="AD34" s="120"/>
      <c r="AQ34" s="1"/>
      <c r="AR34" s="1"/>
      <c r="AS34" s="1"/>
      <c r="AT34" s="1"/>
    </row>
    <row r="35" spans="1:47" ht="13.8" x14ac:dyDescent="0.25">
      <c r="A35" s="20"/>
      <c r="B35" s="81" t="s">
        <v>13903</v>
      </c>
      <c r="C35" s="21"/>
      <c r="D35" s="96"/>
      <c r="E35" s="19"/>
      <c r="F35" s="19"/>
      <c r="G35" s="67"/>
      <c r="H35" s="20"/>
      <c r="I35" s="20"/>
      <c r="N35" s="20"/>
      <c r="O35" s="19"/>
      <c r="P35" s="20"/>
      <c r="Q35" s="88"/>
      <c r="R35" s="20"/>
      <c r="S35" s="20"/>
      <c r="T35" s="20"/>
      <c r="U35" s="91"/>
      <c r="Z35" s="123"/>
      <c r="AA35" s="140"/>
      <c r="AB35" s="123"/>
      <c r="AC35" s="143"/>
      <c r="AD35" s="120"/>
      <c r="AS35" s="1"/>
      <c r="AT35" s="1"/>
    </row>
    <row r="36" spans="1:47" x14ac:dyDescent="0.25">
      <c r="A36" s="39" t="s">
        <v>13891</v>
      </c>
      <c r="B36" s="39" t="s">
        <v>13890</v>
      </c>
      <c r="C36" s="17">
        <v>8715839065749</v>
      </c>
      <c r="D36" s="96"/>
      <c r="E36" s="41">
        <f t="shared" ref="E36:E43" si="35">F36/1.5</f>
        <v>6.666666666666667</v>
      </c>
      <c r="F36" s="41">
        <v>10</v>
      </c>
      <c r="G36" s="111">
        <v>18</v>
      </c>
      <c r="H36" s="94">
        <f>G36/7.85</f>
        <v>2.2929936305732483</v>
      </c>
      <c r="I36" s="95">
        <f t="shared" ref="I36:I43" si="36">E36/H36</f>
        <v>2.9074074074074074</v>
      </c>
      <c r="J36" s="53" t="e">
        <f>VLOOKUP(A36,Mastersheet!$A:$AK,30,0)</f>
        <v>#N/A</v>
      </c>
      <c r="K36" s="41" t="e">
        <f>VLOOKUP(A36,Mastersheet!$A:$AK,32,0)</f>
        <v>#N/A</v>
      </c>
      <c r="L36" s="54" t="e">
        <f>VLOOKUP(A36,Mastersheet!$A:$AK,34,0)</f>
        <v>#N/A</v>
      </c>
      <c r="N36" s="41">
        <f t="shared" ref="N36:N42" si="37">O36/1.5</f>
        <v>9.3333333333333339</v>
      </c>
      <c r="O36" s="41">
        <v>14</v>
      </c>
      <c r="P36" s="87">
        <f t="shared" si="21"/>
        <v>0</v>
      </c>
      <c r="Q36" s="111">
        <v>18</v>
      </c>
      <c r="R36" s="89">
        <f>Q36/7.6</f>
        <v>2.3684210526315792</v>
      </c>
      <c r="S36" s="90">
        <f>O36-F36</f>
        <v>4</v>
      </c>
      <c r="T36" s="91">
        <f t="shared" ref="T36:T43" si="38">N36/R36</f>
        <v>3.9407407407407407</v>
      </c>
      <c r="U36" s="91">
        <f>T36-I36</f>
        <v>1.0333333333333332</v>
      </c>
      <c r="W36" s="53">
        <v>0</v>
      </c>
      <c r="X36" s="41">
        <v>0</v>
      </c>
      <c r="Y36" s="54">
        <v>0</v>
      </c>
      <c r="Z36" s="124">
        <f t="shared" ref="Z36:Z43" si="39">S36/F36</f>
        <v>0.4</v>
      </c>
      <c r="AA36" s="124">
        <f t="shared" ref="AA36:AA43" si="40">11200/AC36</f>
        <v>0.77419354838709675</v>
      </c>
      <c r="AB36" s="125">
        <v>1550</v>
      </c>
      <c r="AC36" s="129">
        <f t="shared" si="33"/>
        <v>14466.666666666668</v>
      </c>
      <c r="AD36" s="120"/>
      <c r="AS36" s="1"/>
      <c r="AT36" s="1"/>
    </row>
    <row r="37" spans="1:47" customFormat="1" x14ac:dyDescent="0.25">
      <c r="A37" s="39" t="s">
        <v>13892</v>
      </c>
      <c r="B37" s="39" t="s">
        <v>13893</v>
      </c>
      <c r="C37" s="17">
        <v>8715839065725</v>
      </c>
      <c r="D37" s="96"/>
      <c r="E37" s="41">
        <f t="shared" si="35"/>
        <v>16.666666666666668</v>
      </c>
      <c r="F37" s="41">
        <v>25</v>
      </c>
      <c r="G37" s="111">
        <v>50</v>
      </c>
      <c r="H37" s="94">
        <f t="shared" ref="H37:H43" si="41">G37/7.85</f>
        <v>6.369426751592357</v>
      </c>
      <c r="I37" s="95">
        <f t="shared" si="36"/>
        <v>2.6166666666666667</v>
      </c>
      <c r="J37" s="53" t="e">
        <f>VLOOKUP(A37,Mastersheet!$A:$AK,30,0)</f>
        <v>#N/A</v>
      </c>
      <c r="K37" s="41" t="e">
        <f>VLOOKUP(A37,Mastersheet!$A:$AK,32,0)</f>
        <v>#N/A</v>
      </c>
      <c r="L37" s="54" t="e">
        <f>VLOOKUP(A37,Mastersheet!$A:$AK,34,0)</f>
        <v>#N/A</v>
      </c>
      <c r="N37" s="41">
        <f t="shared" si="37"/>
        <v>19.333333333333332</v>
      </c>
      <c r="O37" s="41">
        <v>29</v>
      </c>
      <c r="P37" s="87">
        <f t="shared" si="21"/>
        <v>0.1</v>
      </c>
      <c r="Q37" s="111">
        <v>55</v>
      </c>
      <c r="R37" s="89">
        <f t="shared" ref="R37:R43" si="42">Q37/7.6</f>
        <v>7.2368421052631584</v>
      </c>
      <c r="S37" s="90">
        <f>O37-F37</f>
        <v>4</v>
      </c>
      <c r="T37" s="91">
        <f t="shared" si="38"/>
        <v>2.671515151515151</v>
      </c>
      <c r="U37" s="91">
        <f>T37-I37</f>
        <v>5.4848484848484258E-2</v>
      </c>
      <c r="W37" s="53">
        <v>0</v>
      </c>
      <c r="X37" s="41">
        <v>0</v>
      </c>
      <c r="Y37" s="54">
        <v>0</v>
      </c>
      <c r="Z37" s="124">
        <f t="shared" si="39"/>
        <v>0.16</v>
      </c>
      <c r="AA37" s="124">
        <f t="shared" si="40"/>
        <v>0.37374860956618466</v>
      </c>
      <c r="AB37" s="125">
        <v>1550</v>
      </c>
      <c r="AC37" s="129">
        <f t="shared" si="33"/>
        <v>29966.666666666664</v>
      </c>
      <c r="AD37" s="120"/>
      <c r="AS37" s="1"/>
    </row>
    <row r="38" spans="1:47" customFormat="1" x14ac:dyDescent="0.25">
      <c r="A38" s="39" t="s">
        <v>13895</v>
      </c>
      <c r="B38" s="39" t="s">
        <v>13894</v>
      </c>
      <c r="C38" s="17">
        <v>8715839065732</v>
      </c>
      <c r="D38" s="96"/>
      <c r="E38" s="41">
        <f t="shared" si="35"/>
        <v>8.3333333333333339</v>
      </c>
      <c r="F38" s="41">
        <v>12.5</v>
      </c>
      <c r="G38" s="111">
        <v>17.600000000000001</v>
      </c>
      <c r="H38" s="94">
        <f t="shared" si="41"/>
        <v>2.2420382165605099</v>
      </c>
      <c r="I38" s="95">
        <f t="shared" si="36"/>
        <v>3.7168560606060601</v>
      </c>
      <c r="J38" s="53" t="e">
        <f>VLOOKUP(A38,Mastersheet!$A:$AK,30,0)</f>
        <v>#N/A</v>
      </c>
      <c r="K38" s="41" t="e">
        <f>VLOOKUP(A38,Mastersheet!$A:$AK,32,0)</f>
        <v>#N/A</v>
      </c>
      <c r="L38" s="54" t="e">
        <f>VLOOKUP(A38,Mastersheet!$A:$AK,34,0)</f>
        <v>#N/A</v>
      </c>
      <c r="N38" s="41">
        <f t="shared" si="37"/>
        <v>10.666666666666666</v>
      </c>
      <c r="O38" s="41">
        <v>16</v>
      </c>
      <c r="P38" s="87">
        <f t="shared" si="21"/>
        <v>9.9999999999999881E-2</v>
      </c>
      <c r="Q38" s="111">
        <v>19.36</v>
      </c>
      <c r="R38" s="89">
        <f t="shared" si="42"/>
        <v>2.5473684210526315</v>
      </c>
      <c r="S38" s="90">
        <f>O38-F38</f>
        <v>3.5</v>
      </c>
      <c r="T38" s="91">
        <f t="shared" si="38"/>
        <v>4.1873278236914597</v>
      </c>
      <c r="U38" s="91">
        <f>T38-I38</f>
        <v>0.47047176308539962</v>
      </c>
      <c r="W38" s="53">
        <v>0</v>
      </c>
      <c r="X38" s="41">
        <v>0</v>
      </c>
      <c r="Y38" s="54">
        <v>0</v>
      </c>
      <c r="Z38" s="124">
        <f t="shared" si="39"/>
        <v>0.28000000000000003</v>
      </c>
      <c r="AA38" s="124">
        <f t="shared" si="40"/>
        <v>0.67741935483870974</v>
      </c>
      <c r="AB38" s="125">
        <v>1550</v>
      </c>
      <c r="AC38" s="129">
        <f t="shared" si="33"/>
        <v>16533.333333333332</v>
      </c>
      <c r="AD38" s="120"/>
      <c r="AU38" s="1"/>
    </row>
    <row r="39" spans="1:47" customFormat="1" x14ac:dyDescent="0.25">
      <c r="A39" s="39" t="s">
        <v>13933</v>
      </c>
      <c r="B39" s="39" t="s">
        <v>13929</v>
      </c>
      <c r="C39" s="17">
        <v>8715839078909</v>
      </c>
      <c r="D39" s="96"/>
      <c r="E39" s="41">
        <f t="shared" si="35"/>
        <v>12.666666666666666</v>
      </c>
      <c r="F39" s="41">
        <v>19</v>
      </c>
      <c r="G39" s="111">
        <v>45</v>
      </c>
      <c r="H39" s="94">
        <f t="shared" si="41"/>
        <v>5.7324840764331215</v>
      </c>
      <c r="I39" s="95">
        <f t="shared" si="36"/>
        <v>2.2096296296296294</v>
      </c>
      <c r="J39" s="64"/>
      <c r="K39" s="43"/>
      <c r="L39" s="65"/>
      <c r="N39" s="41">
        <f t="shared" si="37"/>
        <v>18.333333333333332</v>
      </c>
      <c r="O39" s="41">
        <v>27.5</v>
      </c>
      <c r="P39" s="87">
        <f t="shared" si="21"/>
        <v>0</v>
      </c>
      <c r="Q39" s="111">
        <v>45</v>
      </c>
      <c r="R39" s="89">
        <f t="shared" si="42"/>
        <v>5.9210526315789478</v>
      </c>
      <c r="S39" s="90">
        <f t="shared" ref="S39:S43" si="43">O39-F39</f>
        <v>8.5</v>
      </c>
      <c r="T39" s="91">
        <f t="shared" si="38"/>
        <v>3.0962962962962957</v>
      </c>
      <c r="U39" s="91">
        <f t="shared" ref="U39:U43" si="44">T39-I39</f>
        <v>0.88666666666666627</v>
      </c>
      <c r="W39" s="64"/>
      <c r="X39" s="43"/>
      <c r="Y39" s="65"/>
      <c r="Z39" s="124">
        <f t="shared" si="39"/>
        <v>0.44736842105263158</v>
      </c>
      <c r="AA39" s="124">
        <f t="shared" si="40"/>
        <v>0.39413489736070384</v>
      </c>
      <c r="AB39" s="125">
        <v>1550</v>
      </c>
      <c r="AC39" s="129">
        <f t="shared" si="33"/>
        <v>28416.666666666664</v>
      </c>
      <c r="AD39" s="120"/>
    </row>
    <row r="40" spans="1:47" customFormat="1" x14ac:dyDescent="0.25">
      <c r="A40" s="39" t="s">
        <v>13934</v>
      </c>
      <c r="B40" s="39" t="s">
        <v>13930</v>
      </c>
      <c r="C40" s="17">
        <v>8715839078916</v>
      </c>
      <c r="D40" s="96"/>
      <c r="E40" s="41">
        <f t="shared" si="35"/>
        <v>3.3333333333333335</v>
      </c>
      <c r="F40" s="41">
        <v>5</v>
      </c>
      <c r="G40" s="111">
        <v>7.4</v>
      </c>
      <c r="H40" s="94">
        <f t="shared" si="41"/>
        <v>0.94267515923566891</v>
      </c>
      <c r="I40" s="95">
        <f t="shared" si="36"/>
        <v>3.5360360360360357</v>
      </c>
      <c r="J40" s="108"/>
      <c r="K40" s="109"/>
      <c r="L40" s="110"/>
      <c r="M40" s="107"/>
      <c r="N40" s="41">
        <f t="shared" si="37"/>
        <v>7.333333333333333</v>
      </c>
      <c r="O40" s="41">
        <v>11</v>
      </c>
      <c r="P40" s="87">
        <f t="shared" si="21"/>
        <v>0.13513513513513511</v>
      </c>
      <c r="Q40" s="111">
        <v>8.4</v>
      </c>
      <c r="R40" s="89">
        <f t="shared" si="42"/>
        <v>1.1052631578947369</v>
      </c>
      <c r="S40" s="90">
        <f t="shared" si="43"/>
        <v>6</v>
      </c>
      <c r="T40" s="91">
        <f t="shared" si="38"/>
        <v>6.6349206349206344</v>
      </c>
      <c r="U40" s="91">
        <f t="shared" si="44"/>
        <v>3.0988845988845988</v>
      </c>
      <c r="W40" s="64"/>
      <c r="X40" s="43"/>
      <c r="Y40" s="65"/>
      <c r="Z40" s="124">
        <f t="shared" si="39"/>
        <v>1.2</v>
      </c>
      <c r="AA40" s="124">
        <f t="shared" si="40"/>
        <v>0.98533724340175954</v>
      </c>
      <c r="AB40" s="125">
        <v>1550</v>
      </c>
      <c r="AC40" s="129">
        <f t="shared" si="33"/>
        <v>11366.666666666666</v>
      </c>
      <c r="AD40" s="120"/>
    </row>
    <row r="41" spans="1:47" customFormat="1" x14ac:dyDescent="0.25">
      <c r="A41" s="39" t="s">
        <v>13935</v>
      </c>
      <c r="B41" s="39" t="s">
        <v>13931</v>
      </c>
      <c r="C41" s="17">
        <v>8715839078923</v>
      </c>
      <c r="D41" s="96"/>
      <c r="E41" s="41">
        <f t="shared" si="35"/>
        <v>8.3333333333333339</v>
      </c>
      <c r="F41" s="41">
        <v>12.5</v>
      </c>
      <c r="G41" s="111">
        <v>24.5</v>
      </c>
      <c r="H41" s="94">
        <f t="shared" si="41"/>
        <v>3.121019108280255</v>
      </c>
      <c r="I41" s="95">
        <f t="shared" si="36"/>
        <v>2.6700680272108843</v>
      </c>
      <c r="J41" s="108"/>
      <c r="K41" s="109"/>
      <c r="L41" s="110"/>
      <c r="M41" s="107"/>
      <c r="N41" s="41">
        <f t="shared" si="37"/>
        <v>10.666666666666666</v>
      </c>
      <c r="O41" s="41">
        <v>16</v>
      </c>
      <c r="P41" s="87">
        <f t="shared" si="21"/>
        <v>0</v>
      </c>
      <c r="Q41" s="111">
        <v>24.5</v>
      </c>
      <c r="R41" s="89">
        <f t="shared" si="42"/>
        <v>3.2236842105263159</v>
      </c>
      <c r="S41" s="90">
        <f t="shared" si="43"/>
        <v>3.5</v>
      </c>
      <c r="T41" s="91">
        <f t="shared" si="38"/>
        <v>3.3088435374149658</v>
      </c>
      <c r="U41" s="91">
        <f t="shared" si="44"/>
        <v>0.63877551020408152</v>
      </c>
      <c r="W41" s="64"/>
      <c r="X41" s="43"/>
      <c r="Y41" s="65"/>
      <c r="Z41" s="124">
        <f t="shared" si="39"/>
        <v>0.28000000000000003</v>
      </c>
      <c r="AA41" s="124">
        <f t="shared" si="40"/>
        <v>0.67741935483870974</v>
      </c>
      <c r="AB41" s="125">
        <v>1550</v>
      </c>
      <c r="AC41" s="129">
        <f t="shared" si="33"/>
        <v>16533.333333333332</v>
      </c>
      <c r="AD41" s="120"/>
    </row>
    <row r="42" spans="1:47" customFormat="1" x14ac:dyDescent="0.25">
      <c r="A42" s="39" t="s">
        <v>13936</v>
      </c>
      <c r="B42" s="39" t="s">
        <v>13932</v>
      </c>
      <c r="C42" s="17">
        <v>8715839078930</v>
      </c>
      <c r="D42" s="96"/>
      <c r="E42" s="41">
        <f t="shared" si="35"/>
        <v>8.3333333333333339</v>
      </c>
      <c r="F42" s="41">
        <v>12.5</v>
      </c>
      <c r="G42" s="111">
        <v>20</v>
      </c>
      <c r="H42" s="94">
        <f t="shared" si="41"/>
        <v>2.547770700636943</v>
      </c>
      <c r="I42" s="95">
        <f t="shared" si="36"/>
        <v>3.270833333333333</v>
      </c>
      <c r="J42" s="108"/>
      <c r="K42" s="109"/>
      <c r="L42" s="110"/>
      <c r="M42" s="107"/>
      <c r="N42" s="41">
        <f t="shared" si="37"/>
        <v>10.666666666666666</v>
      </c>
      <c r="O42" s="41">
        <v>16</v>
      </c>
      <c r="P42" s="87">
        <f t="shared" si="21"/>
        <v>0.1</v>
      </c>
      <c r="Q42" s="111">
        <v>22</v>
      </c>
      <c r="R42" s="89">
        <f t="shared" si="42"/>
        <v>2.8947368421052633</v>
      </c>
      <c r="S42" s="90">
        <f t="shared" si="43"/>
        <v>3.5</v>
      </c>
      <c r="T42" s="91">
        <f t="shared" si="38"/>
        <v>3.6848484848484846</v>
      </c>
      <c r="U42" s="91">
        <f t="shared" si="44"/>
        <v>0.41401515151515156</v>
      </c>
      <c r="W42" s="64"/>
      <c r="X42" s="43"/>
      <c r="Y42" s="65"/>
      <c r="Z42" s="124">
        <f t="shared" si="39"/>
        <v>0.28000000000000003</v>
      </c>
      <c r="AA42" s="124">
        <f t="shared" si="40"/>
        <v>0.67741935483870974</v>
      </c>
      <c r="AB42" s="125">
        <v>1550</v>
      </c>
      <c r="AC42" s="129">
        <f t="shared" si="33"/>
        <v>16533.333333333332</v>
      </c>
      <c r="AD42" s="120"/>
    </row>
    <row r="43" spans="1:47" customFormat="1" x14ac:dyDescent="0.25">
      <c r="A43" s="39" t="s">
        <v>223</v>
      </c>
      <c r="B43" s="39" t="s">
        <v>260</v>
      </c>
      <c r="C43" s="17">
        <v>8715839045413</v>
      </c>
      <c r="D43" s="96"/>
      <c r="E43" s="41">
        <f t="shared" si="35"/>
        <v>52.666666666666664</v>
      </c>
      <c r="F43" s="41">
        <v>79</v>
      </c>
      <c r="G43" s="111">
        <v>175.78</v>
      </c>
      <c r="H43" s="94">
        <f t="shared" si="41"/>
        <v>22.39235668789809</v>
      </c>
      <c r="I43" s="95">
        <f t="shared" si="36"/>
        <v>2.3519930215800051</v>
      </c>
      <c r="J43" s="64">
        <f>VLOOKUP(A43,Mastersheet!$A:$AK,30,0)</f>
        <v>59.33</v>
      </c>
      <c r="K43" s="43">
        <f>VLOOKUP(A43,Mastersheet!$A:$AK,32,0)</f>
        <v>48.17</v>
      </c>
      <c r="L43" s="65">
        <f>VLOOKUP(A43,Mastersheet!$A:$AK,34,0)</f>
        <v>40.25</v>
      </c>
      <c r="N43" s="41">
        <f t="shared" si="7"/>
        <v>63.333333333333336</v>
      </c>
      <c r="O43" s="41">
        <v>95</v>
      </c>
      <c r="P43" s="87">
        <f t="shared" si="21"/>
        <v>3.6522926385254222E-2</v>
      </c>
      <c r="Q43" s="111">
        <v>182.2</v>
      </c>
      <c r="R43" s="89">
        <f t="shared" si="42"/>
        <v>23.973684210526315</v>
      </c>
      <c r="S43" s="90">
        <f t="shared" si="43"/>
        <v>16</v>
      </c>
      <c r="T43" s="91">
        <f t="shared" si="38"/>
        <v>2.6417855836077573</v>
      </c>
      <c r="U43" s="91">
        <f t="shared" si="44"/>
        <v>0.28979256202775217</v>
      </c>
      <c r="W43" s="64">
        <v>0</v>
      </c>
      <c r="X43" s="43">
        <v>0</v>
      </c>
      <c r="Y43" s="65">
        <v>0</v>
      </c>
      <c r="Z43" s="124">
        <f t="shared" si="39"/>
        <v>0.20253164556962025</v>
      </c>
      <c r="AA43" s="124">
        <f t="shared" si="40"/>
        <v>0.11409168081494057</v>
      </c>
      <c r="AB43" s="125">
        <v>1550</v>
      </c>
      <c r="AC43" s="129">
        <f t="shared" si="33"/>
        <v>98166.666666666672</v>
      </c>
      <c r="AD43" s="120"/>
    </row>
    <row r="44" spans="1:47" s="11" customFormat="1" ht="12.75" customHeight="1" x14ac:dyDescent="0.3">
      <c r="A44" s="84"/>
      <c r="B44" s="84"/>
      <c r="C44" s="84"/>
      <c r="D44"/>
      <c r="E44"/>
      <c r="F44"/>
      <c r="G44" s="6"/>
      <c r="Q44" s="76"/>
    </row>
    <row r="45" spans="1:47" s="11" customFormat="1" ht="13.5" customHeight="1" x14ac:dyDescent="0.2">
      <c r="A45" s="8"/>
      <c r="B45" s="8"/>
      <c r="C45" s="13"/>
      <c r="E45" s="14"/>
      <c r="F45" s="14"/>
      <c r="G45" s="68"/>
      <c r="Q45" s="76"/>
    </row>
    <row r="46" spans="1:47" customFormat="1" x14ac:dyDescent="0.25">
      <c r="A46" s="8"/>
      <c r="B46" s="8"/>
      <c r="C46" s="8"/>
      <c r="D46" s="11"/>
      <c r="E46" s="8"/>
      <c r="F46" s="8"/>
      <c r="G46" s="15"/>
      <c r="AU46" s="1"/>
    </row>
    <row r="47" spans="1:47" customFormat="1" x14ac:dyDescent="0.25">
      <c r="A47" s="8"/>
      <c r="B47" s="8"/>
      <c r="C47" s="8"/>
      <c r="E47" s="8"/>
      <c r="F47" s="8"/>
      <c r="G47" s="15"/>
      <c r="AU47" s="1"/>
    </row>
    <row r="48" spans="1:47" customFormat="1" x14ac:dyDescent="0.25">
      <c r="A48" s="281"/>
      <c r="B48" s="281"/>
      <c r="C48" s="281"/>
      <c r="G48" s="6"/>
      <c r="AU48" s="1"/>
    </row>
    <row r="49" spans="1:47" customFormat="1" x14ac:dyDescent="0.25">
      <c r="A49" s="8"/>
      <c r="B49" s="8"/>
      <c r="C49" s="13"/>
      <c r="E49" s="14"/>
      <c r="F49" s="14"/>
      <c r="G49" s="68"/>
      <c r="AU49" s="1"/>
    </row>
    <row r="50" spans="1:47" customFormat="1" x14ac:dyDescent="0.25">
      <c r="A50" s="8"/>
      <c r="B50" s="8"/>
      <c r="C50" s="13"/>
      <c r="E50" s="14"/>
      <c r="F50" s="14"/>
      <c r="G50" s="68"/>
      <c r="AU50" s="1"/>
    </row>
    <row r="51" spans="1:47" customFormat="1" x14ac:dyDescent="0.25">
      <c r="A51" s="8"/>
      <c r="B51" s="8"/>
      <c r="C51" s="13"/>
      <c r="E51" s="14"/>
      <c r="F51" s="14"/>
      <c r="G51" s="68"/>
      <c r="AU51" s="1"/>
    </row>
    <row r="52" spans="1:47" customFormat="1" x14ac:dyDescent="0.25">
      <c r="A52" s="8"/>
      <c r="B52" s="8"/>
      <c r="C52" s="13"/>
      <c r="E52" s="14"/>
      <c r="F52" s="14"/>
      <c r="G52" s="68"/>
      <c r="AU52" s="1"/>
    </row>
    <row r="53" spans="1:47" customFormat="1" x14ac:dyDescent="0.25">
      <c r="A53" s="8"/>
      <c r="B53" s="8"/>
      <c r="C53" s="13"/>
      <c r="E53" s="14"/>
      <c r="F53" s="14"/>
      <c r="G53" s="68"/>
      <c r="AU53" s="1"/>
    </row>
    <row r="54" spans="1:47" customFormat="1" x14ac:dyDescent="0.25">
      <c r="A54" s="8"/>
      <c r="B54" s="8"/>
      <c r="C54" s="13"/>
      <c r="E54" s="14"/>
      <c r="F54" s="14"/>
      <c r="G54" s="68"/>
      <c r="AU54" s="1"/>
    </row>
    <row r="55" spans="1:47" customFormat="1" x14ac:dyDescent="0.25">
      <c r="A55" s="8"/>
      <c r="B55" s="8"/>
      <c r="C55" s="13"/>
      <c r="E55" s="14"/>
      <c r="F55" s="14"/>
      <c r="G55" s="68"/>
      <c r="AU55" s="1"/>
    </row>
    <row r="56" spans="1:47" customFormat="1" x14ac:dyDescent="0.25">
      <c r="A56" s="8"/>
      <c r="B56" s="8"/>
      <c r="C56" s="13"/>
      <c r="E56" s="14"/>
      <c r="F56" s="14"/>
      <c r="G56" s="68"/>
      <c r="AU56" s="1"/>
    </row>
    <row r="57" spans="1:47" customFormat="1" x14ac:dyDescent="0.25">
      <c r="A57" s="8"/>
      <c r="B57" s="8"/>
      <c r="C57" s="13"/>
      <c r="E57" s="14"/>
      <c r="F57" s="14"/>
      <c r="G57" s="68"/>
      <c r="AU57" s="1"/>
    </row>
    <row r="58" spans="1:47" customFormat="1" x14ac:dyDescent="0.25">
      <c r="A58" s="8"/>
      <c r="B58" s="8"/>
      <c r="C58" s="13"/>
      <c r="E58" s="14"/>
      <c r="F58" s="14"/>
      <c r="G58" s="68"/>
      <c r="AU58" s="1"/>
    </row>
    <row r="59" spans="1:47" customFormat="1" x14ac:dyDescent="0.25">
      <c r="A59" s="8"/>
      <c r="B59" s="8"/>
      <c r="C59" s="13"/>
      <c r="E59" s="14"/>
      <c r="F59" s="14"/>
      <c r="G59" s="68"/>
      <c r="AU59" s="1"/>
    </row>
    <row r="60" spans="1:47" customFormat="1" x14ac:dyDescent="0.25">
      <c r="A60" s="8"/>
      <c r="B60" s="8"/>
      <c r="C60" s="13"/>
      <c r="E60" s="14"/>
      <c r="F60" s="14"/>
      <c r="G60" s="68"/>
      <c r="AU60" s="1"/>
    </row>
    <row r="61" spans="1:47" customFormat="1" x14ac:dyDescent="0.25">
      <c r="A61" s="8"/>
      <c r="B61" s="8"/>
      <c r="C61" s="13"/>
      <c r="E61" s="14"/>
      <c r="F61" s="14"/>
      <c r="G61" s="68"/>
      <c r="AU61" s="1"/>
    </row>
    <row r="62" spans="1:47" customFormat="1" x14ac:dyDescent="0.25">
      <c r="A62" s="8"/>
      <c r="B62" s="8"/>
      <c r="C62" s="13"/>
      <c r="E62" s="14"/>
      <c r="F62" s="14"/>
      <c r="G62" s="68"/>
      <c r="AU62" s="1"/>
    </row>
    <row r="63" spans="1:47" customFormat="1" x14ac:dyDescent="0.25">
      <c r="A63" s="8"/>
      <c r="B63" s="8"/>
      <c r="C63" s="13"/>
      <c r="E63" s="14"/>
      <c r="F63" s="14"/>
      <c r="G63" s="68"/>
      <c r="AU63" s="1"/>
    </row>
    <row r="64" spans="1:47" customFormat="1" x14ac:dyDescent="0.25">
      <c r="A64" s="8"/>
      <c r="B64" s="8"/>
      <c r="C64" s="13"/>
      <c r="E64" s="14"/>
      <c r="F64" s="14"/>
      <c r="G64" s="68"/>
      <c r="AU64" s="1"/>
    </row>
    <row r="65" spans="1:47" customFormat="1" x14ac:dyDescent="0.25">
      <c r="A65" s="8"/>
      <c r="B65" s="8"/>
      <c r="C65" s="13"/>
      <c r="E65" s="14"/>
      <c r="F65" s="14"/>
      <c r="G65" s="68"/>
      <c r="AU65" s="1"/>
    </row>
    <row r="66" spans="1:47" customFormat="1" x14ac:dyDescent="0.25">
      <c r="A66" s="8"/>
      <c r="B66" s="8"/>
      <c r="C66" s="13"/>
      <c r="E66" s="14"/>
      <c r="F66" s="14"/>
      <c r="G66" s="68"/>
      <c r="AU66" s="1"/>
    </row>
    <row r="67" spans="1:47" customFormat="1" x14ac:dyDescent="0.25">
      <c r="A67" s="8"/>
      <c r="B67" s="8"/>
      <c r="C67" s="13"/>
      <c r="E67" s="14"/>
      <c r="F67" s="14"/>
      <c r="G67" s="68"/>
      <c r="AU67" s="1"/>
    </row>
    <row r="68" spans="1:47" customFormat="1" x14ac:dyDescent="0.25">
      <c r="A68" s="8"/>
      <c r="B68" s="8"/>
      <c r="C68" s="13"/>
      <c r="E68" s="14"/>
      <c r="F68" s="14"/>
      <c r="G68" s="68"/>
      <c r="AU68" s="1"/>
    </row>
    <row r="69" spans="1:47" customFormat="1" x14ac:dyDescent="0.25">
      <c r="A69" s="8"/>
      <c r="B69" s="8"/>
      <c r="C69" s="13"/>
      <c r="E69" s="14"/>
      <c r="F69" s="14"/>
      <c r="G69" s="68"/>
      <c r="AU69" s="1"/>
    </row>
    <row r="70" spans="1:47" customFormat="1" x14ac:dyDescent="0.25">
      <c r="A70" s="8"/>
      <c r="B70" s="8"/>
      <c r="C70" s="13"/>
      <c r="E70" s="14"/>
      <c r="F70" s="14"/>
      <c r="G70" s="68"/>
      <c r="AU70" s="1"/>
    </row>
    <row r="71" spans="1:47" customFormat="1" x14ac:dyDescent="0.25">
      <c r="A71" s="8"/>
      <c r="B71" s="8"/>
      <c r="C71" s="13"/>
      <c r="E71" s="14"/>
      <c r="F71" s="14"/>
      <c r="G71" s="68"/>
      <c r="AU71" s="1"/>
    </row>
    <row r="72" spans="1:47" customFormat="1" x14ac:dyDescent="0.25">
      <c r="A72" s="8"/>
      <c r="B72" s="8"/>
      <c r="C72" s="13"/>
      <c r="E72" s="14"/>
      <c r="F72" s="14"/>
      <c r="G72" s="68"/>
      <c r="AU72" s="1"/>
    </row>
    <row r="73" spans="1:47" customFormat="1" x14ac:dyDescent="0.25">
      <c r="A73" s="8"/>
      <c r="B73" s="8"/>
      <c r="C73" s="13"/>
      <c r="E73" s="14"/>
      <c r="F73" s="14"/>
      <c r="G73" s="68"/>
      <c r="AU73" s="1"/>
    </row>
    <row r="74" spans="1:47" customFormat="1" x14ac:dyDescent="0.25">
      <c r="A74" s="8"/>
      <c r="B74" s="8"/>
      <c r="C74" s="13"/>
      <c r="E74" s="14"/>
      <c r="F74" s="14"/>
      <c r="G74" s="68"/>
      <c r="AU74" s="1"/>
    </row>
    <row r="75" spans="1:47" customFormat="1" x14ac:dyDescent="0.25">
      <c r="A75" s="8"/>
      <c r="B75" s="8"/>
      <c r="C75" s="13"/>
      <c r="E75" s="14"/>
      <c r="F75" s="14"/>
      <c r="G75" s="68"/>
      <c r="AU75" s="1"/>
    </row>
    <row r="76" spans="1:47" customFormat="1" x14ac:dyDescent="0.25">
      <c r="A76" s="8"/>
      <c r="B76" s="8"/>
      <c r="C76" s="13"/>
      <c r="E76" s="14"/>
      <c r="F76" s="14"/>
      <c r="G76" s="68"/>
      <c r="AU76" s="1"/>
    </row>
    <row r="77" spans="1:47" customFormat="1" x14ac:dyDescent="0.25">
      <c r="A77" s="8"/>
      <c r="B77" s="8"/>
      <c r="C77" s="13"/>
      <c r="E77" s="14"/>
      <c r="F77" s="14"/>
      <c r="G77" s="68"/>
      <c r="AU77" s="1"/>
    </row>
    <row r="78" spans="1:47" customFormat="1" x14ac:dyDescent="0.25">
      <c r="A78" s="8"/>
      <c r="B78" s="8"/>
      <c r="C78" s="13"/>
      <c r="E78" s="14"/>
      <c r="F78" s="14"/>
      <c r="G78" s="68"/>
      <c r="AU78" s="1"/>
    </row>
    <row r="79" spans="1:47" customFormat="1" x14ac:dyDescent="0.25">
      <c r="A79" s="8"/>
      <c r="B79" s="8"/>
      <c r="C79" s="13"/>
      <c r="E79" s="14"/>
      <c r="F79" s="14"/>
      <c r="G79" s="68"/>
      <c r="AU79" s="1"/>
    </row>
    <row r="80" spans="1:47" customFormat="1" x14ac:dyDescent="0.25">
      <c r="A80" s="8"/>
      <c r="B80" s="8"/>
      <c r="C80" s="13"/>
      <c r="E80" s="14"/>
      <c r="F80" s="14"/>
      <c r="G80" s="68"/>
      <c r="AU80" s="1"/>
    </row>
    <row r="81" spans="1:47" customFormat="1" x14ac:dyDescent="0.25">
      <c r="A81" s="8"/>
      <c r="B81" s="8"/>
      <c r="C81" s="13"/>
      <c r="E81" s="14"/>
      <c r="F81" s="14"/>
      <c r="G81" s="68"/>
      <c r="AU81" s="1"/>
    </row>
    <row r="82" spans="1:47" customFormat="1" x14ac:dyDescent="0.25">
      <c r="A82" s="8"/>
      <c r="B82" s="8"/>
      <c r="C82" s="13"/>
      <c r="E82" s="14"/>
      <c r="F82" s="14"/>
      <c r="G82" s="68"/>
      <c r="AU82" s="1"/>
    </row>
    <row r="83" spans="1:47" customFormat="1" x14ac:dyDescent="0.25">
      <c r="A83" s="8"/>
      <c r="B83" s="8"/>
      <c r="C83" s="13"/>
      <c r="E83" s="14"/>
      <c r="F83" s="14"/>
      <c r="G83" s="68"/>
      <c r="AU83" s="1"/>
    </row>
    <row r="84" spans="1:47" customFormat="1" x14ac:dyDescent="0.25">
      <c r="A84" s="8"/>
      <c r="B84" s="8"/>
      <c r="C84" s="13"/>
      <c r="E84" s="14"/>
      <c r="F84" s="14"/>
      <c r="G84" s="68"/>
      <c r="AU84" s="1"/>
    </row>
    <row r="85" spans="1:47" customFormat="1" x14ac:dyDescent="0.25">
      <c r="A85" s="8"/>
      <c r="B85" s="8"/>
      <c r="C85" s="13"/>
      <c r="E85" s="14"/>
      <c r="F85" s="14"/>
      <c r="G85" s="68"/>
      <c r="AU85" s="1"/>
    </row>
    <row r="86" spans="1:47" customFormat="1" x14ac:dyDescent="0.25">
      <c r="A86" s="8"/>
      <c r="B86" s="8"/>
      <c r="C86" s="13"/>
      <c r="E86" s="14"/>
      <c r="F86" s="14"/>
      <c r="G86" s="68"/>
      <c r="AU86" s="1"/>
    </row>
    <row r="87" spans="1:47" customFormat="1" x14ac:dyDescent="0.25">
      <c r="A87" s="8"/>
      <c r="B87" s="8"/>
      <c r="C87" s="13"/>
      <c r="E87" s="14"/>
      <c r="F87" s="14"/>
      <c r="G87" s="68"/>
      <c r="AU87" s="1"/>
    </row>
    <row r="88" spans="1:47" customFormat="1" x14ac:dyDescent="0.25">
      <c r="A88" s="8"/>
      <c r="B88" s="8"/>
      <c r="C88" s="13"/>
      <c r="E88" s="14"/>
      <c r="F88" s="14"/>
      <c r="G88" s="68"/>
      <c r="AU88" s="1"/>
    </row>
    <row r="89" spans="1:47" customFormat="1" x14ac:dyDescent="0.25">
      <c r="A89" s="8"/>
      <c r="B89" s="8"/>
      <c r="C89" s="13"/>
      <c r="E89" s="14"/>
      <c r="F89" s="14"/>
      <c r="G89" s="68"/>
      <c r="AU89" s="1"/>
    </row>
    <row r="90" spans="1:47" customFormat="1" x14ac:dyDescent="0.25">
      <c r="A90" s="8"/>
      <c r="B90" s="8"/>
      <c r="C90" s="13"/>
      <c r="E90" s="14"/>
      <c r="F90" s="14"/>
      <c r="G90" s="68"/>
      <c r="AU90" s="1"/>
    </row>
    <row r="91" spans="1:47" customFormat="1" x14ac:dyDescent="0.25">
      <c r="A91" s="8"/>
      <c r="B91" s="8"/>
      <c r="C91" s="13"/>
      <c r="E91" s="14"/>
      <c r="F91" s="14"/>
      <c r="G91" s="68"/>
      <c r="AU91" s="1"/>
    </row>
    <row r="92" spans="1:47" customFormat="1" x14ac:dyDescent="0.25">
      <c r="A92" s="8"/>
      <c r="B92" s="8"/>
      <c r="C92" s="13"/>
      <c r="E92" s="14"/>
      <c r="F92" s="14"/>
      <c r="G92" s="68"/>
      <c r="AU92" s="1"/>
    </row>
    <row r="93" spans="1:47" customFormat="1" x14ac:dyDescent="0.25">
      <c r="A93" s="8"/>
      <c r="B93" s="8"/>
      <c r="C93" s="13"/>
      <c r="E93" s="14"/>
      <c r="F93" s="14"/>
      <c r="G93" s="68"/>
      <c r="AU93" s="1"/>
    </row>
    <row r="94" spans="1:47" customFormat="1" x14ac:dyDescent="0.25">
      <c r="A94" s="8"/>
      <c r="B94" s="8"/>
      <c r="C94" s="13"/>
      <c r="E94" s="14"/>
      <c r="F94" s="14"/>
      <c r="G94" s="68"/>
      <c r="AU94" s="1"/>
    </row>
    <row r="95" spans="1:47" customFormat="1" x14ac:dyDescent="0.25">
      <c r="A95" s="8"/>
      <c r="B95" s="8"/>
      <c r="C95" s="13"/>
      <c r="E95" s="14"/>
      <c r="F95" s="14"/>
      <c r="G95" s="68"/>
      <c r="AU95" s="1"/>
    </row>
    <row r="96" spans="1:47" customFormat="1" x14ac:dyDescent="0.25">
      <c r="A96" s="8"/>
      <c r="B96" s="8"/>
      <c r="C96" s="13"/>
      <c r="E96" s="14"/>
      <c r="F96" s="14"/>
      <c r="G96" s="68"/>
      <c r="AU96" s="1"/>
    </row>
    <row r="97" spans="1:47" customFormat="1" x14ac:dyDescent="0.25">
      <c r="A97" s="8"/>
      <c r="B97" s="8"/>
      <c r="C97" s="13"/>
      <c r="E97" s="14"/>
      <c r="F97" s="14"/>
      <c r="G97" s="68"/>
      <c r="AU97" s="1"/>
    </row>
    <row r="98" spans="1:47" customFormat="1" x14ac:dyDescent="0.25">
      <c r="A98" s="8"/>
      <c r="B98" s="8"/>
      <c r="C98" s="13"/>
      <c r="E98" s="14"/>
      <c r="F98" s="14"/>
      <c r="G98" s="68"/>
      <c r="AU98" s="1"/>
    </row>
    <row r="99" spans="1:47" customFormat="1" x14ac:dyDescent="0.25">
      <c r="A99" s="8"/>
      <c r="B99" s="8"/>
      <c r="C99" s="13"/>
      <c r="E99" s="14"/>
      <c r="F99" s="14"/>
      <c r="G99" s="68"/>
      <c r="AU99" s="1"/>
    </row>
    <row r="100" spans="1:47" customFormat="1" x14ac:dyDescent="0.25">
      <c r="A100" s="8"/>
      <c r="B100" s="8"/>
      <c r="C100" s="13"/>
      <c r="E100" s="14"/>
      <c r="F100" s="14"/>
      <c r="G100" s="68"/>
      <c r="AU100" s="1"/>
    </row>
    <row r="101" spans="1:47" customFormat="1" x14ac:dyDescent="0.25">
      <c r="A101" s="8"/>
      <c r="B101" s="8"/>
      <c r="C101" s="13"/>
      <c r="E101" s="14"/>
      <c r="F101" s="14"/>
      <c r="G101" s="68"/>
      <c r="AU101" s="1"/>
    </row>
    <row r="102" spans="1:47" customFormat="1" x14ac:dyDescent="0.25">
      <c r="A102" s="8"/>
      <c r="B102" s="8"/>
      <c r="C102" s="13"/>
      <c r="E102" s="14"/>
      <c r="F102" s="14"/>
      <c r="G102" s="68"/>
      <c r="AU102" s="1"/>
    </row>
    <row r="103" spans="1:47" customFormat="1" x14ac:dyDescent="0.25">
      <c r="A103" s="8"/>
      <c r="B103" s="8"/>
      <c r="C103" s="13"/>
      <c r="E103" s="14"/>
      <c r="F103" s="14"/>
      <c r="G103" s="68"/>
      <c r="AU103" s="1"/>
    </row>
    <row r="104" spans="1:47" customFormat="1" x14ac:dyDescent="0.25">
      <c r="A104" s="8"/>
      <c r="B104" s="8"/>
      <c r="C104" s="13"/>
      <c r="E104" s="14"/>
      <c r="F104" s="14"/>
      <c r="G104" s="68"/>
      <c r="AU104" s="1"/>
    </row>
    <row r="105" spans="1:47" customFormat="1" x14ac:dyDescent="0.25">
      <c r="A105" s="8"/>
      <c r="B105" s="8"/>
      <c r="C105" s="13"/>
      <c r="E105" s="14"/>
      <c r="F105" s="14"/>
      <c r="G105" s="68"/>
      <c r="AU105" s="1"/>
    </row>
    <row r="106" spans="1:47" customFormat="1" x14ac:dyDescent="0.25">
      <c r="A106" s="8"/>
      <c r="B106" s="8"/>
      <c r="C106" s="13"/>
      <c r="E106" s="14"/>
      <c r="F106" s="14"/>
      <c r="G106" s="68"/>
      <c r="AU106" s="1"/>
    </row>
    <row r="107" spans="1:47" customFormat="1" x14ac:dyDescent="0.25">
      <c r="A107" s="8"/>
      <c r="B107" s="8"/>
      <c r="C107" s="13"/>
      <c r="E107" s="14"/>
      <c r="F107" s="14"/>
      <c r="G107" s="68"/>
      <c r="AU107" s="1"/>
    </row>
    <row r="108" spans="1:47" customFormat="1" x14ac:dyDescent="0.25">
      <c r="A108" s="8"/>
      <c r="B108" s="8"/>
      <c r="C108" s="13"/>
      <c r="E108" s="14"/>
      <c r="F108" s="14"/>
      <c r="G108" s="68"/>
      <c r="AU108" s="1"/>
    </row>
    <row r="109" spans="1:47" customFormat="1" x14ac:dyDescent="0.25">
      <c r="A109" s="8"/>
      <c r="B109" s="8"/>
      <c r="C109" s="13"/>
      <c r="E109" s="14"/>
      <c r="F109" s="14"/>
      <c r="G109" s="68"/>
      <c r="AU109" s="1"/>
    </row>
    <row r="110" spans="1:47" customFormat="1" x14ac:dyDescent="0.25">
      <c r="A110" s="8"/>
      <c r="B110" s="8"/>
      <c r="C110" s="13"/>
      <c r="E110" s="14"/>
      <c r="F110" s="14"/>
      <c r="G110" s="68"/>
      <c r="AU110" s="1"/>
    </row>
    <row r="111" spans="1:47" customFormat="1" x14ac:dyDescent="0.25">
      <c r="A111" s="8"/>
      <c r="B111" s="8"/>
      <c r="C111" s="13"/>
      <c r="E111" s="14"/>
      <c r="F111" s="14"/>
      <c r="G111" s="68"/>
      <c r="AU111" s="1"/>
    </row>
    <row r="112" spans="1:47" customFormat="1" x14ac:dyDescent="0.25">
      <c r="A112" s="8"/>
      <c r="B112" s="8"/>
      <c r="C112" s="13"/>
      <c r="E112" s="14"/>
      <c r="F112" s="14"/>
      <c r="G112" s="68"/>
      <c r="AU112" s="1"/>
    </row>
    <row r="113" spans="1:47" customFormat="1" x14ac:dyDescent="0.25">
      <c r="A113" s="8"/>
      <c r="B113" s="8"/>
      <c r="C113" s="13"/>
      <c r="E113" s="14"/>
      <c r="F113" s="14"/>
      <c r="G113" s="68"/>
      <c r="AU113" s="1"/>
    </row>
    <row r="114" spans="1:47" customFormat="1" x14ac:dyDescent="0.25">
      <c r="A114" s="8"/>
      <c r="B114" s="8"/>
      <c r="C114" s="13"/>
      <c r="E114" s="14"/>
      <c r="F114" s="14"/>
      <c r="G114" s="68"/>
      <c r="AU114" s="1"/>
    </row>
    <row r="115" spans="1:47" customFormat="1" x14ac:dyDescent="0.25">
      <c r="A115" s="8"/>
      <c r="B115" s="8"/>
      <c r="C115" s="13"/>
      <c r="E115" s="14"/>
      <c r="F115" s="14"/>
      <c r="G115" s="68"/>
      <c r="AU115" s="1"/>
    </row>
    <row r="116" spans="1:47" customFormat="1" x14ac:dyDescent="0.25">
      <c r="A116" s="8"/>
      <c r="B116" s="8"/>
      <c r="C116" s="13"/>
      <c r="E116" s="14"/>
      <c r="F116" s="14"/>
      <c r="G116" s="68"/>
      <c r="AU116" s="1"/>
    </row>
    <row r="117" spans="1:47" customFormat="1" x14ac:dyDescent="0.25">
      <c r="A117" s="8"/>
      <c r="B117" s="8"/>
      <c r="C117" s="13"/>
      <c r="E117" s="14"/>
      <c r="F117" s="14"/>
      <c r="G117" s="68"/>
      <c r="AU117" s="1"/>
    </row>
    <row r="118" spans="1:47" customFormat="1" x14ac:dyDescent="0.25">
      <c r="A118" s="8"/>
      <c r="B118" s="8"/>
      <c r="C118" s="13"/>
      <c r="E118" s="14"/>
      <c r="F118" s="14"/>
      <c r="G118" s="68"/>
      <c r="AU118" s="1"/>
    </row>
    <row r="119" spans="1:47" customFormat="1" x14ac:dyDescent="0.25">
      <c r="A119" s="8"/>
      <c r="B119" s="8"/>
      <c r="C119" s="13"/>
      <c r="E119" s="14"/>
      <c r="F119" s="14"/>
      <c r="G119" s="68"/>
      <c r="AU119" s="1"/>
    </row>
    <row r="120" spans="1:47" customFormat="1" x14ac:dyDescent="0.25">
      <c r="A120" s="8"/>
      <c r="B120" s="8"/>
      <c r="C120" s="13"/>
      <c r="E120" s="14"/>
      <c r="F120" s="14"/>
      <c r="G120" s="68"/>
      <c r="AU120" s="1"/>
    </row>
    <row r="121" spans="1:47" customFormat="1" x14ac:dyDescent="0.25">
      <c r="A121" s="8"/>
      <c r="B121" s="8"/>
      <c r="C121" s="13"/>
      <c r="E121" s="14"/>
      <c r="F121" s="14"/>
      <c r="G121" s="68"/>
      <c r="AU121" s="1"/>
    </row>
    <row r="122" spans="1:47" customFormat="1" x14ac:dyDescent="0.25">
      <c r="A122" s="8"/>
      <c r="B122" s="8"/>
      <c r="C122" s="13"/>
      <c r="E122" s="14"/>
      <c r="F122" s="14"/>
      <c r="G122" s="68"/>
      <c r="AU122" s="1"/>
    </row>
    <row r="123" spans="1:47" customFormat="1" x14ac:dyDescent="0.25">
      <c r="A123" s="8"/>
      <c r="B123" s="8"/>
      <c r="C123" s="13"/>
      <c r="E123" s="14"/>
      <c r="F123" s="14"/>
      <c r="G123" s="68"/>
      <c r="AU123" s="1"/>
    </row>
    <row r="124" spans="1:47" customFormat="1" x14ac:dyDescent="0.25">
      <c r="A124" s="8"/>
      <c r="B124" s="8"/>
      <c r="C124" s="13"/>
      <c r="E124" s="14"/>
      <c r="F124" s="14"/>
      <c r="G124" s="68"/>
      <c r="AU124" s="1"/>
    </row>
    <row r="125" spans="1:47" customFormat="1" x14ac:dyDescent="0.25">
      <c r="A125" s="8"/>
      <c r="B125" s="8"/>
      <c r="C125" s="13"/>
      <c r="E125" s="14"/>
      <c r="F125" s="14"/>
      <c r="G125" s="68"/>
      <c r="AU125" s="1"/>
    </row>
    <row r="126" spans="1:47" customFormat="1" x14ac:dyDescent="0.25">
      <c r="A126" s="8"/>
      <c r="B126" s="8"/>
      <c r="C126" s="13"/>
      <c r="E126" s="14"/>
      <c r="F126" s="14"/>
      <c r="G126" s="68"/>
      <c r="AU126" s="1"/>
    </row>
    <row r="127" spans="1:47" customFormat="1" x14ac:dyDescent="0.25">
      <c r="A127" s="8"/>
      <c r="B127" s="8"/>
      <c r="C127" s="13"/>
      <c r="E127" s="14"/>
      <c r="F127" s="14"/>
      <c r="G127" s="68"/>
      <c r="AU127" s="1"/>
    </row>
    <row r="128" spans="1:47" customFormat="1" x14ac:dyDescent="0.25">
      <c r="A128" s="8"/>
      <c r="B128" s="8"/>
      <c r="C128" s="13"/>
      <c r="E128" s="14"/>
      <c r="F128" s="14"/>
      <c r="G128" s="68"/>
      <c r="AU128" s="1"/>
    </row>
    <row r="129" spans="1:47" customFormat="1" x14ac:dyDescent="0.25">
      <c r="A129" s="8"/>
      <c r="B129" s="8"/>
      <c r="C129" s="13"/>
      <c r="E129" s="14"/>
      <c r="F129" s="14"/>
      <c r="G129" s="68"/>
      <c r="AU129" s="1"/>
    </row>
    <row r="130" spans="1:47" customFormat="1" x14ac:dyDescent="0.25">
      <c r="A130" s="8"/>
      <c r="B130" s="8"/>
      <c r="C130" s="13"/>
      <c r="E130" s="14"/>
      <c r="F130" s="14"/>
      <c r="G130" s="68"/>
      <c r="AU130" s="1"/>
    </row>
    <row r="131" spans="1:47" customFormat="1" x14ac:dyDescent="0.25">
      <c r="A131" s="8"/>
      <c r="B131" s="8"/>
      <c r="C131" s="13"/>
      <c r="E131" s="14"/>
      <c r="F131" s="14"/>
      <c r="G131" s="68"/>
      <c r="AU131" s="1"/>
    </row>
    <row r="132" spans="1:47" customFormat="1" x14ac:dyDescent="0.25">
      <c r="A132" s="8"/>
      <c r="B132" s="8"/>
      <c r="C132" s="13"/>
      <c r="E132" s="14"/>
      <c r="F132" s="14"/>
      <c r="G132" s="68"/>
      <c r="AU132" s="1"/>
    </row>
    <row r="133" spans="1:47" customFormat="1" x14ac:dyDescent="0.25">
      <c r="A133" s="8"/>
      <c r="B133" s="8"/>
      <c r="C133" s="13"/>
      <c r="E133" s="14"/>
      <c r="F133" s="14"/>
      <c r="G133" s="68"/>
      <c r="AU133" s="1"/>
    </row>
    <row r="134" spans="1:47" customFormat="1" x14ac:dyDescent="0.25">
      <c r="A134" s="8"/>
      <c r="B134" s="8"/>
      <c r="C134" s="13"/>
      <c r="E134" s="14"/>
      <c r="F134" s="14"/>
      <c r="G134" s="68"/>
      <c r="AU134" s="1"/>
    </row>
    <row r="135" spans="1:47" customFormat="1" x14ac:dyDescent="0.25">
      <c r="A135" s="8"/>
      <c r="B135" s="8"/>
      <c r="C135" s="13"/>
      <c r="E135" s="14"/>
      <c r="F135" s="14"/>
      <c r="G135" s="68"/>
      <c r="AU135" s="1"/>
    </row>
    <row r="136" spans="1:47" customFormat="1" x14ac:dyDescent="0.25">
      <c r="A136" s="8"/>
      <c r="B136" s="8"/>
      <c r="C136" s="13"/>
      <c r="E136" s="14"/>
      <c r="F136" s="14"/>
      <c r="G136" s="68"/>
      <c r="AU136" s="1"/>
    </row>
    <row r="137" spans="1:47" customFormat="1" x14ac:dyDescent="0.25">
      <c r="A137" s="8"/>
      <c r="B137" s="8"/>
      <c r="C137" s="13"/>
      <c r="E137" s="14"/>
      <c r="F137" s="14"/>
      <c r="G137" s="68"/>
      <c r="AU137" s="1"/>
    </row>
    <row r="138" spans="1:47" customFormat="1" x14ac:dyDescent="0.25">
      <c r="A138" s="8"/>
      <c r="B138" s="8"/>
      <c r="C138" s="13"/>
      <c r="E138" s="14"/>
      <c r="F138" s="14"/>
      <c r="G138" s="68"/>
      <c r="AU138" s="1"/>
    </row>
    <row r="139" spans="1:47" customFormat="1" x14ac:dyDescent="0.25">
      <c r="A139" s="8"/>
      <c r="B139" s="8"/>
      <c r="C139" s="13"/>
      <c r="E139" s="14"/>
      <c r="F139" s="14"/>
      <c r="G139" s="68"/>
      <c r="AU139" s="1"/>
    </row>
    <row r="140" spans="1:47" customFormat="1" x14ac:dyDescent="0.25">
      <c r="A140" s="8"/>
      <c r="B140" s="8"/>
      <c r="C140" s="13"/>
      <c r="E140" s="14"/>
      <c r="F140" s="14"/>
      <c r="G140" s="68"/>
      <c r="AU140" s="1"/>
    </row>
    <row r="141" spans="1:47" customFormat="1" x14ac:dyDescent="0.25">
      <c r="A141" s="8"/>
      <c r="B141" s="8"/>
      <c r="C141" s="13"/>
      <c r="E141" s="14"/>
      <c r="F141" s="14"/>
      <c r="G141" s="68"/>
      <c r="AU141" s="1"/>
    </row>
    <row r="142" spans="1:47" customFormat="1" x14ac:dyDescent="0.25">
      <c r="A142" s="8"/>
      <c r="B142" s="8"/>
      <c r="C142" s="13"/>
      <c r="E142" s="14"/>
      <c r="F142" s="14"/>
      <c r="G142" s="68"/>
      <c r="AU142" s="1"/>
    </row>
    <row r="143" spans="1:47" customFormat="1" x14ac:dyDescent="0.25">
      <c r="A143" s="8"/>
      <c r="B143" s="8"/>
      <c r="C143" s="13"/>
      <c r="E143" s="14"/>
      <c r="F143" s="14"/>
      <c r="G143" s="68"/>
      <c r="AU143" s="1"/>
    </row>
    <row r="144" spans="1:47" customFormat="1" x14ac:dyDescent="0.25">
      <c r="A144" s="8"/>
      <c r="B144" s="8"/>
      <c r="C144" s="13"/>
      <c r="E144" s="14"/>
      <c r="F144" s="14"/>
      <c r="G144" s="68"/>
      <c r="AU144" s="1"/>
    </row>
    <row r="145" spans="1:47" customFormat="1" x14ac:dyDescent="0.25">
      <c r="A145" s="8"/>
      <c r="B145" s="8"/>
      <c r="C145" s="13"/>
      <c r="E145" s="14"/>
      <c r="F145" s="14"/>
      <c r="G145" s="68"/>
      <c r="AU145" s="1"/>
    </row>
    <row r="146" spans="1:47" customFormat="1" x14ac:dyDescent="0.25">
      <c r="A146" s="8"/>
      <c r="B146" s="8"/>
      <c r="C146" s="13"/>
      <c r="E146" s="14"/>
      <c r="F146" s="14"/>
      <c r="G146" s="68"/>
      <c r="AU146" s="1"/>
    </row>
    <row r="147" spans="1:47" customFormat="1" x14ac:dyDescent="0.25">
      <c r="A147" s="8"/>
      <c r="B147" s="8"/>
      <c r="C147" s="13"/>
      <c r="E147" s="14"/>
      <c r="F147" s="14"/>
      <c r="G147" s="68"/>
      <c r="AU147" s="1"/>
    </row>
    <row r="148" spans="1:47" customFormat="1" x14ac:dyDescent="0.25">
      <c r="A148" s="8"/>
      <c r="B148" s="8"/>
      <c r="C148" s="13"/>
      <c r="E148" s="14"/>
      <c r="F148" s="14"/>
      <c r="G148" s="68"/>
      <c r="AU148" s="1"/>
    </row>
    <row r="149" spans="1:47" customFormat="1" x14ac:dyDescent="0.25">
      <c r="A149" s="8"/>
      <c r="B149" s="8"/>
      <c r="C149" s="13"/>
      <c r="E149" s="14"/>
      <c r="F149" s="14"/>
      <c r="G149" s="68"/>
      <c r="AU149" s="1"/>
    </row>
    <row r="150" spans="1:47" customFormat="1" x14ac:dyDescent="0.25">
      <c r="A150" s="8"/>
      <c r="B150" s="8"/>
      <c r="C150" s="13"/>
      <c r="E150" s="14"/>
      <c r="F150" s="14"/>
      <c r="G150" s="68"/>
      <c r="AU150" s="1"/>
    </row>
    <row r="151" spans="1:47" customFormat="1" x14ac:dyDescent="0.25">
      <c r="A151" s="8"/>
      <c r="B151" s="8"/>
      <c r="C151" s="13"/>
      <c r="E151" s="14"/>
      <c r="F151" s="14"/>
      <c r="G151" s="68"/>
      <c r="AU151" s="1"/>
    </row>
    <row r="152" spans="1:47" customFormat="1" x14ac:dyDescent="0.25">
      <c r="A152" s="8"/>
      <c r="B152" s="8"/>
      <c r="C152" s="13"/>
      <c r="E152" s="14"/>
      <c r="F152" s="14"/>
      <c r="G152" s="68"/>
      <c r="AU152" s="1"/>
    </row>
    <row r="153" spans="1:47" customFormat="1" x14ac:dyDescent="0.25">
      <c r="A153" s="8"/>
      <c r="B153" s="8"/>
      <c r="C153" s="13"/>
      <c r="E153" s="14"/>
      <c r="F153" s="14"/>
      <c r="G153" s="68"/>
      <c r="AU153" s="1"/>
    </row>
    <row r="154" spans="1:47" customFormat="1" x14ac:dyDescent="0.25">
      <c r="A154" s="8"/>
      <c r="B154" s="8"/>
      <c r="C154" s="13"/>
      <c r="E154" s="14"/>
      <c r="F154" s="14"/>
      <c r="G154" s="68"/>
      <c r="AU154" s="1"/>
    </row>
    <row r="155" spans="1:47" customFormat="1" x14ac:dyDescent="0.25">
      <c r="A155" s="8"/>
      <c r="B155" s="8"/>
      <c r="C155" s="13"/>
      <c r="E155" s="14"/>
      <c r="F155" s="14"/>
      <c r="G155" s="68"/>
      <c r="AU155" s="1"/>
    </row>
    <row r="156" spans="1:47" customFormat="1" x14ac:dyDescent="0.25">
      <c r="A156" s="8"/>
      <c r="B156" s="8"/>
      <c r="C156" s="13"/>
      <c r="E156" s="14"/>
      <c r="F156" s="14"/>
      <c r="G156" s="68"/>
      <c r="AU156" s="1"/>
    </row>
    <row r="157" spans="1:47" customFormat="1" x14ac:dyDescent="0.25">
      <c r="A157" s="8"/>
      <c r="B157" s="8"/>
      <c r="C157" s="13"/>
      <c r="E157" s="14"/>
      <c r="F157" s="14"/>
      <c r="G157" s="68"/>
      <c r="AU157" s="1"/>
    </row>
    <row r="158" spans="1:47" customFormat="1" x14ac:dyDescent="0.25">
      <c r="A158" s="8"/>
      <c r="B158" s="8"/>
      <c r="C158" s="13"/>
      <c r="E158" s="14"/>
      <c r="F158" s="14"/>
      <c r="G158" s="68"/>
      <c r="AU158" s="1"/>
    </row>
    <row r="159" spans="1:47" customFormat="1" x14ac:dyDescent="0.25">
      <c r="A159" s="8"/>
      <c r="B159" s="8"/>
      <c r="C159" s="13"/>
      <c r="E159" s="14"/>
      <c r="F159" s="14"/>
      <c r="G159" s="68"/>
      <c r="AU159" s="1"/>
    </row>
    <row r="160" spans="1:47" customFormat="1" x14ac:dyDescent="0.25">
      <c r="A160" s="8"/>
      <c r="B160" s="8"/>
      <c r="C160" s="13"/>
      <c r="E160" s="14"/>
      <c r="F160" s="14"/>
      <c r="G160" s="68"/>
      <c r="AU160" s="1"/>
    </row>
    <row r="161" spans="1:47" customFormat="1" x14ac:dyDescent="0.25">
      <c r="A161" s="8"/>
      <c r="B161" s="8"/>
      <c r="C161" s="13"/>
      <c r="E161" s="14"/>
      <c r="F161" s="14"/>
      <c r="G161" s="68"/>
      <c r="AU161" s="1"/>
    </row>
    <row r="162" spans="1:47" customFormat="1" x14ac:dyDescent="0.25">
      <c r="A162" s="8"/>
      <c r="B162" s="8"/>
      <c r="C162" s="13"/>
      <c r="E162" s="14"/>
      <c r="F162" s="14"/>
      <c r="G162" s="68"/>
      <c r="AU162" s="1"/>
    </row>
    <row r="163" spans="1:47" customFormat="1" x14ac:dyDescent="0.25">
      <c r="A163" s="8"/>
      <c r="B163" s="8"/>
      <c r="C163" s="13"/>
      <c r="E163" s="14"/>
      <c r="F163" s="14"/>
      <c r="G163" s="68"/>
      <c r="AU163" s="1"/>
    </row>
    <row r="164" spans="1:47" customFormat="1" x14ac:dyDescent="0.25">
      <c r="A164" s="8"/>
      <c r="B164" s="8"/>
      <c r="C164" s="13"/>
      <c r="E164" s="14"/>
      <c r="F164" s="14"/>
      <c r="G164" s="68"/>
      <c r="AU164" s="1"/>
    </row>
    <row r="165" spans="1:47" customFormat="1" x14ac:dyDescent="0.25">
      <c r="A165" s="8"/>
      <c r="B165" s="8"/>
      <c r="C165" s="13"/>
      <c r="E165" s="14"/>
      <c r="F165" s="14"/>
      <c r="G165" s="68"/>
      <c r="AU165" s="1"/>
    </row>
    <row r="166" spans="1:47" customFormat="1" x14ac:dyDescent="0.25">
      <c r="A166" s="8"/>
      <c r="B166" s="8"/>
      <c r="C166" s="13"/>
      <c r="E166" s="14"/>
      <c r="F166" s="14"/>
      <c r="G166" s="68"/>
      <c r="AU166" s="1"/>
    </row>
    <row r="167" spans="1:47" customFormat="1" x14ac:dyDescent="0.25">
      <c r="A167" s="8"/>
      <c r="B167" s="8"/>
      <c r="C167" s="13"/>
      <c r="E167" s="14"/>
      <c r="F167" s="14"/>
      <c r="G167" s="68"/>
      <c r="AU167" s="1"/>
    </row>
    <row r="168" spans="1:47" customFormat="1" x14ac:dyDescent="0.25">
      <c r="A168" s="8"/>
      <c r="B168" s="8"/>
      <c r="C168" s="13"/>
      <c r="E168" s="14"/>
      <c r="F168" s="14"/>
      <c r="G168" s="68"/>
      <c r="AU168" s="1"/>
    </row>
    <row r="169" spans="1:47" customFormat="1" x14ac:dyDescent="0.25">
      <c r="A169" s="8"/>
      <c r="B169" s="8"/>
      <c r="C169" s="13"/>
      <c r="E169" s="14"/>
      <c r="F169" s="14"/>
      <c r="G169" s="68"/>
      <c r="AU169" s="1"/>
    </row>
    <row r="170" spans="1:47" customFormat="1" x14ac:dyDescent="0.25">
      <c r="A170" s="8"/>
      <c r="B170" s="8"/>
      <c r="C170" s="13"/>
      <c r="E170" s="14"/>
      <c r="F170" s="14"/>
      <c r="G170" s="68"/>
      <c r="AU170" s="1"/>
    </row>
    <row r="171" spans="1:47" customFormat="1" x14ac:dyDescent="0.25">
      <c r="A171" s="8"/>
      <c r="B171" s="8"/>
      <c r="C171" s="13"/>
      <c r="E171" s="14"/>
      <c r="F171" s="14"/>
      <c r="G171" s="68"/>
      <c r="AU171" s="1"/>
    </row>
    <row r="172" spans="1:47" customFormat="1" x14ac:dyDescent="0.25">
      <c r="A172" s="8"/>
      <c r="B172" s="8"/>
      <c r="C172" s="13"/>
      <c r="E172" s="14"/>
      <c r="F172" s="14"/>
      <c r="G172" s="68"/>
      <c r="AU172" s="1"/>
    </row>
    <row r="173" spans="1:47" customFormat="1" x14ac:dyDescent="0.25">
      <c r="A173" s="8"/>
      <c r="B173" s="8"/>
      <c r="C173" s="13"/>
      <c r="E173" s="14"/>
      <c r="F173" s="14"/>
      <c r="G173" s="68"/>
      <c r="AU173" s="1"/>
    </row>
    <row r="174" spans="1:47" customFormat="1" x14ac:dyDescent="0.25">
      <c r="A174" s="8"/>
      <c r="B174" s="8"/>
      <c r="C174" s="13"/>
      <c r="E174" s="14"/>
      <c r="F174" s="14"/>
      <c r="G174" s="68"/>
      <c r="AU174" s="1"/>
    </row>
    <row r="175" spans="1:47" customFormat="1" x14ac:dyDescent="0.25">
      <c r="A175" s="8"/>
      <c r="B175" s="8"/>
      <c r="C175" s="13"/>
      <c r="E175" s="14"/>
      <c r="F175" s="14"/>
      <c r="G175" s="68"/>
      <c r="AU175" s="1"/>
    </row>
    <row r="176" spans="1:47" customFormat="1" x14ac:dyDescent="0.25">
      <c r="A176" s="8"/>
      <c r="B176" s="8"/>
      <c r="C176" s="13"/>
      <c r="E176" s="14"/>
      <c r="F176" s="14"/>
      <c r="G176" s="68"/>
      <c r="AU176" s="1"/>
    </row>
    <row r="177" spans="1:47" customFormat="1" x14ac:dyDescent="0.25">
      <c r="A177" s="8"/>
      <c r="B177" s="8"/>
      <c r="C177" s="13"/>
      <c r="E177" s="14"/>
      <c r="F177" s="14"/>
      <c r="G177" s="68"/>
      <c r="AU177" s="1"/>
    </row>
    <row r="178" spans="1:47" customFormat="1" x14ac:dyDescent="0.25">
      <c r="A178" s="8"/>
      <c r="B178" s="8"/>
      <c r="C178" s="13"/>
      <c r="E178" s="14"/>
      <c r="F178" s="14"/>
      <c r="G178" s="68"/>
      <c r="AU178" s="1"/>
    </row>
    <row r="179" spans="1:47" customFormat="1" x14ac:dyDescent="0.25">
      <c r="A179" s="8"/>
      <c r="B179" s="8"/>
      <c r="C179" s="13"/>
      <c r="E179" s="14"/>
      <c r="F179" s="14"/>
      <c r="G179" s="68"/>
      <c r="AU179" s="1"/>
    </row>
    <row r="180" spans="1:47" customFormat="1" x14ac:dyDescent="0.25">
      <c r="A180" s="8"/>
      <c r="B180" s="8"/>
      <c r="C180" s="13"/>
      <c r="E180" s="14"/>
      <c r="F180" s="14"/>
      <c r="G180" s="68"/>
      <c r="AU180" s="1"/>
    </row>
    <row r="181" spans="1:47" customFormat="1" x14ac:dyDescent="0.25">
      <c r="A181" s="8"/>
      <c r="B181" s="8"/>
      <c r="C181" s="13"/>
      <c r="E181" s="14"/>
      <c r="F181" s="14"/>
      <c r="G181" s="68"/>
      <c r="AU181" s="1"/>
    </row>
    <row r="182" spans="1:47" customFormat="1" x14ac:dyDescent="0.25">
      <c r="A182" s="8"/>
      <c r="B182" s="8"/>
      <c r="C182" s="13"/>
      <c r="E182" s="14"/>
      <c r="F182" s="14"/>
      <c r="G182" s="68"/>
      <c r="AU182" s="1"/>
    </row>
    <row r="183" spans="1:47" customFormat="1" x14ac:dyDescent="0.25">
      <c r="A183" s="8"/>
      <c r="B183" s="8"/>
      <c r="C183" s="13"/>
      <c r="E183" s="14"/>
      <c r="F183" s="14"/>
      <c r="G183" s="68"/>
      <c r="AU183" s="1"/>
    </row>
    <row r="184" spans="1:47" customFormat="1" x14ac:dyDescent="0.25">
      <c r="A184" s="8"/>
      <c r="B184" s="8"/>
      <c r="C184" s="13"/>
      <c r="E184" s="14"/>
      <c r="F184" s="14"/>
      <c r="G184" s="68"/>
      <c r="AU184" s="1"/>
    </row>
    <row r="185" spans="1:47" customFormat="1" x14ac:dyDescent="0.25">
      <c r="A185" s="8"/>
      <c r="B185" s="8"/>
      <c r="C185" s="13"/>
      <c r="E185" s="14"/>
      <c r="F185" s="14"/>
      <c r="G185" s="68"/>
      <c r="AU185" s="1"/>
    </row>
    <row r="186" spans="1:47" customFormat="1" x14ac:dyDescent="0.25">
      <c r="A186" s="8"/>
      <c r="B186" s="8"/>
      <c r="C186" s="13"/>
      <c r="E186" s="14"/>
      <c r="F186" s="14"/>
      <c r="G186" s="68"/>
      <c r="AU186" s="1"/>
    </row>
    <row r="187" spans="1:47" customFormat="1" x14ac:dyDescent="0.25">
      <c r="A187" s="8"/>
      <c r="B187" s="8"/>
      <c r="C187" s="13"/>
      <c r="E187" s="14"/>
      <c r="F187" s="14"/>
      <c r="G187" s="68"/>
      <c r="AU187" s="1"/>
    </row>
    <row r="188" spans="1:47" customFormat="1" x14ac:dyDescent="0.25">
      <c r="A188" s="8"/>
      <c r="B188" s="8"/>
      <c r="C188" s="13"/>
      <c r="E188" s="14"/>
      <c r="F188" s="14"/>
      <c r="G188" s="68"/>
      <c r="AU188" s="1"/>
    </row>
    <row r="189" spans="1:47" customFormat="1" x14ac:dyDescent="0.25">
      <c r="A189" s="8"/>
      <c r="B189" s="8"/>
      <c r="C189" s="13"/>
      <c r="E189" s="14"/>
      <c r="F189" s="14"/>
      <c r="G189" s="68"/>
      <c r="AU189" s="1"/>
    </row>
    <row r="190" spans="1:47" customFormat="1" x14ac:dyDescent="0.25">
      <c r="A190" s="8"/>
      <c r="B190" s="8"/>
      <c r="C190" s="13"/>
      <c r="E190" s="14"/>
      <c r="F190" s="14"/>
      <c r="G190" s="68"/>
      <c r="AU190" s="1"/>
    </row>
    <row r="191" spans="1:47" customFormat="1" x14ac:dyDescent="0.25">
      <c r="A191" s="8"/>
      <c r="B191" s="8"/>
      <c r="C191" s="13"/>
      <c r="E191" s="14"/>
      <c r="F191" s="14"/>
      <c r="G191" s="68"/>
      <c r="AU191" s="1"/>
    </row>
    <row r="192" spans="1:47" customFormat="1" x14ac:dyDescent="0.25">
      <c r="A192" s="8"/>
      <c r="B192" s="8"/>
      <c r="C192" s="13"/>
      <c r="E192" s="14"/>
      <c r="F192" s="14"/>
      <c r="G192" s="68"/>
      <c r="AU192" s="1"/>
    </row>
    <row r="193" spans="1:47" customFormat="1" x14ac:dyDescent="0.25">
      <c r="A193" s="8"/>
      <c r="B193" s="8"/>
      <c r="C193" s="13"/>
      <c r="E193" s="14"/>
      <c r="F193" s="14"/>
      <c r="G193" s="68"/>
      <c r="AU193" s="1"/>
    </row>
    <row r="194" spans="1:47" customFormat="1" x14ac:dyDescent="0.25">
      <c r="A194" s="8"/>
      <c r="B194" s="8"/>
      <c r="C194" s="13"/>
      <c r="E194" s="14"/>
      <c r="F194" s="14"/>
      <c r="G194" s="68"/>
      <c r="AU194" s="1"/>
    </row>
    <row r="195" spans="1:47" customFormat="1" x14ac:dyDescent="0.25">
      <c r="A195" s="8"/>
      <c r="B195" s="8"/>
      <c r="C195" s="13"/>
      <c r="E195" s="14"/>
      <c r="F195" s="14"/>
      <c r="G195" s="68"/>
      <c r="AU195" s="1"/>
    </row>
    <row r="196" spans="1:47" customFormat="1" x14ac:dyDescent="0.25">
      <c r="A196" s="8"/>
      <c r="B196" s="8"/>
      <c r="C196" s="13"/>
      <c r="E196" s="14"/>
      <c r="F196" s="14"/>
      <c r="G196" s="68"/>
      <c r="AU196" s="1"/>
    </row>
    <row r="197" spans="1:47" customFormat="1" x14ac:dyDescent="0.25">
      <c r="A197" s="8"/>
      <c r="B197" s="8"/>
      <c r="C197" s="13"/>
      <c r="E197" s="14"/>
      <c r="F197" s="14"/>
      <c r="G197" s="68"/>
      <c r="AU197" s="1"/>
    </row>
    <row r="198" spans="1:47" customFormat="1" x14ac:dyDescent="0.25">
      <c r="A198" s="8"/>
      <c r="B198" s="8"/>
      <c r="C198" s="13"/>
      <c r="E198" s="14"/>
      <c r="F198" s="14"/>
      <c r="G198" s="68"/>
      <c r="AU198" s="1"/>
    </row>
    <row r="199" spans="1:47" customFormat="1" x14ac:dyDescent="0.25">
      <c r="A199" s="8"/>
      <c r="B199" s="8"/>
      <c r="C199" s="13"/>
      <c r="E199" s="14"/>
      <c r="F199" s="14"/>
      <c r="G199" s="68"/>
      <c r="AU199" s="1"/>
    </row>
    <row r="200" spans="1:47" customFormat="1" x14ac:dyDescent="0.25">
      <c r="A200" s="8"/>
      <c r="B200" s="8"/>
      <c r="C200" s="13"/>
      <c r="E200" s="14"/>
      <c r="F200" s="14"/>
      <c r="G200" s="68"/>
      <c r="AU200" s="1"/>
    </row>
    <row r="201" spans="1:47" customFormat="1" x14ac:dyDescent="0.25">
      <c r="A201" s="8"/>
      <c r="B201" s="8"/>
      <c r="C201" s="13"/>
      <c r="E201" s="14"/>
      <c r="F201" s="14"/>
      <c r="G201" s="68"/>
      <c r="AU201" s="1"/>
    </row>
    <row r="202" spans="1:47" customFormat="1" x14ac:dyDescent="0.25">
      <c r="A202" s="8"/>
      <c r="B202" s="8"/>
      <c r="C202" s="13"/>
      <c r="E202" s="14"/>
      <c r="F202" s="14"/>
      <c r="G202" s="68"/>
      <c r="AU202" s="1"/>
    </row>
    <row r="203" spans="1:47" customFormat="1" x14ac:dyDescent="0.25">
      <c r="A203" s="8"/>
      <c r="B203" s="8"/>
      <c r="C203" s="13"/>
      <c r="E203" s="14"/>
      <c r="F203" s="14"/>
      <c r="G203" s="68"/>
      <c r="AU203" s="1"/>
    </row>
    <row r="204" spans="1:47" customFormat="1" x14ac:dyDescent="0.25">
      <c r="A204" s="8"/>
      <c r="B204" s="8"/>
      <c r="C204" s="13"/>
      <c r="E204" s="14"/>
      <c r="F204" s="14"/>
      <c r="G204" s="68"/>
      <c r="AU204" s="1"/>
    </row>
    <row r="205" spans="1:47" customFormat="1" x14ac:dyDescent="0.25">
      <c r="A205" s="8"/>
      <c r="B205" s="8"/>
      <c r="C205" s="13"/>
      <c r="E205" s="14"/>
      <c r="F205" s="14"/>
      <c r="G205" s="68"/>
      <c r="AU205" s="1"/>
    </row>
    <row r="206" spans="1:47" customFormat="1" x14ac:dyDescent="0.25">
      <c r="A206" s="8"/>
      <c r="B206" s="8"/>
      <c r="C206" s="13"/>
      <c r="E206" s="14"/>
      <c r="F206" s="14"/>
      <c r="G206" s="68"/>
      <c r="AU206" s="1"/>
    </row>
    <row r="207" spans="1:47" customFormat="1" x14ac:dyDescent="0.25">
      <c r="A207" s="8"/>
      <c r="B207" s="8"/>
      <c r="C207" s="13"/>
      <c r="E207" s="14"/>
      <c r="F207" s="14"/>
      <c r="G207" s="68"/>
      <c r="AU207" s="1"/>
    </row>
    <row r="208" spans="1:47" customFormat="1" x14ac:dyDescent="0.25">
      <c r="A208" s="8"/>
      <c r="B208" s="8"/>
      <c r="C208" s="13"/>
      <c r="E208" s="14"/>
      <c r="F208" s="14"/>
      <c r="G208" s="68"/>
      <c r="AU208" s="1"/>
    </row>
    <row r="209" spans="1:47" customFormat="1" x14ac:dyDescent="0.25">
      <c r="A209" s="8"/>
      <c r="B209" s="8"/>
      <c r="C209" s="13"/>
      <c r="E209" s="14"/>
      <c r="F209" s="14"/>
      <c r="G209" s="68"/>
      <c r="AU209" s="1"/>
    </row>
    <row r="210" spans="1:47" customFormat="1" x14ac:dyDescent="0.25">
      <c r="A210" s="8"/>
      <c r="B210" s="8"/>
      <c r="C210" s="13"/>
      <c r="E210" s="14"/>
      <c r="F210" s="14"/>
      <c r="G210" s="68"/>
      <c r="AU210" s="1"/>
    </row>
    <row r="211" spans="1:47" customFormat="1" x14ac:dyDescent="0.25">
      <c r="A211" s="8"/>
      <c r="B211" s="8"/>
      <c r="C211" s="13"/>
      <c r="E211" s="14"/>
      <c r="F211" s="14"/>
      <c r="G211" s="68"/>
      <c r="AU211" s="1"/>
    </row>
    <row r="212" spans="1:47" customFormat="1" x14ac:dyDescent="0.25">
      <c r="A212" s="8"/>
      <c r="B212" s="8"/>
      <c r="C212" s="13"/>
      <c r="E212" s="14"/>
      <c r="F212" s="14"/>
      <c r="G212" s="68"/>
      <c r="AU212" s="1"/>
    </row>
    <row r="213" spans="1:47" customFormat="1" x14ac:dyDescent="0.25">
      <c r="A213" s="8"/>
      <c r="B213" s="8"/>
      <c r="C213" s="13"/>
      <c r="E213" s="14"/>
      <c r="F213" s="14"/>
      <c r="G213" s="68"/>
      <c r="AU213" s="1"/>
    </row>
    <row r="214" spans="1:47" customFormat="1" x14ac:dyDescent="0.25">
      <c r="A214" s="8"/>
      <c r="B214" s="8"/>
      <c r="C214" s="13"/>
      <c r="E214" s="14"/>
      <c r="F214" s="14"/>
      <c r="G214" s="68"/>
      <c r="AU214" s="1"/>
    </row>
    <row r="215" spans="1:47" customFormat="1" x14ac:dyDescent="0.25">
      <c r="A215" s="8"/>
      <c r="B215" s="8"/>
      <c r="C215" s="13"/>
      <c r="E215" s="14"/>
      <c r="F215" s="14"/>
      <c r="G215" s="68"/>
      <c r="AU215" s="1"/>
    </row>
    <row r="216" spans="1:47" customFormat="1" x14ac:dyDescent="0.25">
      <c r="A216" s="8"/>
      <c r="B216" s="8"/>
      <c r="C216" s="13"/>
      <c r="E216" s="14"/>
      <c r="F216" s="14"/>
      <c r="G216" s="68"/>
      <c r="AU216" s="1"/>
    </row>
    <row r="217" spans="1:47" customFormat="1" x14ac:dyDescent="0.25">
      <c r="A217" s="8"/>
      <c r="B217" s="8"/>
      <c r="C217" s="13"/>
      <c r="E217" s="14"/>
      <c r="F217" s="14"/>
      <c r="G217" s="68"/>
      <c r="AU217" s="1"/>
    </row>
    <row r="218" spans="1:47" customFormat="1" x14ac:dyDescent="0.25">
      <c r="A218" s="8"/>
      <c r="B218" s="8"/>
      <c r="C218" s="13"/>
      <c r="E218" s="14"/>
      <c r="F218" s="14"/>
      <c r="G218" s="68"/>
      <c r="AU218" s="1"/>
    </row>
    <row r="219" spans="1:47" customFormat="1" x14ac:dyDescent="0.25">
      <c r="A219" s="8"/>
      <c r="B219" s="8"/>
      <c r="C219" s="13"/>
      <c r="E219" s="14"/>
      <c r="F219" s="14"/>
      <c r="G219" s="68"/>
      <c r="AU219" s="1"/>
    </row>
    <row r="220" spans="1:47" customFormat="1" x14ac:dyDescent="0.25">
      <c r="A220" s="8"/>
      <c r="B220" s="8"/>
      <c r="C220" s="13"/>
      <c r="E220" s="14"/>
      <c r="F220" s="14"/>
      <c r="G220" s="68"/>
      <c r="AU220" s="1"/>
    </row>
    <row r="221" spans="1:47" customFormat="1" x14ac:dyDescent="0.25">
      <c r="A221" s="8"/>
      <c r="B221" s="8"/>
      <c r="C221" s="13"/>
      <c r="E221" s="14"/>
      <c r="F221" s="14"/>
      <c r="G221" s="68"/>
      <c r="AU221" s="1"/>
    </row>
    <row r="222" spans="1:47" customFormat="1" x14ac:dyDescent="0.25">
      <c r="A222" s="8"/>
      <c r="B222" s="8"/>
      <c r="C222" s="13"/>
      <c r="E222" s="14"/>
      <c r="F222" s="14"/>
      <c r="G222" s="68"/>
      <c r="AU222" s="1"/>
    </row>
    <row r="223" spans="1:47" customFormat="1" x14ac:dyDescent="0.25">
      <c r="A223" s="8"/>
      <c r="B223" s="8"/>
      <c r="C223" s="13"/>
      <c r="E223" s="14"/>
      <c r="F223" s="14"/>
      <c r="G223" s="68"/>
      <c r="AU223" s="1"/>
    </row>
    <row r="224" spans="1:47" customFormat="1" x14ac:dyDescent="0.25">
      <c r="A224" s="8"/>
      <c r="B224" s="8"/>
      <c r="C224" s="13"/>
      <c r="E224" s="14"/>
      <c r="F224" s="14"/>
      <c r="G224" s="68"/>
      <c r="AU224" s="1"/>
    </row>
    <row r="225" spans="1:47" customFormat="1" x14ac:dyDescent="0.25">
      <c r="A225" s="8"/>
      <c r="B225" s="8"/>
      <c r="C225" s="13"/>
      <c r="E225" s="14"/>
      <c r="F225" s="14"/>
      <c r="G225" s="68"/>
      <c r="AU225" s="1"/>
    </row>
    <row r="226" spans="1:47" customFormat="1" x14ac:dyDescent="0.25">
      <c r="A226" s="8"/>
      <c r="B226" s="8"/>
      <c r="C226" s="13"/>
      <c r="E226" s="14"/>
      <c r="F226" s="14"/>
      <c r="G226" s="68"/>
      <c r="AU226" s="1"/>
    </row>
    <row r="227" spans="1:47" customFormat="1" x14ac:dyDescent="0.25">
      <c r="A227" s="8"/>
      <c r="B227" s="8"/>
      <c r="C227" s="13"/>
      <c r="E227" s="14"/>
      <c r="F227" s="14"/>
      <c r="G227" s="68"/>
      <c r="AU227" s="1"/>
    </row>
    <row r="228" spans="1:47" customFormat="1" x14ac:dyDescent="0.25">
      <c r="A228" s="8"/>
      <c r="B228" s="8"/>
      <c r="C228" s="13"/>
      <c r="E228" s="14"/>
      <c r="F228" s="14"/>
      <c r="G228" s="68"/>
      <c r="AU228" s="1"/>
    </row>
    <row r="229" spans="1:47" customFormat="1" x14ac:dyDescent="0.25">
      <c r="A229" s="8"/>
      <c r="B229" s="8"/>
      <c r="C229" s="13"/>
      <c r="E229" s="14"/>
      <c r="F229" s="14"/>
      <c r="G229" s="68"/>
      <c r="AU229" s="1"/>
    </row>
    <row r="230" spans="1:47" customFormat="1" x14ac:dyDescent="0.25">
      <c r="A230" s="8"/>
      <c r="B230" s="8"/>
      <c r="C230" s="13"/>
      <c r="E230" s="14"/>
      <c r="F230" s="14"/>
      <c r="G230" s="68"/>
      <c r="AU230" s="1"/>
    </row>
    <row r="231" spans="1:47" customFormat="1" x14ac:dyDescent="0.25">
      <c r="A231" s="8"/>
      <c r="B231" s="8"/>
      <c r="C231" s="13"/>
      <c r="E231" s="14"/>
      <c r="F231" s="14"/>
      <c r="G231" s="68"/>
      <c r="AU231" s="1"/>
    </row>
    <row r="232" spans="1:47" customFormat="1" x14ac:dyDescent="0.25">
      <c r="A232" s="8"/>
      <c r="B232" s="8"/>
      <c r="C232" s="13"/>
      <c r="E232" s="14"/>
      <c r="F232" s="14"/>
      <c r="G232" s="68"/>
      <c r="AU232" s="1"/>
    </row>
    <row r="233" spans="1:47" customFormat="1" x14ac:dyDescent="0.25">
      <c r="A233" s="8"/>
      <c r="B233" s="8"/>
      <c r="C233" s="13"/>
      <c r="E233" s="14"/>
      <c r="F233" s="14"/>
      <c r="G233" s="68"/>
      <c r="AU233" s="1"/>
    </row>
    <row r="234" spans="1:47" customFormat="1" x14ac:dyDescent="0.25">
      <c r="A234" s="8"/>
      <c r="B234" s="8"/>
      <c r="C234" s="13"/>
      <c r="E234" s="14"/>
      <c r="F234" s="14"/>
      <c r="G234" s="68"/>
      <c r="AU234" s="1"/>
    </row>
    <row r="235" spans="1:47" customFormat="1" x14ac:dyDescent="0.25">
      <c r="A235" s="8"/>
      <c r="B235" s="8"/>
      <c r="C235" s="13"/>
      <c r="E235" s="14"/>
      <c r="F235" s="14"/>
      <c r="G235" s="68"/>
      <c r="AU235" s="1"/>
    </row>
    <row r="236" spans="1:47" customFormat="1" x14ac:dyDescent="0.25">
      <c r="A236" s="8"/>
      <c r="B236" s="8"/>
      <c r="C236" s="13"/>
      <c r="E236" s="14"/>
      <c r="F236" s="14"/>
      <c r="G236" s="68"/>
      <c r="AU236" s="1"/>
    </row>
    <row r="237" spans="1:47" customFormat="1" x14ac:dyDescent="0.25">
      <c r="A237" s="8"/>
      <c r="B237" s="8"/>
      <c r="C237" s="13"/>
      <c r="E237" s="14"/>
      <c r="F237" s="14"/>
      <c r="G237" s="68"/>
      <c r="AU237" s="1"/>
    </row>
    <row r="238" spans="1:47" customFormat="1" x14ac:dyDescent="0.25">
      <c r="A238" s="8"/>
      <c r="B238" s="8"/>
      <c r="C238" s="13"/>
      <c r="E238" s="14"/>
      <c r="F238" s="14"/>
      <c r="G238" s="68"/>
      <c r="AU238" s="1"/>
    </row>
    <row r="239" spans="1:47" customFormat="1" x14ac:dyDescent="0.25">
      <c r="A239" s="8"/>
      <c r="B239" s="8"/>
      <c r="C239" s="13"/>
      <c r="E239" s="14"/>
      <c r="F239" s="14"/>
      <c r="G239" s="68"/>
      <c r="AU239" s="1"/>
    </row>
    <row r="240" spans="1:47" customFormat="1" x14ac:dyDescent="0.25">
      <c r="A240" s="8"/>
      <c r="B240" s="8"/>
      <c r="C240" s="13"/>
      <c r="E240" s="14"/>
      <c r="F240" s="14"/>
      <c r="G240" s="68"/>
      <c r="AU240" s="1"/>
    </row>
    <row r="241" spans="1:47" customFormat="1" x14ac:dyDescent="0.25">
      <c r="A241" s="8"/>
      <c r="B241" s="8"/>
      <c r="C241" s="13"/>
      <c r="E241" s="14"/>
      <c r="F241" s="14"/>
      <c r="G241" s="68"/>
      <c r="AU241" s="1"/>
    </row>
    <row r="242" spans="1:47" customFormat="1" x14ac:dyDescent="0.25">
      <c r="A242" s="8"/>
      <c r="B242" s="8"/>
      <c r="C242" s="13"/>
      <c r="E242" s="14"/>
      <c r="F242" s="14"/>
      <c r="G242" s="68"/>
      <c r="AU242" s="1"/>
    </row>
    <row r="243" spans="1:47" customFormat="1" x14ac:dyDescent="0.25">
      <c r="A243" s="8"/>
      <c r="B243" s="8"/>
      <c r="C243" s="13"/>
      <c r="E243" s="14"/>
      <c r="F243" s="14"/>
      <c r="G243" s="68"/>
      <c r="AU243" s="1"/>
    </row>
    <row r="244" spans="1:47" customFormat="1" x14ac:dyDescent="0.25">
      <c r="A244" s="8"/>
      <c r="B244" s="8"/>
      <c r="C244" s="13"/>
      <c r="E244" s="14"/>
      <c r="F244" s="14"/>
      <c r="G244" s="68"/>
      <c r="AU244" s="1"/>
    </row>
    <row r="245" spans="1:47" customFormat="1" x14ac:dyDescent="0.25">
      <c r="A245" s="8"/>
      <c r="B245" s="8"/>
      <c r="C245" s="13"/>
      <c r="E245" s="14"/>
      <c r="F245" s="14"/>
      <c r="G245" s="68"/>
      <c r="AU245" s="1"/>
    </row>
    <row r="246" spans="1:47" customFormat="1" x14ac:dyDescent="0.25">
      <c r="A246" s="8"/>
      <c r="B246" s="8"/>
      <c r="C246" s="13"/>
      <c r="E246" s="14"/>
      <c r="F246" s="14"/>
      <c r="G246" s="68"/>
      <c r="AU246" s="1"/>
    </row>
    <row r="247" spans="1:47" customFormat="1" x14ac:dyDescent="0.25">
      <c r="A247" s="8"/>
      <c r="B247" s="8"/>
      <c r="C247" s="13"/>
      <c r="E247" s="14"/>
      <c r="F247" s="14"/>
      <c r="G247" s="68"/>
      <c r="AU247" s="1"/>
    </row>
    <row r="248" spans="1:47" customFormat="1" x14ac:dyDescent="0.25">
      <c r="A248" s="8"/>
      <c r="B248" s="8"/>
      <c r="C248" s="13"/>
      <c r="E248" s="14"/>
      <c r="F248" s="14"/>
      <c r="G248" s="68"/>
      <c r="AU248" s="1"/>
    </row>
    <row r="249" spans="1:47" customFormat="1" x14ac:dyDescent="0.25">
      <c r="A249" s="8"/>
      <c r="B249" s="8"/>
      <c r="C249" s="13"/>
      <c r="E249" s="14"/>
      <c r="F249" s="14"/>
      <c r="G249" s="68"/>
      <c r="AU249" s="1"/>
    </row>
    <row r="250" spans="1:47" customFormat="1" x14ac:dyDescent="0.25">
      <c r="A250" s="8"/>
      <c r="B250" s="8"/>
      <c r="C250" s="13"/>
      <c r="E250" s="14"/>
      <c r="F250" s="14"/>
      <c r="G250" s="68"/>
      <c r="AU250" s="1"/>
    </row>
    <row r="251" spans="1:47" customFormat="1" x14ac:dyDescent="0.25">
      <c r="A251" s="8"/>
      <c r="B251" s="8"/>
      <c r="C251" s="13"/>
      <c r="E251" s="14"/>
      <c r="F251" s="14"/>
      <c r="G251" s="68"/>
      <c r="AU251" s="1"/>
    </row>
    <row r="252" spans="1:47" customFormat="1" x14ac:dyDescent="0.25">
      <c r="A252" s="8"/>
      <c r="B252" s="8"/>
      <c r="C252" s="13"/>
      <c r="E252" s="14"/>
      <c r="F252" s="14"/>
      <c r="G252" s="68"/>
      <c r="AU252" s="1"/>
    </row>
    <row r="253" spans="1:47" customFormat="1" x14ac:dyDescent="0.25">
      <c r="A253" s="8"/>
      <c r="B253" s="8"/>
      <c r="C253" s="13"/>
      <c r="E253" s="14"/>
      <c r="F253" s="14"/>
      <c r="G253" s="68"/>
      <c r="AU253" s="1"/>
    </row>
    <row r="254" spans="1:47" customFormat="1" x14ac:dyDescent="0.25">
      <c r="A254" s="8"/>
      <c r="B254" s="8"/>
      <c r="C254" s="13"/>
      <c r="E254" s="14"/>
      <c r="F254" s="14"/>
      <c r="G254" s="68"/>
      <c r="AU254" s="1"/>
    </row>
    <row r="255" spans="1:47" customFormat="1" x14ac:dyDescent="0.25">
      <c r="A255" s="8"/>
      <c r="B255" s="8"/>
      <c r="C255" s="13"/>
      <c r="E255" s="14"/>
      <c r="F255" s="14"/>
      <c r="G255" s="68"/>
      <c r="AU255" s="1"/>
    </row>
    <row r="256" spans="1:47" customFormat="1" x14ac:dyDescent="0.25">
      <c r="A256" s="8"/>
      <c r="B256" s="8"/>
      <c r="C256" s="13"/>
      <c r="E256" s="14"/>
      <c r="F256" s="14"/>
      <c r="G256" s="68"/>
      <c r="AU256" s="1"/>
    </row>
    <row r="257" spans="1:47" customFormat="1" x14ac:dyDescent="0.25">
      <c r="A257" s="8"/>
      <c r="B257" s="8"/>
      <c r="C257" s="13"/>
      <c r="E257" s="14"/>
      <c r="F257" s="14"/>
      <c r="G257" s="68"/>
      <c r="AU257" s="1"/>
    </row>
    <row r="258" spans="1:47" customFormat="1" x14ac:dyDescent="0.25">
      <c r="A258" s="8"/>
      <c r="B258" s="8"/>
      <c r="C258" s="13"/>
      <c r="E258" s="14"/>
      <c r="F258" s="14"/>
      <c r="G258" s="68"/>
      <c r="AU258" s="1"/>
    </row>
    <row r="259" spans="1:47" customFormat="1" x14ac:dyDescent="0.25">
      <c r="A259" s="8"/>
      <c r="B259" s="8"/>
      <c r="C259" s="13"/>
      <c r="E259" s="14"/>
      <c r="F259" s="14"/>
      <c r="G259" s="68"/>
      <c r="AU259" s="1"/>
    </row>
    <row r="260" spans="1:47" customFormat="1" x14ac:dyDescent="0.25">
      <c r="A260" s="8"/>
      <c r="B260" s="8"/>
      <c r="C260" s="13"/>
      <c r="E260" s="14"/>
      <c r="F260" s="14"/>
      <c r="G260" s="68"/>
      <c r="AU260" s="1"/>
    </row>
    <row r="261" spans="1:47" customFormat="1" x14ac:dyDescent="0.25">
      <c r="A261" s="8"/>
      <c r="B261" s="8"/>
      <c r="C261" s="13"/>
      <c r="E261" s="14"/>
      <c r="F261" s="14"/>
      <c r="G261" s="68"/>
      <c r="AU261" s="1"/>
    </row>
    <row r="262" spans="1:47" customFormat="1" x14ac:dyDescent="0.25">
      <c r="A262" s="8"/>
      <c r="B262" s="8"/>
      <c r="C262" s="13"/>
      <c r="E262" s="14"/>
      <c r="F262" s="14"/>
      <c r="G262" s="68"/>
      <c r="AU262" s="1"/>
    </row>
    <row r="263" spans="1:47" customFormat="1" x14ac:dyDescent="0.25">
      <c r="A263" s="8"/>
      <c r="B263" s="8"/>
      <c r="C263" s="13"/>
      <c r="E263" s="14"/>
      <c r="F263" s="14"/>
      <c r="G263" s="68"/>
      <c r="AU263" s="1"/>
    </row>
    <row r="264" spans="1:47" customFormat="1" x14ac:dyDescent="0.25">
      <c r="A264" s="8"/>
      <c r="B264" s="8"/>
      <c r="C264" s="13"/>
      <c r="E264" s="14"/>
      <c r="F264" s="14"/>
      <c r="G264" s="68"/>
      <c r="AU264" s="1"/>
    </row>
    <row r="265" spans="1:47" customFormat="1" x14ac:dyDescent="0.25">
      <c r="A265" s="8"/>
      <c r="B265" s="8"/>
      <c r="C265" s="13"/>
      <c r="E265" s="14"/>
      <c r="F265" s="14"/>
      <c r="G265" s="68"/>
      <c r="AU265" s="1"/>
    </row>
    <row r="266" spans="1:47" customFormat="1" x14ac:dyDescent="0.25">
      <c r="A266" s="8"/>
      <c r="B266" s="8"/>
      <c r="C266" s="13"/>
      <c r="E266" s="14"/>
      <c r="F266" s="14"/>
      <c r="G266" s="68"/>
      <c r="AU266" s="1"/>
    </row>
    <row r="267" spans="1:47" customFormat="1" x14ac:dyDescent="0.25">
      <c r="A267" s="8"/>
      <c r="B267" s="8"/>
      <c r="C267" s="13"/>
      <c r="E267" s="14"/>
      <c r="F267" s="14"/>
      <c r="G267" s="68"/>
      <c r="AU267" s="1"/>
    </row>
    <row r="268" spans="1:47" customFormat="1" x14ac:dyDescent="0.25">
      <c r="A268" s="8"/>
      <c r="B268" s="8"/>
      <c r="C268" s="13"/>
      <c r="E268" s="14"/>
      <c r="F268" s="14"/>
      <c r="G268" s="68"/>
      <c r="AU268" s="1"/>
    </row>
    <row r="269" spans="1:47" customFormat="1" x14ac:dyDescent="0.25">
      <c r="A269" s="8"/>
      <c r="B269" s="8"/>
      <c r="C269" s="13"/>
      <c r="E269" s="14"/>
      <c r="F269" s="14"/>
      <c r="G269" s="68"/>
      <c r="AU269" s="1"/>
    </row>
    <row r="270" spans="1:47" customFormat="1" x14ac:dyDescent="0.25">
      <c r="A270" s="8"/>
      <c r="B270" s="8"/>
      <c r="C270" s="13"/>
      <c r="E270" s="14"/>
      <c r="F270" s="14"/>
      <c r="G270" s="68"/>
      <c r="AU270" s="1"/>
    </row>
    <row r="271" spans="1:47" customFormat="1" x14ac:dyDescent="0.25">
      <c r="A271" s="8"/>
      <c r="B271" s="8"/>
      <c r="C271" s="13"/>
      <c r="E271" s="14"/>
      <c r="F271" s="14"/>
      <c r="G271" s="68"/>
      <c r="AU271" s="1"/>
    </row>
    <row r="272" spans="1:47" customFormat="1" x14ac:dyDescent="0.25">
      <c r="A272" s="8"/>
      <c r="B272" s="8"/>
      <c r="C272" s="13"/>
      <c r="E272" s="14"/>
      <c r="F272" s="14"/>
      <c r="G272" s="68"/>
      <c r="AU272" s="1"/>
    </row>
    <row r="273" spans="1:47" customFormat="1" x14ac:dyDescent="0.25">
      <c r="A273" s="8"/>
      <c r="B273" s="8"/>
      <c r="C273" s="13"/>
      <c r="E273" s="14"/>
      <c r="F273" s="14"/>
      <c r="G273" s="68"/>
      <c r="AU273" s="1"/>
    </row>
    <row r="274" spans="1:47" customFormat="1" x14ac:dyDescent="0.25">
      <c r="A274" s="8"/>
      <c r="B274" s="8"/>
      <c r="C274" s="13"/>
      <c r="E274" s="14"/>
      <c r="F274" s="14"/>
      <c r="G274" s="68"/>
      <c r="AU274" s="1"/>
    </row>
    <row r="275" spans="1:47" customFormat="1" x14ac:dyDescent="0.25">
      <c r="A275" s="8"/>
      <c r="B275" s="8"/>
      <c r="C275" s="13"/>
      <c r="E275" s="14"/>
      <c r="F275" s="14"/>
      <c r="G275" s="68"/>
      <c r="AU275" s="1"/>
    </row>
    <row r="276" spans="1:47" customFormat="1" x14ac:dyDescent="0.25">
      <c r="A276" s="8"/>
      <c r="B276" s="8"/>
      <c r="C276" s="13"/>
      <c r="E276" s="14"/>
      <c r="F276" s="14"/>
      <c r="G276" s="68"/>
      <c r="AU276" s="1"/>
    </row>
    <row r="277" spans="1:47" customFormat="1" x14ac:dyDescent="0.25">
      <c r="A277" s="8"/>
      <c r="B277" s="8"/>
      <c r="C277" s="13"/>
      <c r="E277" s="14"/>
      <c r="F277" s="14"/>
      <c r="G277" s="68"/>
      <c r="AU277" s="1"/>
    </row>
    <row r="278" spans="1:47" customFormat="1" x14ac:dyDescent="0.25">
      <c r="A278" s="8"/>
      <c r="B278" s="8"/>
      <c r="C278" s="13"/>
      <c r="E278" s="14"/>
      <c r="F278" s="14"/>
      <c r="G278" s="68"/>
      <c r="AU278" s="1"/>
    </row>
    <row r="279" spans="1:47" customFormat="1" x14ac:dyDescent="0.25">
      <c r="A279" s="8"/>
      <c r="B279" s="8"/>
      <c r="C279" s="13"/>
      <c r="E279" s="14"/>
      <c r="F279" s="14"/>
      <c r="G279" s="68"/>
      <c r="AU279" s="1"/>
    </row>
    <row r="280" spans="1:47" customFormat="1" x14ac:dyDescent="0.25">
      <c r="A280" s="8"/>
      <c r="B280" s="8"/>
      <c r="C280" s="13"/>
      <c r="E280" s="14"/>
      <c r="F280" s="14"/>
      <c r="G280" s="68"/>
      <c r="AU280" s="1"/>
    </row>
    <row r="281" spans="1:47" customFormat="1" x14ac:dyDescent="0.25">
      <c r="A281" s="8"/>
      <c r="B281" s="8"/>
      <c r="C281" s="13"/>
      <c r="E281" s="14"/>
      <c r="F281" s="14"/>
      <c r="G281" s="68"/>
      <c r="AU281" s="1"/>
    </row>
    <row r="282" spans="1:47" customFormat="1" x14ac:dyDescent="0.25">
      <c r="A282" s="8"/>
      <c r="B282" s="8"/>
      <c r="C282" s="13"/>
      <c r="E282" s="14"/>
      <c r="F282" s="14"/>
      <c r="G282" s="68"/>
      <c r="AU282" s="1"/>
    </row>
    <row r="283" spans="1:47" customFormat="1" x14ac:dyDescent="0.25">
      <c r="A283" s="8"/>
      <c r="B283" s="8"/>
      <c r="C283" s="13"/>
      <c r="E283" s="14"/>
      <c r="F283" s="14"/>
      <c r="G283" s="68"/>
      <c r="AU283" s="1"/>
    </row>
    <row r="284" spans="1:47" customFormat="1" x14ac:dyDescent="0.25">
      <c r="A284" s="8"/>
      <c r="B284" s="8"/>
      <c r="C284" s="13"/>
      <c r="E284" s="14"/>
      <c r="F284" s="14"/>
      <c r="G284" s="68"/>
      <c r="AU284" s="1"/>
    </row>
    <row r="285" spans="1:47" customFormat="1" x14ac:dyDescent="0.25">
      <c r="A285" s="8"/>
      <c r="B285" s="8"/>
      <c r="C285" s="13"/>
      <c r="E285" s="14"/>
      <c r="F285" s="14"/>
      <c r="G285" s="68"/>
      <c r="AU285" s="1"/>
    </row>
    <row r="286" spans="1:47" customFormat="1" x14ac:dyDescent="0.25">
      <c r="A286" s="8"/>
      <c r="B286" s="8"/>
      <c r="C286" s="13"/>
      <c r="E286" s="14"/>
      <c r="F286" s="14"/>
      <c r="G286" s="68"/>
      <c r="AU286" s="1"/>
    </row>
    <row r="287" spans="1:47" customFormat="1" x14ac:dyDescent="0.25">
      <c r="A287" s="8"/>
      <c r="B287" s="8"/>
      <c r="C287" s="13"/>
      <c r="E287" s="14"/>
      <c r="F287" s="14"/>
      <c r="G287" s="68"/>
      <c r="AU287" s="1"/>
    </row>
    <row r="288" spans="1:47" customFormat="1" x14ac:dyDescent="0.25">
      <c r="A288" s="8"/>
      <c r="B288" s="8"/>
      <c r="C288" s="13"/>
      <c r="E288" s="14"/>
      <c r="F288" s="14"/>
      <c r="G288" s="68"/>
      <c r="AU288" s="1"/>
    </row>
    <row r="289" spans="1:47" customFormat="1" x14ac:dyDescent="0.25">
      <c r="A289" s="8"/>
      <c r="B289" s="8"/>
      <c r="C289" s="13"/>
      <c r="E289" s="14"/>
      <c r="F289" s="14"/>
      <c r="G289" s="68"/>
      <c r="AU289" s="1"/>
    </row>
    <row r="290" spans="1:47" customFormat="1" x14ac:dyDescent="0.25">
      <c r="A290" s="8"/>
      <c r="B290" s="8"/>
      <c r="C290" s="13"/>
      <c r="E290" s="14"/>
      <c r="F290" s="14"/>
      <c r="G290" s="68"/>
      <c r="AU290" s="1"/>
    </row>
    <row r="291" spans="1:47" customFormat="1" x14ac:dyDescent="0.25">
      <c r="A291" s="8"/>
      <c r="B291" s="8"/>
      <c r="C291" s="13"/>
      <c r="E291" s="14"/>
      <c r="F291" s="14"/>
      <c r="G291" s="68"/>
      <c r="AU291" s="1"/>
    </row>
    <row r="292" spans="1:47" customFormat="1" x14ac:dyDescent="0.25">
      <c r="A292" s="8"/>
      <c r="B292" s="8"/>
      <c r="C292" s="13"/>
      <c r="E292" s="14"/>
      <c r="F292" s="14"/>
      <c r="G292" s="68"/>
      <c r="AU292" s="1"/>
    </row>
    <row r="293" spans="1:47" customFormat="1" x14ac:dyDescent="0.25">
      <c r="A293" s="8"/>
      <c r="B293" s="8"/>
      <c r="C293" s="13"/>
      <c r="E293" s="14"/>
      <c r="F293" s="14"/>
      <c r="G293" s="68"/>
      <c r="AU293" s="1"/>
    </row>
    <row r="294" spans="1:47" customFormat="1" x14ac:dyDescent="0.25">
      <c r="A294" s="8"/>
      <c r="B294" s="8"/>
      <c r="C294" s="13"/>
      <c r="E294" s="14"/>
      <c r="F294" s="14"/>
      <c r="G294" s="68"/>
      <c r="AU294" s="1"/>
    </row>
    <row r="295" spans="1:47" customFormat="1" x14ac:dyDescent="0.25">
      <c r="A295" s="8"/>
      <c r="B295" s="8"/>
      <c r="C295" s="13"/>
      <c r="E295" s="14"/>
      <c r="F295" s="14"/>
      <c r="G295" s="68"/>
      <c r="AU295" s="1"/>
    </row>
    <row r="296" spans="1:47" customFormat="1" x14ac:dyDescent="0.25">
      <c r="A296" s="8"/>
      <c r="B296" s="8"/>
      <c r="C296" s="13"/>
      <c r="E296" s="14"/>
      <c r="F296" s="14"/>
      <c r="G296" s="68"/>
      <c r="AU296" s="1"/>
    </row>
    <row r="297" spans="1:47" customFormat="1" x14ac:dyDescent="0.25">
      <c r="A297" s="8"/>
      <c r="B297" s="8"/>
      <c r="C297" s="13"/>
      <c r="E297" s="14"/>
      <c r="F297" s="14"/>
      <c r="G297" s="68"/>
      <c r="AU297" s="1"/>
    </row>
    <row r="298" spans="1:47" customFormat="1" x14ac:dyDescent="0.25">
      <c r="A298" s="8"/>
      <c r="B298" s="8"/>
      <c r="C298" s="13"/>
      <c r="E298" s="14"/>
      <c r="F298" s="14"/>
      <c r="G298" s="68"/>
      <c r="AU298" s="1"/>
    </row>
    <row r="299" spans="1:47" customFormat="1" x14ac:dyDescent="0.25">
      <c r="A299" s="8"/>
      <c r="B299" s="8"/>
      <c r="C299" s="13"/>
      <c r="E299" s="14"/>
      <c r="F299" s="14"/>
      <c r="G299" s="68"/>
      <c r="AU299" s="1"/>
    </row>
    <row r="300" spans="1:47" customFormat="1" x14ac:dyDescent="0.25">
      <c r="A300" s="8"/>
      <c r="B300" s="8"/>
      <c r="C300" s="13"/>
      <c r="E300" s="14"/>
      <c r="F300" s="14"/>
      <c r="G300" s="68"/>
      <c r="AU300" s="1"/>
    </row>
    <row r="301" spans="1:47" customFormat="1" x14ac:dyDescent="0.25">
      <c r="A301" s="8"/>
      <c r="B301" s="8"/>
      <c r="C301" s="13"/>
      <c r="E301" s="14"/>
      <c r="F301" s="14"/>
      <c r="G301" s="68"/>
      <c r="AU301" s="1"/>
    </row>
    <row r="302" spans="1:47" customFormat="1" x14ac:dyDescent="0.25">
      <c r="A302" s="8"/>
      <c r="B302" s="8"/>
      <c r="C302" s="13"/>
      <c r="E302" s="14"/>
      <c r="F302" s="14"/>
      <c r="G302" s="68"/>
      <c r="AU302" s="1"/>
    </row>
    <row r="303" spans="1:47" customFormat="1" x14ac:dyDescent="0.25">
      <c r="A303" s="8"/>
      <c r="B303" s="8"/>
      <c r="C303" s="13"/>
      <c r="E303" s="14"/>
      <c r="F303" s="14"/>
      <c r="G303" s="68"/>
      <c r="AU303" s="1"/>
    </row>
    <row r="304" spans="1:47" customFormat="1" x14ac:dyDescent="0.25">
      <c r="A304" s="8"/>
      <c r="B304" s="8"/>
      <c r="C304" s="13"/>
      <c r="E304" s="14"/>
      <c r="F304" s="14"/>
      <c r="G304" s="68"/>
      <c r="AU304" s="1"/>
    </row>
    <row r="305" spans="1:47" customFormat="1" x14ac:dyDescent="0.25">
      <c r="A305" s="8"/>
      <c r="B305" s="8"/>
      <c r="C305" s="13"/>
      <c r="E305" s="14"/>
      <c r="F305" s="14"/>
      <c r="G305" s="68"/>
      <c r="AU305" s="1"/>
    </row>
    <row r="306" spans="1:47" customFormat="1" x14ac:dyDescent="0.25">
      <c r="A306" s="8"/>
      <c r="B306" s="8"/>
      <c r="C306" s="13"/>
      <c r="E306" s="14"/>
      <c r="F306" s="14"/>
      <c r="G306" s="68"/>
      <c r="AU306" s="1"/>
    </row>
    <row r="307" spans="1:47" customFormat="1" x14ac:dyDescent="0.25">
      <c r="A307" s="8"/>
      <c r="B307" s="8"/>
      <c r="C307" s="13"/>
      <c r="E307" s="14"/>
      <c r="F307" s="14"/>
      <c r="G307" s="68"/>
      <c r="AU307" s="1"/>
    </row>
    <row r="308" spans="1:47" customFormat="1" x14ac:dyDescent="0.25">
      <c r="A308" s="8"/>
      <c r="B308" s="8"/>
      <c r="C308" s="13"/>
      <c r="E308" s="14"/>
      <c r="F308" s="14"/>
      <c r="G308" s="68"/>
      <c r="AU308" s="1"/>
    </row>
    <row r="309" spans="1:47" customFormat="1" x14ac:dyDescent="0.25">
      <c r="A309" s="8"/>
      <c r="B309" s="8"/>
      <c r="C309" s="13"/>
      <c r="E309" s="14"/>
      <c r="F309" s="14"/>
      <c r="G309" s="68"/>
      <c r="AU309" s="1"/>
    </row>
    <row r="310" spans="1:47" customFormat="1" x14ac:dyDescent="0.25">
      <c r="A310" s="8"/>
      <c r="B310" s="8"/>
      <c r="C310" s="13"/>
      <c r="E310" s="14"/>
      <c r="F310" s="14"/>
      <c r="G310" s="68"/>
      <c r="AU310" s="1"/>
    </row>
    <row r="311" spans="1:47" customFormat="1" x14ac:dyDescent="0.25">
      <c r="A311" s="8"/>
      <c r="B311" s="8"/>
      <c r="C311" s="13"/>
      <c r="E311" s="14"/>
      <c r="F311" s="14"/>
      <c r="G311" s="68"/>
      <c r="AU311" s="1"/>
    </row>
    <row r="312" spans="1:47" customFormat="1" x14ac:dyDescent="0.25">
      <c r="A312" s="8"/>
      <c r="B312" s="8"/>
      <c r="C312" s="13"/>
      <c r="E312" s="14"/>
      <c r="F312" s="14"/>
      <c r="G312" s="68"/>
      <c r="AU312" s="1"/>
    </row>
    <row r="313" spans="1:47" customFormat="1" x14ac:dyDescent="0.25">
      <c r="A313" s="8"/>
      <c r="B313" s="8"/>
      <c r="C313" s="13"/>
      <c r="E313" s="14"/>
      <c r="F313" s="14"/>
      <c r="G313" s="68"/>
      <c r="AU313" s="1"/>
    </row>
    <row r="314" spans="1:47" customFormat="1" x14ac:dyDescent="0.25">
      <c r="A314" s="8"/>
      <c r="B314" s="8"/>
      <c r="C314" s="13"/>
      <c r="E314" s="14"/>
      <c r="F314" s="14"/>
      <c r="G314" s="68"/>
      <c r="AU314" s="1"/>
    </row>
    <row r="315" spans="1:47" customFormat="1" x14ac:dyDescent="0.25">
      <c r="A315" s="8"/>
      <c r="B315" s="8"/>
      <c r="C315" s="13"/>
      <c r="E315" s="14"/>
      <c r="F315" s="14"/>
      <c r="G315" s="68"/>
      <c r="AU315" s="1"/>
    </row>
    <row r="316" spans="1:47" customFormat="1" x14ac:dyDescent="0.25">
      <c r="A316" s="8"/>
      <c r="B316" s="8"/>
      <c r="C316" s="13"/>
      <c r="E316" s="14"/>
      <c r="F316" s="14"/>
      <c r="G316" s="68"/>
      <c r="AU316" s="1"/>
    </row>
    <row r="317" spans="1:47" customFormat="1" x14ac:dyDescent="0.25">
      <c r="A317" s="8"/>
      <c r="B317" s="8"/>
      <c r="C317" s="13"/>
      <c r="E317" s="14"/>
      <c r="F317" s="14"/>
      <c r="G317" s="68"/>
      <c r="AU317" s="1"/>
    </row>
    <row r="318" spans="1:47" customFormat="1" x14ac:dyDescent="0.25">
      <c r="A318" s="8"/>
      <c r="B318" s="8"/>
      <c r="C318" s="13"/>
      <c r="E318" s="14"/>
      <c r="F318" s="14"/>
      <c r="G318" s="68"/>
      <c r="AU318" s="1"/>
    </row>
    <row r="319" spans="1:47" customFormat="1" x14ac:dyDescent="0.25">
      <c r="A319" s="8"/>
      <c r="B319" s="8"/>
      <c r="C319" s="13"/>
      <c r="E319" s="14"/>
      <c r="F319" s="14"/>
      <c r="G319" s="68"/>
      <c r="AU319" s="1"/>
    </row>
    <row r="320" spans="1:47" customFormat="1" x14ac:dyDescent="0.25">
      <c r="A320" s="8"/>
      <c r="B320" s="8"/>
      <c r="C320" s="13"/>
      <c r="E320" s="14"/>
      <c r="F320" s="14"/>
      <c r="G320" s="68"/>
      <c r="AU320" s="1"/>
    </row>
    <row r="321" spans="1:47" customFormat="1" x14ac:dyDescent="0.25">
      <c r="A321" s="8"/>
      <c r="B321" s="8"/>
      <c r="C321" s="13"/>
      <c r="E321" s="14"/>
      <c r="F321" s="14"/>
      <c r="G321" s="68"/>
      <c r="AU321" s="1"/>
    </row>
    <row r="322" spans="1:47" customFormat="1" x14ac:dyDescent="0.25">
      <c r="A322" s="8"/>
      <c r="B322" s="8"/>
      <c r="C322" s="13"/>
      <c r="E322" s="14"/>
      <c r="F322" s="14"/>
      <c r="G322" s="68"/>
      <c r="AU322" s="1"/>
    </row>
    <row r="323" spans="1:47" customFormat="1" x14ac:dyDescent="0.25">
      <c r="A323" s="8"/>
      <c r="B323" s="8"/>
      <c r="C323" s="13"/>
      <c r="E323" s="14"/>
      <c r="F323" s="14"/>
      <c r="G323" s="68"/>
      <c r="AU323" s="1"/>
    </row>
    <row r="324" spans="1:47" customFormat="1" x14ac:dyDescent="0.25">
      <c r="A324" s="8"/>
      <c r="B324" s="8"/>
      <c r="C324" s="13"/>
      <c r="E324" s="14"/>
      <c r="F324" s="14"/>
      <c r="G324" s="68"/>
      <c r="AU324" s="1"/>
    </row>
    <row r="325" spans="1:47" customFormat="1" x14ac:dyDescent="0.25">
      <c r="A325" s="8"/>
      <c r="B325" s="8"/>
      <c r="C325" s="13"/>
      <c r="E325" s="14"/>
      <c r="F325" s="14"/>
      <c r="G325" s="68"/>
      <c r="AU325" s="1"/>
    </row>
    <row r="326" spans="1:47" customFormat="1" x14ac:dyDescent="0.25">
      <c r="A326" s="8"/>
      <c r="B326" s="8"/>
      <c r="C326" s="13"/>
      <c r="E326" s="14"/>
      <c r="F326" s="14"/>
      <c r="G326" s="68"/>
      <c r="AU326" s="1"/>
    </row>
    <row r="327" spans="1:47" customFormat="1" x14ac:dyDescent="0.25">
      <c r="A327" s="8"/>
      <c r="B327" s="8"/>
      <c r="C327" s="13"/>
      <c r="E327" s="14"/>
      <c r="F327" s="14"/>
      <c r="G327" s="68"/>
      <c r="AU327" s="1"/>
    </row>
    <row r="328" spans="1:47" customFormat="1" x14ac:dyDescent="0.25">
      <c r="A328" s="8"/>
      <c r="B328" s="8"/>
      <c r="C328" s="13"/>
      <c r="E328" s="14"/>
      <c r="F328" s="14"/>
      <c r="G328" s="68"/>
      <c r="AU328" s="1"/>
    </row>
    <row r="329" spans="1:47" customFormat="1" x14ac:dyDescent="0.25">
      <c r="A329" s="8"/>
      <c r="B329" s="8"/>
      <c r="C329" s="13"/>
      <c r="E329" s="14"/>
      <c r="F329" s="14"/>
      <c r="G329" s="68"/>
      <c r="AU329" s="1"/>
    </row>
    <row r="330" spans="1:47" customFormat="1" x14ac:dyDescent="0.25">
      <c r="A330" s="8"/>
      <c r="B330" s="8"/>
      <c r="C330" s="13"/>
      <c r="E330" s="14"/>
      <c r="F330" s="14"/>
      <c r="G330" s="68"/>
      <c r="AU330" s="1"/>
    </row>
    <row r="331" spans="1:47" customFormat="1" x14ac:dyDescent="0.25">
      <c r="A331" s="8"/>
      <c r="B331" s="8"/>
      <c r="C331" s="13"/>
      <c r="E331" s="14"/>
      <c r="F331" s="14"/>
      <c r="G331" s="68"/>
      <c r="AU331" s="1"/>
    </row>
    <row r="332" spans="1:47" customFormat="1" x14ac:dyDescent="0.25">
      <c r="A332" s="8"/>
      <c r="B332" s="8"/>
      <c r="C332" s="13"/>
      <c r="E332" s="14"/>
      <c r="F332" s="14"/>
      <c r="G332" s="68"/>
      <c r="AU332" s="1"/>
    </row>
    <row r="333" spans="1:47" customFormat="1" x14ac:dyDescent="0.25">
      <c r="A333" s="8"/>
      <c r="B333" s="8"/>
      <c r="C333" s="13"/>
      <c r="E333" s="14"/>
      <c r="F333" s="14"/>
      <c r="G333" s="68"/>
      <c r="AU333" s="1"/>
    </row>
    <row r="334" spans="1:47" customFormat="1" x14ac:dyDescent="0.25">
      <c r="A334" s="8"/>
      <c r="B334" s="8"/>
      <c r="C334" s="13"/>
      <c r="E334" s="14"/>
      <c r="F334" s="14"/>
      <c r="G334" s="68"/>
      <c r="AU334" s="1"/>
    </row>
    <row r="335" spans="1:47" customFormat="1" x14ac:dyDescent="0.25">
      <c r="A335" s="8"/>
      <c r="B335" s="8"/>
      <c r="C335" s="13"/>
      <c r="E335" s="14"/>
      <c r="F335" s="14"/>
      <c r="G335" s="68"/>
      <c r="AU335" s="1"/>
    </row>
    <row r="336" spans="1:47" customFormat="1" x14ac:dyDescent="0.25">
      <c r="A336" s="8"/>
      <c r="B336" s="8"/>
      <c r="C336" s="13"/>
      <c r="E336" s="14"/>
      <c r="F336" s="14"/>
      <c r="G336" s="68"/>
      <c r="AU336" s="1"/>
    </row>
    <row r="337" spans="1:47" customFormat="1" x14ac:dyDescent="0.25">
      <c r="A337" s="8"/>
      <c r="B337" s="8"/>
      <c r="C337" s="13"/>
      <c r="E337" s="14"/>
      <c r="F337" s="14"/>
      <c r="G337" s="68"/>
      <c r="AU337" s="1"/>
    </row>
    <row r="338" spans="1:47" customFormat="1" x14ac:dyDescent="0.25">
      <c r="A338" s="8"/>
      <c r="B338" s="8"/>
      <c r="C338" s="13"/>
      <c r="E338" s="14"/>
      <c r="F338" s="14"/>
      <c r="G338" s="68"/>
      <c r="AU338" s="1"/>
    </row>
    <row r="339" spans="1:47" customFormat="1" x14ac:dyDescent="0.25">
      <c r="A339" s="8"/>
      <c r="B339" s="8"/>
      <c r="C339" s="13"/>
      <c r="E339" s="14"/>
      <c r="F339" s="14"/>
      <c r="G339" s="68"/>
      <c r="AU339" s="1"/>
    </row>
    <row r="340" spans="1:47" customFormat="1" x14ac:dyDescent="0.25">
      <c r="A340" s="8"/>
      <c r="B340" s="8"/>
      <c r="C340" s="13"/>
      <c r="E340" s="14"/>
      <c r="F340" s="14"/>
      <c r="G340" s="68"/>
      <c r="AU340" s="1"/>
    </row>
    <row r="341" spans="1:47" customFormat="1" x14ac:dyDescent="0.25">
      <c r="A341" s="8"/>
      <c r="B341" s="8"/>
      <c r="C341" s="13"/>
      <c r="E341" s="14"/>
      <c r="F341" s="14"/>
      <c r="G341" s="68"/>
      <c r="AU341" s="1"/>
    </row>
    <row r="342" spans="1:47" customFormat="1" x14ac:dyDescent="0.25">
      <c r="A342" s="8"/>
      <c r="B342" s="8"/>
      <c r="C342" s="13"/>
      <c r="E342" s="14"/>
      <c r="F342" s="14"/>
      <c r="G342" s="68"/>
      <c r="AU342" s="1"/>
    </row>
    <row r="343" spans="1:47" customFormat="1" x14ac:dyDescent="0.25">
      <c r="A343" s="8"/>
      <c r="B343" s="8"/>
      <c r="C343" s="13"/>
      <c r="E343" s="14"/>
      <c r="F343" s="14"/>
      <c r="G343" s="68"/>
      <c r="AU343" s="1"/>
    </row>
    <row r="344" spans="1:47" customFormat="1" x14ac:dyDescent="0.25">
      <c r="A344" s="8"/>
      <c r="B344" s="8"/>
      <c r="C344" s="13"/>
      <c r="E344" s="14"/>
      <c r="F344" s="14"/>
      <c r="G344" s="68"/>
      <c r="AU344" s="1"/>
    </row>
    <row r="345" spans="1:47" customFormat="1" x14ac:dyDescent="0.25">
      <c r="A345" s="8"/>
      <c r="B345" s="8"/>
      <c r="C345" s="13"/>
      <c r="E345" s="14"/>
      <c r="F345" s="14"/>
      <c r="G345" s="68"/>
      <c r="AU345" s="1"/>
    </row>
    <row r="346" spans="1:47" customFormat="1" x14ac:dyDescent="0.25">
      <c r="A346" s="8"/>
      <c r="B346" s="8"/>
      <c r="C346" s="13"/>
      <c r="E346" s="14"/>
      <c r="F346" s="14"/>
      <c r="G346" s="68"/>
      <c r="AU346" s="1"/>
    </row>
    <row r="347" spans="1:47" customFormat="1" x14ac:dyDescent="0.25">
      <c r="A347" s="8"/>
      <c r="B347" s="8"/>
      <c r="C347" s="13"/>
      <c r="E347" s="14"/>
      <c r="F347" s="14"/>
      <c r="G347" s="68"/>
      <c r="AU347" s="1"/>
    </row>
    <row r="348" spans="1:47" customFormat="1" x14ac:dyDescent="0.25">
      <c r="A348" s="8"/>
      <c r="B348" s="8"/>
      <c r="C348" s="13"/>
      <c r="E348" s="14"/>
      <c r="F348" s="14"/>
      <c r="G348" s="68"/>
      <c r="AU348" s="1"/>
    </row>
    <row r="349" spans="1:47" customFormat="1" x14ac:dyDescent="0.25">
      <c r="A349" s="8"/>
      <c r="B349" s="8"/>
      <c r="C349" s="13"/>
      <c r="E349" s="14"/>
      <c r="F349" s="14"/>
      <c r="G349" s="68"/>
      <c r="AU349" s="1"/>
    </row>
    <row r="350" spans="1:47" customFormat="1" x14ac:dyDescent="0.25">
      <c r="A350" s="8"/>
      <c r="B350" s="8"/>
      <c r="C350" s="13"/>
      <c r="E350" s="14"/>
      <c r="F350" s="14"/>
      <c r="G350" s="68"/>
      <c r="AU350" s="1"/>
    </row>
    <row r="351" spans="1:47" customFormat="1" x14ac:dyDescent="0.25">
      <c r="A351" s="8"/>
      <c r="B351" s="8"/>
      <c r="C351" s="13"/>
      <c r="E351" s="14"/>
      <c r="F351" s="14"/>
      <c r="G351" s="68"/>
      <c r="AU351" s="1"/>
    </row>
    <row r="352" spans="1:47" customFormat="1" x14ac:dyDescent="0.25">
      <c r="A352" s="8"/>
      <c r="B352" s="8"/>
      <c r="C352" s="13"/>
      <c r="E352" s="14"/>
      <c r="F352" s="14"/>
      <c r="G352" s="68"/>
      <c r="AU352" s="1"/>
    </row>
    <row r="353" spans="1:47" customFormat="1" x14ac:dyDescent="0.25">
      <c r="A353" s="8"/>
      <c r="B353" s="8"/>
      <c r="C353" s="13"/>
      <c r="E353" s="14"/>
      <c r="F353" s="14"/>
      <c r="G353" s="68"/>
      <c r="AU353" s="1"/>
    </row>
    <row r="354" spans="1:47" customFormat="1" x14ac:dyDescent="0.25">
      <c r="A354" s="8"/>
      <c r="B354" s="8"/>
      <c r="C354" s="13"/>
      <c r="E354" s="14"/>
      <c r="F354" s="14"/>
      <c r="G354" s="68"/>
      <c r="AU354" s="1"/>
    </row>
    <row r="355" spans="1:47" customFormat="1" x14ac:dyDescent="0.25">
      <c r="A355" s="8"/>
      <c r="B355" s="8"/>
      <c r="C355" s="13"/>
      <c r="E355" s="14"/>
      <c r="F355" s="14"/>
      <c r="G355" s="68"/>
      <c r="AU355" s="1"/>
    </row>
    <row r="356" spans="1:47" customFormat="1" x14ac:dyDescent="0.25">
      <c r="A356" s="8"/>
      <c r="B356" s="8"/>
      <c r="C356" s="13"/>
      <c r="E356" s="14"/>
      <c r="F356" s="14"/>
      <c r="G356" s="68"/>
      <c r="AU356" s="1"/>
    </row>
    <row r="357" spans="1:47" customFormat="1" x14ac:dyDescent="0.25">
      <c r="A357" s="8"/>
      <c r="B357" s="8"/>
      <c r="C357" s="13"/>
      <c r="E357" s="14"/>
      <c r="F357" s="14"/>
      <c r="G357" s="68"/>
      <c r="AU357" s="1"/>
    </row>
    <row r="358" spans="1:47" customFormat="1" x14ac:dyDescent="0.25">
      <c r="A358" s="8"/>
      <c r="B358" s="8"/>
      <c r="C358" s="13"/>
      <c r="E358" s="14"/>
      <c r="F358" s="14"/>
      <c r="G358" s="68"/>
      <c r="AU358" s="1"/>
    </row>
    <row r="359" spans="1:47" customFormat="1" x14ac:dyDescent="0.25">
      <c r="A359" s="8"/>
      <c r="B359" s="8"/>
      <c r="C359" s="13"/>
      <c r="E359" s="14"/>
      <c r="F359" s="14"/>
      <c r="G359" s="68"/>
      <c r="AU359" s="1"/>
    </row>
    <row r="360" spans="1:47" customFormat="1" x14ac:dyDescent="0.25">
      <c r="A360" s="8"/>
      <c r="B360" s="8"/>
      <c r="C360" s="13"/>
      <c r="E360" s="14"/>
      <c r="F360" s="14"/>
      <c r="G360" s="68"/>
      <c r="AU360" s="1"/>
    </row>
    <row r="361" spans="1:47" customFormat="1" x14ac:dyDescent="0.25">
      <c r="A361" s="8"/>
      <c r="B361" s="8"/>
      <c r="C361" s="13"/>
      <c r="E361" s="14"/>
      <c r="F361" s="14"/>
      <c r="G361" s="68"/>
      <c r="AU361" s="1"/>
    </row>
    <row r="362" spans="1:47" customFormat="1" x14ac:dyDescent="0.25">
      <c r="A362" s="8"/>
      <c r="B362" s="8"/>
      <c r="C362" s="13"/>
      <c r="E362" s="14"/>
      <c r="F362" s="14"/>
      <c r="G362" s="68"/>
      <c r="AU362" s="1"/>
    </row>
    <row r="363" spans="1:47" customFormat="1" x14ac:dyDescent="0.25">
      <c r="A363" s="8"/>
      <c r="B363" s="8"/>
      <c r="C363" s="13"/>
      <c r="E363" s="14"/>
      <c r="F363" s="14"/>
      <c r="G363" s="68"/>
      <c r="AU363" s="1"/>
    </row>
    <row r="364" spans="1:47" customFormat="1" x14ac:dyDescent="0.25">
      <c r="A364" s="8"/>
      <c r="B364" s="8"/>
      <c r="C364" s="13"/>
      <c r="E364" s="14"/>
      <c r="F364" s="14"/>
      <c r="G364" s="68"/>
      <c r="AU364" s="1"/>
    </row>
    <row r="365" spans="1:47" customFormat="1" x14ac:dyDescent="0.25">
      <c r="A365" s="8"/>
      <c r="B365" s="8"/>
      <c r="C365" s="13"/>
      <c r="E365" s="14"/>
      <c r="F365" s="14"/>
      <c r="G365" s="68"/>
      <c r="AU365" s="1"/>
    </row>
    <row r="366" spans="1:47" customFormat="1" x14ac:dyDescent="0.25">
      <c r="A366" s="8"/>
      <c r="B366" s="8"/>
      <c r="C366" s="13"/>
      <c r="E366" s="14"/>
      <c r="F366" s="14"/>
      <c r="G366" s="68"/>
      <c r="AU366" s="1"/>
    </row>
    <row r="367" spans="1:47" customFormat="1" x14ac:dyDescent="0.25">
      <c r="A367" s="8"/>
      <c r="B367" s="8"/>
      <c r="C367" s="13"/>
      <c r="E367" s="14"/>
      <c r="F367" s="14"/>
      <c r="G367" s="68"/>
      <c r="AU367" s="1"/>
    </row>
    <row r="368" spans="1:47" customFormat="1" x14ac:dyDescent="0.25">
      <c r="A368" s="8"/>
      <c r="B368" s="8"/>
      <c r="C368" s="13"/>
      <c r="E368" s="14"/>
      <c r="F368" s="14"/>
      <c r="G368" s="68"/>
      <c r="AU368" s="1"/>
    </row>
    <row r="369" spans="1:47" customFormat="1" x14ac:dyDescent="0.25">
      <c r="A369" s="8"/>
      <c r="B369" s="8"/>
      <c r="C369" s="13"/>
      <c r="E369" s="14"/>
      <c r="F369" s="14"/>
      <c r="G369" s="68"/>
      <c r="AU369" s="1"/>
    </row>
    <row r="370" spans="1:47" customFormat="1" x14ac:dyDescent="0.25">
      <c r="A370" s="8"/>
      <c r="B370" s="8"/>
      <c r="C370" s="13"/>
      <c r="E370" s="14"/>
      <c r="F370" s="14"/>
      <c r="G370" s="68"/>
      <c r="AU370" s="1"/>
    </row>
    <row r="371" spans="1:47" customFormat="1" x14ac:dyDescent="0.25">
      <c r="A371" s="8"/>
      <c r="B371" s="8"/>
      <c r="C371" s="13"/>
      <c r="E371" s="14"/>
      <c r="F371" s="14"/>
      <c r="G371" s="68"/>
      <c r="AU371" s="1"/>
    </row>
    <row r="372" spans="1:47" customFormat="1" x14ac:dyDescent="0.25">
      <c r="A372" s="8"/>
      <c r="B372" s="8"/>
      <c r="C372" s="13"/>
      <c r="E372" s="14"/>
      <c r="F372" s="14"/>
      <c r="G372" s="68"/>
      <c r="AU372" s="1"/>
    </row>
    <row r="373" spans="1:47" customFormat="1" x14ac:dyDescent="0.25">
      <c r="A373" s="8"/>
      <c r="B373" s="8"/>
      <c r="C373" s="13"/>
      <c r="E373" s="14"/>
      <c r="F373" s="14"/>
      <c r="G373" s="68"/>
      <c r="AU373" s="1"/>
    </row>
    <row r="374" spans="1:47" customFormat="1" x14ac:dyDescent="0.25">
      <c r="A374" s="8"/>
      <c r="B374" s="8"/>
      <c r="C374" s="13"/>
      <c r="E374" s="14"/>
      <c r="F374" s="14"/>
      <c r="G374" s="68"/>
      <c r="AU374" s="1"/>
    </row>
    <row r="375" spans="1:47" customFormat="1" x14ac:dyDescent="0.25">
      <c r="A375" s="8"/>
      <c r="B375" s="8"/>
      <c r="C375" s="13"/>
      <c r="E375" s="14"/>
      <c r="F375" s="14"/>
      <c r="G375" s="68"/>
      <c r="AU375" s="1"/>
    </row>
    <row r="376" spans="1:47" customFormat="1" x14ac:dyDescent="0.25">
      <c r="A376" s="8"/>
      <c r="B376" s="8"/>
      <c r="C376" s="13"/>
      <c r="E376" s="14"/>
      <c r="F376" s="14"/>
      <c r="G376" s="68"/>
      <c r="AU376" s="1"/>
    </row>
    <row r="377" spans="1:47" customFormat="1" x14ac:dyDescent="0.25">
      <c r="A377" s="8"/>
      <c r="B377" s="8"/>
      <c r="C377" s="13"/>
      <c r="E377" s="14"/>
      <c r="F377" s="14"/>
      <c r="G377" s="68"/>
      <c r="AU377" s="1"/>
    </row>
    <row r="378" spans="1:47" customFormat="1" x14ac:dyDescent="0.25">
      <c r="A378" s="8"/>
      <c r="B378" s="8"/>
      <c r="C378" s="13"/>
      <c r="E378" s="14"/>
      <c r="F378" s="14"/>
      <c r="G378" s="68"/>
      <c r="AU378" s="1"/>
    </row>
    <row r="379" spans="1:47" customFormat="1" x14ac:dyDescent="0.25">
      <c r="A379" s="8"/>
      <c r="B379" s="8"/>
      <c r="C379" s="13"/>
      <c r="E379" s="14"/>
      <c r="F379" s="14"/>
      <c r="G379" s="68"/>
      <c r="AU379" s="1"/>
    </row>
    <row r="380" spans="1:47" customFormat="1" x14ac:dyDescent="0.25">
      <c r="A380" s="8"/>
      <c r="B380" s="8"/>
      <c r="C380" s="13"/>
      <c r="E380" s="14"/>
      <c r="F380" s="14"/>
      <c r="G380" s="68"/>
      <c r="AU380" s="1"/>
    </row>
    <row r="381" spans="1:47" customFormat="1" x14ac:dyDescent="0.25">
      <c r="A381" s="8"/>
      <c r="B381" s="8"/>
      <c r="C381" s="13"/>
      <c r="E381" s="14"/>
      <c r="F381" s="14"/>
      <c r="G381" s="68"/>
      <c r="AU381" s="1"/>
    </row>
    <row r="382" spans="1:47" customFormat="1" x14ac:dyDescent="0.25">
      <c r="A382" s="8"/>
      <c r="B382" s="8"/>
      <c r="C382" s="13"/>
      <c r="E382" s="14"/>
      <c r="F382" s="14"/>
      <c r="G382" s="68"/>
      <c r="AU382" s="1"/>
    </row>
    <row r="383" spans="1:47" customFormat="1" x14ac:dyDescent="0.25">
      <c r="A383" s="8"/>
      <c r="B383" s="8"/>
      <c r="C383" s="13"/>
      <c r="E383" s="14"/>
      <c r="F383" s="14"/>
      <c r="G383" s="68"/>
      <c r="AU383" s="1"/>
    </row>
    <row r="384" spans="1:47" customFormat="1" x14ac:dyDescent="0.25">
      <c r="A384" s="8"/>
      <c r="B384" s="8"/>
      <c r="C384" s="13"/>
      <c r="E384" s="14"/>
      <c r="F384" s="14"/>
      <c r="G384" s="68"/>
      <c r="AU384" s="1"/>
    </row>
    <row r="385" spans="1:47" customFormat="1" x14ac:dyDescent="0.25">
      <c r="A385" s="8"/>
      <c r="B385" s="8"/>
      <c r="C385" s="13"/>
      <c r="E385" s="14"/>
      <c r="F385" s="14"/>
      <c r="G385" s="68"/>
      <c r="AU385" s="1"/>
    </row>
    <row r="386" spans="1:47" customFormat="1" x14ac:dyDescent="0.25">
      <c r="A386" s="8"/>
      <c r="B386" s="8"/>
      <c r="C386" s="13"/>
      <c r="E386" s="14"/>
      <c r="F386" s="14"/>
      <c r="G386" s="68"/>
      <c r="AU386" s="1"/>
    </row>
    <row r="387" spans="1:47" customFormat="1" x14ac:dyDescent="0.25">
      <c r="A387" s="8"/>
      <c r="B387" s="8"/>
      <c r="C387" s="13"/>
      <c r="E387" s="14"/>
      <c r="F387" s="14"/>
      <c r="G387" s="68"/>
      <c r="AU387" s="1"/>
    </row>
    <row r="388" spans="1:47" customFormat="1" x14ac:dyDescent="0.25">
      <c r="A388" s="8"/>
      <c r="B388" s="8"/>
      <c r="C388" s="13"/>
      <c r="E388" s="14"/>
      <c r="F388" s="14"/>
      <c r="G388" s="68"/>
      <c r="AU388" s="1"/>
    </row>
    <row r="389" spans="1:47" customFormat="1" x14ac:dyDescent="0.25">
      <c r="A389" s="8"/>
      <c r="B389" s="8"/>
      <c r="C389" s="13"/>
      <c r="E389" s="14"/>
      <c r="F389" s="14"/>
      <c r="G389" s="68"/>
      <c r="AU389" s="1"/>
    </row>
    <row r="390" spans="1:47" customFormat="1" x14ac:dyDescent="0.25">
      <c r="A390" s="8"/>
      <c r="B390" s="8"/>
      <c r="C390" s="13"/>
      <c r="E390" s="14"/>
      <c r="F390" s="14"/>
      <c r="G390" s="68"/>
      <c r="AU390" s="1"/>
    </row>
    <row r="391" spans="1:47" customFormat="1" x14ac:dyDescent="0.25">
      <c r="A391" s="8"/>
      <c r="B391" s="8"/>
      <c r="C391" s="13"/>
      <c r="E391" s="14"/>
      <c r="F391" s="14"/>
      <c r="G391" s="68"/>
      <c r="AU391" s="1"/>
    </row>
    <row r="392" spans="1:47" customFormat="1" x14ac:dyDescent="0.25">
      <c r="A392" s="8"/>
      <c r="B392" s="8"/>
      <c r="C392" s="13"/>
      <c r="E392" s="14"/>
      <c r="F392" s="14"/>
      <c r="G392" s="68"/>
      <c r="AU392" s="1"/>
    </row>
    <row r="393" spans="1:47" customFormat="1" x14ac:dyDescent="0.25">
      <c r="A393" s="8"/>
      <c r="B393" s="8"/>
      <c r="C393" s="13"/>
      <c r="E393" s="14"/>
      <c r="F393" s="14"/>
      <c r="G393" s="68"/>
      <c r="AU393" s="1"/>
    </row>
    <row r="394" spans="1:47" customFormat="1" x14ac:dyDescent="0.25">
      <c r="A394" s="8"/>
      <c r="B394" s="8"/>
      <c r="C394" s="13"/>
      <c r="E394" s="14"/>
      <c r="F394" s="14"/>
      <c r="G394" s="68"/>
      <c r="AU394" s="1"/>
    </row>
    <row r="395" spans="1:47" customFormat="1" x14ac:dyDescent="0.25">
      <c r="A395" s="8"/>
      <c r="B395" s="8"/>
      <c r="C395" s="13"/>
      <c r="E395" s="14"/>
      <c r="F395" s="14"/>
      <c r="G395" s="68"/>
      <c r="AU395" s="1"/>
    </row>
    <row r="396" spans="1:47" customFormat="1" x14ac:dyDescent="0.25">
      <c r="A396" s="8"/>
      <c r="B396" s="8"/>
      <c r="C396" s="13"/>
      <c r="E396" s="14"/>
      <c r="F396" s="14"/>
      <c r="G396" s="68"/>
      <c r="AU396" s="1"/>
    </row>
    <row r="397" spans="1:47" customFormat="1" x14ac:dyDescent="0.25">
      <c r="A397" s="8"/>
      <c r="B397" s="8"/>
      <c r="C397" s="13"/>
      <c r="E397" s="14"/>
      <c r="F397" s="14"/>
      <c r="G397" s="68"/>
      <c r="AU397" s="1"/>
    </row>
    <row r="398" spans="1:47" customFormat="1" x14ac:dyDescent="0.25">
      <c r="A398" s="8"/>
      <c r="B398" s="8"/>
      <c r="C398" s="13"/>
      <c r="E398" s="14"/>
      <c r="F398" s="14"/>
      <c r="G398" s="68"/>
      <c r="AU398" s="1"/>
    </row>
    <row r="399" spans="1:47" customFormat="1" x14ac:dyDescent="0.25">
      <c r="A399" s="8"/>
      <c r="B399" s="8"/>
      <c r="C399" s="13"/>
      <c r="E399" s="14"/>
      <c r="F399" s="14"/>
      <c r="G399" s="68"/>
      <c r="AU399" s="1"/>
    </row>
    <row r="400" spans="1:47" customFormat="1" x14ac:dyDescent="0.25">
      <c r="A400" s="8"/>
      <c r="B400" s="8"/>
      <c r="C400" s="13"/>
      <c r="E400" s="14"/>
      <c r="F400" s="14"/>
      <c r="G400" s="68"/>
      <c r="AU400" s="1"/>
    </row>
    <row r="401" spans="1:47" customFormat="1" x14ac:dyDescent="0.25">
      <c r="A401" s="8"/>
      <c r="B401" s="8"/>
      <c r="C401" s="13"/>
      <c r="E401" s="14"/>
      <c r="F401" s="14"/>
      <c r="G401" s="68"/>
      <c r="AU401" s="1"/>
    </row>
    <row r="402" spans="1:47" customFormat="1" x14ac:dyDescent="0.25">
      <c r="A402" s="8"/>
      <c r="B402" s="8"/>
      <c r="C402" s="13"/>
      <c r="E402" s="14"/>
      <c r="F402" s="14"/>
      <c r="G402" s="68"/>
      <c r="AU402" s="1"/>
    </row>
    <row r="403" spans="1:47" customFormat="1" x14ac:dyDescent="0.25">
      <c r="A403" s="8"/>
      <c r="B403" s="8"/>
      <c r="C403" s="13"/>
      <c r="E403" s="14"/>
      <c r="F403" s="14"/>
      <c r="G403" s="68"/>
      <c r="AU403" s="1"/>
    </row>
    <row r="404" spans="1:47" customFormat="1" x14ac:dyDescent="0.25">
      <c r="A404" s="8"/>
      <c r="B404" s="8"/>
      <c r="C404" s="13"/>
      <c r="E404" s="14"/>
      <c r="F404" s="14"/>
      <c r="G404" s="68"/>
      <c r="AU404" s="1"/>
    </row>
    <row r="405" spans="1:47" customFormat="1" x14ac:dyDescent="0.25">
      <c r="A405" s="8"/>
      <c r="B405" s="8"/>
      <c r="C405" s="13"/>
      <c r="E405" s="14"/>
      <c r="F405" s="14"/>
      <c r="G405" s="68"/>
      <c r="AU405" s="1"/>
    </row>
    <row r="406" spans="1:47" customFormat="1" x14ac:dyDescent="0.25">
      <c r="A406" s="8"/>
      <c r="B406" s="8"/>
      <c r="C406" s="13"/>
      <c r="E406" s="14"/>
      <c r="F406" s="14"/>
      <c r="G406" s="68"/>
      <c r="AU406" s="1"/>
    </row>
    <row r="407" spans="1:47" customFormat="1" x14ac:dyDescent="0.25">
      <c r="A407" s="8"/>
      <c r="B407" s="8"/>
      <c r="C407" s="13"/>
      <c r="E407" s="14"/>
      <c r="F407" s="14"/>
      <c r="G407" s="68"/>
      <c r="AU407" s="1"/>
    </row>
    <row r="408" spans="1:47" customFormat="1" x14ac:dyDescent="0.25">
      <c r="A408" s="8"/>
      <c r="B408" s="8"/>
      <c r="C408" s="13"/>
      <c r="E408" s="14"/>
      <c r="F408" s="14"/>
      <c r="G408" s="68"/>
      <c r="AU408" s="1"/>
    </row>
    <row r="409" spans="1:47" customFormat="1" x14ac:dyDescent="0.25">
      <c r="A409" s="8"/>
      <c r="B409" s="8"/>
      <c r="C409" s="13"/>
      <c r="E409" s="14"/>
      <c r="F409" s="14"/>
      <c r="G409" s="68"/>
      <c r="AU409" s="1"/>
    </row>
    <row r="410" spans="1:47" customFormat="1" x14ac:dyDescent="0.25">
      <c r="A410" s="8"/>
      <c r="B410" s="8"/>
      <c r="C410" s="13"/>
      <c r="E410" s="14"/>
      <c r="F410" s="14"/>
      <c r="G410" s="68"/>
      <c r="AU410" s="1"/>
    </row>
    <row r="411" spans="1:47" customFormat="1" x14ac:dyDescent="0.25">
      <c r="A411" s="8"/>
      <c r="B411" s="8"/>
      <c r="C411" s="13"/>
      <c r="E411" s="14"/>
      <c r="F411" s="14"/>
      <c r="G411" s="68"/>
      <c r="AU411" s="1"/>
    </row>
    <row r="412" spans="1:47" customFormat="1" x14ac:dyDescent="0.25">
      <c r="A412" s="8"/>
      <c r="B412" s="8"/>
      <c r="C412" s="13"/>
      <c r="E412" s="14"/>
      <c r="F412" s="14"/>
      <c r="G412" s="68"/>
      <c r="AU412" s="1"/>
    </row>
    <row r="413" spans="1:47" customFormat="1" x14ac:dyDescent="0.25">
      <c r="A413" s="8"/>
      <c r="B413" s="8"/>
      <c r="C413" s="13"/>
      <c r="E413" s="14"/>
      <c r="F413" s="14"/>
      <c r="G413" s="68"/>
      <c r="AU413" s="1"/>
    </row>
    <row r="414" spans="1:47" customFormat="1" x14ac:dyDescent="0.25">
      <c r="A414" s="8"/>
      <c r="B414" s="8"/>
      <c r="C414" s="13"/>
      <c r="E414" s="14"/>
      <c r="F414" s="14"/>
      <c r="G414" s="68"/>
      <c r="AU414" s="1"/>
    </row>
    <row r="415" spans="1:47" customFormat="1" x14ac:dyDescent="0.25">
      <c r="A415" s="8"/>
      <c r="B415" s="8"/>
      <c r="C415" s="13"/>
      <c r="E415" s="14"/>
      <c r="F415" s="14"/>
      <c r="G415" s="68"/>
      <c r="AU415" s="1"/>
    </row>
    <row r="416" spans="1:47" customFormat="1" x14ac:dyDescent="0.25">
      <c r="A416" s="8"/>
      <c r="B416" s="8"/>
      <c r="C416" s="13"/>
      <c r="E416" s="14"/>
      <c r="F416" s="14"/>
      <c r="G416" s="68"/>
      <c r="AU416" s="1"/>
    </row>
    <row r="417" spans="1:47" customFormat="1" x14ac:dyDescent="0.25">
      <c r="A417" s="8"/>
      <c r="B417" s="8"/>
      <c r="C417" s="13"/>
      <c r="E417" s="14"/>
      <c r="F417" s="14"/>
      <c r="G417" s="68"/>
      <c r="AU417" s="1"/>
    </row>
    <row r="418" spans="1:47" customFormat="1" x14ac:dyDescent="0.25">
      <c r="A418" s="8"/>
      <c r="B418" s="8"/>
      <c r="C418" s="13"/>
      <c r="E418" s="14"/>
      <c r="F418" s="14"/>
      <c r="G418" s="68"/>
      <c r="AU418" s="1"/>
    </row>
    <row r="419" spans="1:47" customFormat="1" x14ac:dyDescent="0.25">
      <c r="A419" s="8"/>
      <c r="B419" s="8"/>
      <c r="C419" s="13"/>
      <c r="E419" s="14"/>
      <c r="F419" s="14"/>
      <c r="G419" s="68"/>
      <c r="AU419" s="1"/>
    </row>
    <row r="420" spans="1:47" customFormat="1" x14ac:dyDescent="0.25">
      <c r="A420" s="8"/>
      <c r="B420" s="8"/>
      <c r="C420" s="13"/>
      <c r="E420" s="14"/>
      <c r="F420" s="14"/>
      <c r="G420" s="68"/>
      <c r="AU420" s="1"/>
    </row>
    <row r="421" spans="1:47" customFormat="1" x14ac:dyDescent="0.25">
      <c r="A421" s="8"/>
      <c r="B421" s="8"/>
      <c r="C421" s="13"/>
      <c r="E421" s="14"/>
      <c r="F421" s="14"/>
      <c r="G421" s="68"/>
      <c r="AU421" s="1"/>
    </row>
    <row r="422" spans="1:47" customFormat="1" x14ac:dyDescent="0.25">
      <c r="A422" s="8"/>
      <c r="B422" s="8"/>
      <c r="C422" s="13"/>
      <c r="E422" s="14"/>
      <c r="F422" s="14"/>
      <c r="G422" s="68"/>
      <c r="AU422" s="1"/>
    </row>
    <row r="423" spans="1:47" customFormat="1" x14ac:dyDescent="0.25">
      <c r="A423" s="8"/>
      <c r="B423" s="8"/>
      <c r="C423" s="13"/>
      <c r="E423" s="14"/>
      <c r="F423" s="14"/>
      <c r="G423" s="68"/>
      <c r="AU423" s="1"/>
    </row>
    <row r="424" spans="1:47" customFormat="1" x14ac:dyDescent="0.25">
      <c r="A424" s="8"/>
      <c r="B424" s="8"/>
      <c r="C424" s="13"/>
      <c r="E424" s="14"/>
      <c r="F424" s="14"/>
      <c r="G424" s="68"/>
      <c r="AU424" s="1"/>
    </row>
    <row r="425" spans="1:47" customFormat="1" x14ac:dyDescent="0.25">
      <c r="A425" s="8"/>
      <c r="B425" s="8"/>
      <c r="C425" s="13"/>
      <c r="E425" s="14"/>
      <c r="F425" s="14"/>
      <c r="G425" s="68"/>
      <c r="AU425" s="1"/>
    </row>
    <row r="426" spans="1:47" customFormat="1" x14ac:dyDescent="0.25">
      <c r="A426" s="8"/>
      <c r="B426" s="8"/>
      <c r="C426" s="13"/>
      <c r="E426" s="14"/>
      <c r="F426" s="14"/>
      <c r="G426" s="68"/>
      <c r="AU426" s="1"/>
    </row>
    <row r="427" spans="1:47" customFormat="1" x14ac:dyDescent="0.25">
      <c r="A427" s="8"/>
      <c r="B427" s="8"/>
      <c r="C427" s="13"/>
      <c r="E427" s="14"/>
      <c r="F427" s="14"/>
      <c r="G427" s="68"/>
      <c r="AU427" s="1"/>
    </row>
    <row r="428" spans="1:47" customFormat="1" x14ac:dyDescent="0.25">
      <c r="A428" s="8"/>
      <c r="B428" s="8"/>
      <c r="C428" s="13"/>
      <c r="E428" s="14"/>
      <c r="F428" s="14"/>
      <c r="G428" s="68"/>
      <c r="AU428" s="1"/>
    </row>
    <row r="429" spans="1:47" customFormat="1" x14ac:dyDescent="0.25">
      <c r="A429" s="8"/>
      <c r="B429" s="8"/>
      <c r="C429" s="13"/>
      <c r="E429" s="14"/>
      <c r="F429" s="14"/>
      <c r="G429" s="68"/>
      <c r="AU429" s="1"/>
    </row>
    <row r="430" spans="1:47" customFormat="1" x14ac:dyDescent="0.25">
      <c r="A430" s="8"/>
      <c r="B430" s="8"/>
      <c r="C430" s="13"/>
      <c r="E430" s="14"/>
      <c r="F430" s="14"/>
      <c r="G430" s="68"/>
      <c r="AU430" s="1"/>
    </row>
    <row r="431" spans="1:47" customFormat="1" x14ac:dyDescent="0.25">
      <c r="A431" s="8"/>
      <c r="B431" s="8"/>
      <c r="C431" s="13"/>
      <c r="E431" s="14"/>
      <c r="F431" s="14"/>
      <c r="G431" s="68"/>
      <c r="AU431" s="1"/>
    </row>
    <row r="432" spans="1:47" customFormat="1" x14ac:dyDescent="0.25">
      <c r="A432" s="8"/>
      <c r="B432" s="8"/>
      <c r="C432" s="13"/>
      <c r="E432" s="14"/>
      <c r="F432" s="14"/>
      <c r="G432" s="68"/>
      <c r="AU432" s="1"/>
    </row>
    <row r="433" spans="1:47" customFormat="1" x14ac:dyDescent="0.25">
      <c r="A433" s="8"/>
      <c r="B433" s="8"/>
      <c r="C433" s="13"/>
      <c r="E433" s="14"/>
      <c r="F433" s="14"/>
      <c r="G433" s="68"/>
      <c r="AU433" s="1"/>
    </row>
    <row r="434" spans="1:47" customFormat="1" x14ac:dyDescent="0.25">
      <c r="A434" s="8"/>
      <c r="B434" s="8"/>
      <c r="C434" s="13"/>
      <c r="E434" s="14"/>
      <c r="F434" s="14"/>
      <c r="G434" s="68"/>
      <c r="AU434" s="1"/>
    </row>
    <row r="435" spans="1:47" customFormat="1" x14ac:dyDescent="0.25">
      <c r="A435" s="8"/>
      <c r="B435" s="8"/>
      <c r="C435" s="13"/>
      <c r="E435" s="14"/>
      <c r="F435" s="14"/>
      <c r="G435" s="68"/>
      <c r="AU435" s="1"/>
    </row>
    <row r="436" spans="1:47" customFormat="1" x14ac:dyDescent="0.25">
      <c r="A436" s="8"/>
      <c r="B436" s="8"/>
      <c r="C436" s="13"/>
      <c r="E436" s="14"/>
      <c r="F436" s="14"/>
      <c r="G436" s="68"/>
      <c r="AU436" s="1"/>
    </row>
    <row r="437" spans="1:47" customFormat="1" x14ac:dyDescent="0.25">
      <c r="A437" s="8"/>
      <c r="B437" s="8"/>
      <c r="C437" s="13"/>
      <c r="E437" s="14"/>
      <c r="F437" s="14"/>
      <c r="G437" s="68"/>
      <c r="AU437" s="1"/>
    </row>
    <row r="438" spans="1:47" customFormat="1" x14ac:dyDescent="0.25">
      <c r="A438" s="8"/>
      <c r="B438" s="8"/>
      <c r="C438" s="13"/>
      <c r="E438" s="14"/>
      <c r="F438" s="14"/>
      <c r="G438" s="68"/>
      <c r="AU438" s="1"/>
    </row>
    <row r="439" spans="1:47" customFormat="1" x14ac:dyDescent="0.25">
      <c r="A439" s="8"/>
      <c r="B439" s="8"/>
      <c r="C439" s="13"/>
      <c r="E439" s="14"/>
      <c r="F439" s="14"/>
      <c r="G439" s="68"/>
      <c r="AU439" s="1"/>
    </row>
    <row r="440" spans="1:47" customFormat="1" x14ac:dyDescent="0.25">
      <c r="A440" s="8"/>
      <c r="B440" s="8"/>
      <c r="C440" s="13"/>
      <c r="E440" s="14"/>
      <c r="F440" s="14"/>
      <c r="G440" s="68"/>
      <c r="AU440" s="1"/>
    </row>
    <row r="441" spans="1:47" customFormat="1" x14ac:dyDescent="0.25">
      <c r="A441" s="8"/>
      <c r="B441" s="8"/>
      <c r="C441" s="13"/>
      <c r="E441" s="14"/>
      <c r="F441" s="14"/>
      <c r="G441" s="68"/>
      <c r="AU441" s="1"/>
    </row>
    <row r="442" spans="1:47" customFormat="1" x14ac:dyDescent="0.25">
      <c r="A442" s="8"/>
      <c r="B442" s="8"/>
      <c r="C442" s="13"/>
      <c r="E442" s="14"/>
      <c r="F442" s="14"/>
      <c r="G442" s="68"/>
      <c r="AU442" s="1"/>
    </row>
    <row r="443" spans="1:47" customFormat="1" x14ac:dyDescent="0.25">
      <c r="A443" s="8"/>
      <c r="B443" s="8"/>
      <c r="C443" s="13"/>
      <c r="E443" s="14"/>
      <c r="F443" s="14"/>
      <c r="G443" s="68"/>
      <c r="AU443" s="1"/>
    </row>
    <row r="444" spans="1:47" customFormat="1" x14ac:dyDescent="0.25">
      <c r="A444" s="8"/>
      <c r="B444" s="8"/>
      <c r="C444" s="13"/>
      <c r="E444" s="14"/>
      <c r="F444" s="14"/>
      <c r="G444" s="68"/>
      <c r="AU444" s="1"/>
    </row>
    <row r="445" spans="1:47" customFormat="1" x14ac:dyDescent="0.25">
      <c r="A445" s="8"/>
      <c r="B445" s="8"/>
      <c r="C445" s="13"/>
      <c r="E445" s="14"/>
      <c r="F445" s="14"/>
      <c r="G445" s="68"/>
      <c r="AU445" s="1"/>
    </row>
    <row r="446" spans="1:47" customFormat="1" x14ac:dyDescent="0.25">
      <c r="A446" s="8"/>
      <c r="B446" s="8"/>
      <c r="C446" s="13"/>
      <c r="E446" s="14"/>
      <c r="F446" s="14"/>
      <c r="G446" s="68"/>
      <c r="AU446" s="1"/>
    </row>
    <row r="447" spans="1:47" customFormat="1" x14ac:dyDescent="0.25">
      <c r="A447" s="8"/>
      <c r="B447" s="8"/>
      <c r="C447" s="13"/>
      <c r="E447" s="14"/>
      <c r="F447" s="14"/>
      <c r="G447" s="68"/>
      <c r="AU447" s="1"/>
    </row>
    <row r="448" spans="1:47" customFormat="1" x14ac:dyDescent="0.25">
      <c r="A448" s="8"/>
      <c r="B448" s="8"/>
      <c r="C448" s="13"/>
      <c r="E448" s="14"/>
      <c r="F448" s="14"/>
      <c r="G448" s="68"/>
      <c r="AU448" s="1"/>
    </row>
    <row r="449" spans="1:47" customFormat="1" x14ac:dyDescent="0.25">
      <c r="A449" s="8"/>
      <c r="B449" s="8"/>
      <c r="C449" s="13"/>
      <c r="E449" s="14"/>
      <c r="F449" s="14"/>
      <c r="G449" s="68"/>
      <c r="AU449" s="1"/>
    </row>
    <row r="450" spans="1:47" customFormat="1" x14ac:dyDescent="0.25">
      <c r="A450" s="8"/>
      <c r="B450" s="8"/>
      <c r="C450" s="13"/>
      <c r="E450" s="14"/>
      <c r="F450" s="14"/>
      <c r="G450" s="68"/>
      <c r="AU450" s="1"/>
    </row>
    <row r="451" spans="1:47" customFormat="1" x14ac:dyDescent="0.25">
      <c r="A451" s="8"/>
      <c r="B451" s="8"/>
      <c r="C451" s="13"/>
      <c r="E451" s="14"/>
      <c r="F451" s="14"/>
      <c r="G451" s="68"/>
      <c r="AU451" s="1"/>
    </row>
    <row r="452" spans="1:47" customFormat="1" x14ac:dyDescent="0.25">
      <c r="A452" s="8"/>
      <c r="B452" s="8"/>
      <c r="C452" s="13"/>
      <c r="E452" s="14"/>
      <c r="F452" s="14"/>
      <c r="G452" s="68"/>
      <c r="AU452" s="1"/>
    </row>
    <row r="453" spans="1:47" customFormat="1" x14ac:dyDescent="0.25">
      <c r="A453" s="8"/>
      <c r="B453" s="8"/>
      <c r="C453" s="13"/>
      <c r="E453" s="14"/>
      <c r="F453" s="14"/>
      <c r="G453" s="68"/>
      <c r="AU453" s="1"/>
    </row>
    <row r="454" spans="1:47" customFormat="1" x14ac:dyDescent="0.25">
      <c r="A454" s="8"/>
      <c r="B454" s="8"/>
      <c r="C454" s="13"/>
      <c r="E454" s="14"/>
      <c r="F454" s="14"/>
      <c r="G454" s="68"/>
      <c r="AU454" s="1"/>
    </row>
    <row r="455" spans="1:47" customFormat="1" x14ac:dyDescent="0.25">
      <c r="A455" s="8"/>
      <c r="B455" s="8"/>
      <c r="C455" s="13"/>
      <c r="E455" s="14"/>
      <c r="F455" s="14"/>
      <c r="G455" s="68"/>
      <c r="AU455" s="1"/>
    </row>
    <row r="456" spans="1:47" customFormat="1" x14ac:dyDescent="0.25">
      <c r="A456" s="8"/>
      <c r="B456" s="8"/>
      <c r="C456" s="13"/>
      <c r="E456" s="14"/>
      <c r="F456" s="14"/>
      <c r="G456" s="68"/>
      <c r="AU456" s="1"/>
    </row>
    <row r="457" spans="1:47" customFormat="1" x14ac:dyDescent="0.25">
      <c r="A457" s="8"/>
      <c r="B457" s="8"/>
      <c r="C457" s="13"/>
      <c r="E457" s="14"/>
      <c r="F457" s="14"/>
      <c r="G457" s="68"/>
      <c r="AU457" s="1"/>
    </row>
    <row r="458" spans="1:47" customFormat="1" x14ac:dyDescent="0.25">
      <c r="A458" s="8"/>
      <c r="B458" s="8"/>
      <c r="C458" s="13"/>
      <c r="E458" s="14"/>
      <c r="F458" s="14"/>
      <c r="G458" s="68"/>
      <c r="AU458" s="1"/>
    </row>
    <row r="459" spans="1:47" customFormat="1" x14ac:dyDescent="0.25">
      <c r="A459" s="8"/>
      <c r="B459" s="8"/>
      <c r="C459" s="13"/>
      <c r="E459" s="14"/>
      <c r="F459" s="14"/>
      <c r="G459" s="68"/>
      <c r="AU459" s="1"/>
    </row>
    <row r="460" spans="1:47" customFormat="1" x14ac:dyDescent="0.25">
      <c r="A460" s="8"/>
      <c r="B460" s="8"/>
      <c r="C460" s="13"/>
      <c r="E460" s="14"/>
      <c r="F460" s="14"/>
      <c r="G460" s="68"/>
      <c r="AU460" s="1"/>
    </row>
    <row r="461" spans="1:47" customFormat="1" x14ac:dyDescent="0.25">
      <c r="A461" s="8"/>
      <c r="B461" s="8"/>
      <c r="C461" s="13"/>
      <c r="E461" s="14"/>
      <c r="F461" s="14"/>
      <c r="G461" s="68"/>
      <c r="AU461" s="1"/>
    </row>
    <row r="462" spans="1:47" customFormat="1" x14ac:dyDescent="0.25">
      <c r="A462" s="8"/>
      <c r="B462" s="8"/>
      <c r="C462" s="13"/>
      <c r="E462" s="14"/>
      <c r="F462" s="14"/>
      <c r="G462" s="68"/>
      <c r="AU462" s="1"/>
    </row>
    <row r="463" spans="1:47" customFormat="1" x14ac:dyDescent="0.25">
      <c r="A463" s="8"/>
      <c r="B463" s="8"/>
      <c r="C463" s="13"/>
      <c r="E463" s="14"/>
      <c r="F463" s="14"/>
      <c r="G463" s="68"/>
      <c r="AU463" s="1"/>
    </row>
    <row r="464" spans="1:47" customFormat="1" x14ac:dyDescent="0.25">
      <c r="A464" s="8"/>
      <c r="B464" s="8"/>
      <c r="C464" s="13"/>
      <c r="E464" s="14"/>
      <c r="F464" s="14"/>
      <c r="G464" s="68"/>
      <c r="AU464" s="1"/>
    </row>
    <row r="465" spans="1:47" customFormat="1" x14ac:dyDescent="0.25">
      <c r="A465" s="8"/>
      <c r="B465" s="8"/>
      <c r="C465" s="13"/>
      <c r="E465" s="14"/>
      <c r="F465" s="14"/>
      <c r="G465" s="68"/>
      <c r="AU465" s="1"/>
    </row>
    <row r="466" spans="1:47" customFormat="1" x14ac:dyDescent="0.25">
      <c r="A466" s="8"/>
      <c r="B466" s="8"/>
      <c r="C466" s="13"/>
      <c r="E466" s="14"/>
      <c r="F466" s="14"/>
      <c r="G466" s="68"/>
      <c r="AU466" s="1"/>
    </row>
    <row r="467" spans="1:47" customFormat="1" x14ac:dyDescent="0.25">
      <c r="A467" s="8"/>
      <c r="B467" s="8"/>
      <c r="C467" s="13"/>
      <c r="E467" s="14"/>
      <c r="F467" s="14"/>
      <c r="G467" s="68"/>
      <c r="AU467" s="1"/>
    </row>
    <row r="468" spans="1:47" customFormat="1" x14ac:dyDescent="0.25">
      <c r="A468" s="8"/>
      <c r="B468" s="8"/>
      <c r="C468" s="13"/>
      <c r="E468" s="14"/>
      <c r="F468" s="14"/>
      <c r="G468" s="68"/>
      <c r="AU468" s="1"/>
    </row>
    <row r="469" spans="1:47" customFormat="1" x14ac:dyDescent="0.25">
      <c r="A469" s="8"/>
      <c r="B469" s="8"/>
      <c r="C469" s="13"/>
      <c r="E469" s="14"/>
      <c r="F469" s="14"/>
      <c r="G469" s="68"/>
      <c r="AU469" s="1"/>
    </row>
    <row r="470" spans="1:47" customFormat="1" x14ac:dyDescent="0.25">
      <c r="A470" s="8"/>
      <c r="B470" s="8"/>
      <c r="C470" s="13"/>
      <c r="E470" s="14"/>
      <c r="F470" s="14"/>
      <c r="G470" s="68"/>
      <c r="AU470" s="1"/>
    </row>
    <row r="471" spans="1:47" customFormat="1" x14ac:dyDescent="0.25">
      <c r="A471" s="8"/>
      <c r="B471" s="8"/>
      <c r="C471" s="13"/>
      <c r="E471" s="14"/>
      <c r="F471" s="14"/>
      <c r="G471" s="68"/>
      <c r="AU471" s="1"/>
    </row>
    <row r="472" spans="1:47" customFormat="1" x14ac:dyDescent="0.25">
      <c r="A472" s="8"/>
      <c r="B472" s="8"/>
      <c r="C472" s="13"/>
      <c r="E472" s="14"/>
      <c r="F472" s="14"/>
      <c r="G472" s="68"/>
      <c r="AU472" s="1"/>
    </row>
    <row r="473" spans="1:47" customFormat="1" x14ac:dyDescent="0.25">
      <c r="A473" s="8"/>
      <c r="B473" s="8"/>
      <c r="C473" s="13"/>
      <c r="E473" s="14"/>
      <c r="F473" s="14"/>
      <c r="G473" s="68"/>
      <c r="AU473" s="1"/>
    </row>
    <row r="474" spans="1:47" customFormat="1" x14ac:dyDescent="0.25">
      <c r="A474" s="8"/>
      <c r="B474" s="8"/>
      <c r="C474" s="13"/>
      <c r="E474" s="14"/>
      <c r="F474" s="14"/>
      <c r="G474" s="68"/>
      <c r="AU474" s="1"/>
    </row>
    <row r="475" spans="1:47" customFormat="1" x14ac:dyDescent="0.25">
      <c r="A475" s="8"/>
      <c r="B475" s="8"/>
      <c r="C475" s="13"/>
      <c r="E475" s="14"/>
      <c r="F475" s="14"/>
      <c r="G475" s="68"/>
      <c r="AU475" s="1"/>
    </row>
    <row r="476" spans="1:47" customFormat="1" x14ac:dyDescent="0.25">
      <c r="A476" s="8"/>
      <c r="B476" s="8"/>
      <c r="C476" s="13"/>
      <c r="E476" s="14"/>
      <c r="F476" s="14"/>
      <c r="G476" s="68"/>
      <c r="AU476" s="1"/>
    </row>
    <row r="477" spans="1:47" customFormat="1" x14ac:dyDescent="0.25">
      <c r="A477" s="8"/>
      <c r="B477" s="8"/>
      <c r="C477" s="13"/>
      <c r="E477" s="14"/>
      <c r="F477" s="14"/>
      <c r="G477" s="68"/>
      <c r="AU477" s="1"/>
    </row>
    <row r="478" spans="1:47" customFormat="1" x14ac:dyDescent="0.25">
      <c r="A478" s="8"/>
      <c r="B478" s="8"/>
      <c r="C478" s="13"/>
      <c r="E478" s="14"/>
      <c r="F478" s="14"/>
      <c r="G478" s="68"/>
      <c r="AU478" s="1"/>
    </row>
    <row r="479" spans="1:47" customFormat="1" x14ac:dyDescent="0.25">
      <c r="A479" s="8"/>
      <c r="B479" s="8"/>
      <c r="C479" s="13"/>
      <c r="E479" s="14"/>
      <c r="F479" s="14"/>
      <c r="G479" s="68"/>
      <c r="AU479" s="1"/>
    </row>
    <row r="480" spans="1:47" customFormat="1" x14ac:dyDescent="0.25">
      <c r="A480" s="8"/>
      <c r="B480" s="8"/>
      <c r="C480" s="13"/>
      <c r="E480" s="14"/>
      <c r="F480" s="14"/>
      <c r="G480" s="68"/>
      <c r="AU480" s="1"/>
    </row>
    <row r="481" spans="1:47" customFormat="1" x14ac:dyDescent="0.25">
      <c r="A481" s="8"/>
      <c r="B481" s="8"/>
      <c r="C481" s="13"/>
      <c r="E481" s="14"/>
      <c r="F481" s="14"/>
      <c r="G481" s="68"/>
      <c r="AU481" s="1"/>
    </row>
    <row r="482" spans="1:47" customFormat="1" x14ac:dyDescent="0.25">
      <c r="A482" s="8"/>
      <c r="B482" s="8"/>
      <c r="C482" s="13"/>
      <c r="E482" s="14"/>
      <c r="F482" s="14"/>
      <c r="G482" s="68"/>
      <c r="AU482" s="1"/>
    </row>
    <row r="483" spans="1:47" customFormat="1" x14ac:dyDescent="0.25">
      <c r="A483" s="8"/>
      <c r="B483" s="8"/>
      <c r="C483" s="13"/>
      <c r="E483" s="14"/>
      <c r="F483" s="14"/>
      <c r="G483" s="68"/>
      <c r="AU483" s="1"/>
    </row>
    <row r="484" spans="1:47" customFormat="1" x14ac:dyDescent="0.25">
      <c r="A484" s="8"/>
      <c r="B484" s="8"/>
      <c r="C484" s="13"/>
      <c r="E484" s="14"/>
      <c r="F484" s="14"/>
      <c r="G484" s="68"/>
      <c r="AU484" s="1"/>
    </row>
    <row r="485" spans="1:47" customFormat="1" x14ac:dyDescent="0.25">
      <c r="A485" s="8"/>
      <c r="B485" s="8"/>
      <c r="C485" s="13"/>
      <c r="E485" s="14"/>
      <c r="F485" s="14"/>
      <c r="G485" s="68"/>
      <c r="AU485" s="1"/>
    </row>
    <row r="486" spans="1:47" customFormat="1" x14ac:dyDescent="0.25">
      <c r="A486" s="8"/>
      <c r="B486" s="8"/>
      <c r="C486" s="13"/>
      <c r="E486" s="14"/>
      <c r="F486" s="14"/>
      <c r="G486" s="68"/>
      <c r="AU486" s="1"/>
    </row>
    <row r="487" spans="1:47" customFormat="1" x14ac:dyDescent="0.25">
      <c r="A487" s="8"/>
      <c r="B487" s="8"/>
      <c r="C487" s="13"/>
      <c r="E487" s="14"/>
      <c r="F487" s="14"/>
      <c r="G487" s="68"/>
      <c r="AU487" s="1"/>
    </row>
    <row r="488" spans="1:47" customFormat="1" x14ac:dyDescent="0.25">
      <c r="A488" s="8"/>
      <c r="B488" s="8"/>
      <c r="C488" s="13"/>
      <c r="E488" s="14"/>
      <c r="F488" s="14"/>
      <c r="G488" s="68"/>
      <c r="AU488" s="1"/>
    </row>
    <row r="489" spans="1:47" customFormat="1" x14ac:dyDescent="0.25">
      <c r="A489" s="8"/>
      <c r="B489" s="8"/>
      <c r="C489" s="13"/>
      <c r="E489" s="14"/>
      <c r="F489" s="14"/>
      <c r="G489" s="68"/>
      <c r="AU489" s="1"/>
    </row>
    <row r="490" spans="1:47" customFormat="1" x14ac:dyDescent="0.25">
      <c r="A490" s="8"/>
      <c r="B490" s="8"/>
      <c r="C490" s="13"/>
      <c r="E490" s="14"/>
      <c r="F490" s="14"/>
      <c r="G490" s="68"/>
      <c r="AU490" s="1"/>
    </row>
    <row r="491" spans="1:47" customFormat="1" x14ac:dyDescent="0.25">
      <c r="A491" s="8"/>
      <c r="B491" s="8"/>
      <c r="C491" s="13"/>
      <c r="E491" s="14"/>
      <c r="F491" s="14"/>
      <c r="G491" s="68"/>
      <c r="AU491" s="1"/>
    </row>
    <row r="492" spans="1:47" customFormat="1" x14ac:dyDescent="0.25">
      <c r="A492" s="8"/>
      <c r="B492" s="8"/>
      <c r="C492" s="13"/>
      <c r="E492" s="14"/>
      <c r="F492" s="14"/>
      <c r="G492" s="68"/>
      <c r="AU492" s="1"/>
    </row>
    <row r="493" spans="1:47" customFormat="1" x14ac:dyDescent="0.25">
      <c r="A493" s="8"/>
      <c r="B493" s="8"/>
      <c r="C493" s="13"/>
      <c r="E493" s="14"/>
      <c r="F493" s="14"/>
      <c r="G493" s="68"/>
      <c r="AU493" s="1"/>
    </row>
    <row r="494" spans="1:47" customFormat="1" x14ac:dyDescent="0.25">
      <c r="A494" s="8"/>
      <c r="B494" s="8"/>
      <c r="C494" s="13"/>
      <c r="E494" s="14"/>
      <c r="F494" s="14"/>
      <c r="G494" s="68"/>
      <c r="AU494" s="1"/>
    </row>
    <row r="495" spans="1:47" customFormat="1" x14ac:dyDescent="0.25">
      <c r="A495" s="8"/>
      <c r="B495" s="8"/>
      <c r="C495" s="13"/>
      <c r="E495" s="14"/>
      <c r="F495" s="14"/>
      <c r="G495" s="68"/>
      <c r="AU495" s="1"/>
    </row>
    <row r="496" spans="1:47" customFormat="1" x14ac:dyDescent="0.25">
      <c r="A496" s="8"/>
      <c r="B496" s="8"/>
      <c r="C496" s="13"/>
      <c r="E496" s="14"/>
      <c r="F496" s="14"/>
      <c r="G496" s="68"/>
      <c r="AU496" s="1"/>
    </row>
    <row r="497" spans="1:47" customFormat="1" x14ac:dyDescent="0.25">
      <c r="A497" s="8"/>
      <c r="B497" s="8"/>
      <c r="C497" s="13"/>
      <c r="E497" s="14"/>
      <c r="F497" s="14"/>
      <c r="G497" s="68"/>
      <c r="AU497" s="1"/>
    </row>
    <row r="498" spans="1:47" customFormat="1" x14ac:dyDescent="0.25">
      <c r="A498" s="8"/>
      <c r="B498" s="8"/>
      <c r="C498" s="13"/>
      <c r="E498" s="14"/>
      <c r="F498" s="14"/>
      <c r="G498" s="68"/>
      <c r="AU498" s="1"/>
    </row>
    <row r="499" spans="1:47" customFormat="1" x14ac:dyDescent="0.25">
      <c r="A499" s="8"/>
      <c r="B499" s="8"/>
      <c r="C499" s="13"/>
      <c r="E499" s="14"/>
      <c r="F499" s="14"/>
      <c r="G499" s="68"/>
      <c r="AU499" s="1"/>
    </row>
    <row r="500" spans="1:47" customFormat="1" x14ac:dyDescent="0.25">
      <c r="A500" s="8"/>
      <c r="B500" s="8"/>
      <c r="C500" s="13"/>
      <c r="E500" s="14"/>
      <c r="F500" s="14"/>
      <c r="G500" s="68"/>
      <c r="AU500" s="1"/>
    </row>
    <row r="501" spans="1:47" customFormat="1" x14ac:dyDescent="0.25">
      <c r="A501" s="8"/>
      <c r="B501" s="8"/>
      <c r="C501" s="13"/>
      <c r="E501" s="14"/>
      <c r="F501" s="14"/>
      <c r="G501" s="68"/>
      <c r="AU501" s="1"/>
    </row>
    <row r="502" spans="1:47" customFormat="1" x14ac:dyDescent="0.25">
      <c r="A502" s="8"/>
      <c r="B502" s="8"/>
      <c r="C502" s="13"/>
      <c r="E502" s="14"/>
      <c r="F502" s="14"/>
      <c r="G502" s="68"/>
      <c r="AU502" s="1"/>
    </row>
    <row r="503" spans="1:47" customFormat="1" x14ac:dyDescent="0.25">
      <c r="A503" s="8"/>
      <c r="B503" s="8"/>
      <c r="C503" s="13"/>
      <c r="E503" s="14"/>
      <c r="F503" s="14"/>
      <c r="G503" s="68"/>
      <c r="AU503" s="1"/>
    </row>
    <row r="504" spans="1:47" customFormat="1" x14ac:dyDescent="0.25">
      <c r="A504" s="8"/>
      <c r="B504" s="8"/>
      <c r="C504" s="13"/>
      <c r="E504" s="14"/>
      <c r="F504" s="14"/>
      <c r="G504" s="68"/>
      <c r="AU504" s="1"/>
    </row>
    <row r="505" spans="1:47" customFormat="1" x14ac:dyDescent="0.25">
      <c r="A505" s="8"/>
      <c r="B505" s="8"/>
      <c r="C505" s="13"/>
      <c r="E505" s="14"/>
      <c r="F505" s="14"/>
      <c r="G505" s="68"/>
      <c r="AU505" s="1"/>
    </row>
    <row r="506" spans="1:47" customFormat="1" x14ac:dyDescent="0.25">
      <c r="A506" s="8"/>
      <c r="B506" s="8"/>
      <c r="C506" s="13"/>
      <c r="E506" s="14"/>
      <c r="F506" s="14"/>
      <c r="G506" s="68"/>
      <c r="AU506" s="1"/>
    </row>
    <row r="507" spans="1:47" customFormat="1" x14ac:dyDescent="0.25">
      <c r="A507" s="8"/>
      <c r="B507" s="8"/>
      <c r="C507" s="13"/>
      <c r="E507" s="14"/>
      <c r="F507" s="14"/>
      <c r="G507" s="68"/>
      <c r="AU507" s="1"/>
    </row>
    <row r="508" spans="1:47" customFormat="1" x14ac:dyDescent="0.25">
      <c r="A508" s="8"/>
      <c r="B508" s="8"/>
      <c r="C508" s="13"/>
      <c r="E508" s="14"/>
      <c r="F508" s="14"/>
      <c r="G508" s="68"/>
      <c r="AU508" s="1"/>
    </row>
    <row r="509" spans="1:47" customFormat="1" x14ac:dyDescent="0.25">
      <c r="A509" s="8"/>
      <c r="B509" s="8"/>
      <c r="C509" s="13"/>
      <c r="E509" s="14"/>
      <c r="F509" s="14"/>
      <c r="G509" s="68"/>
      <c r="AU509" s="1"/>
    </row>
    <row r="510" spans="1:47" customFormat="1" x14ac:dyDescent="0.25">
      <c r="A510" s="8"/>
      <c r="B510" s="8"/>
      <c r="C510" s="13"/>
      <c r="E510" s="14"/>
      <c r="F510" s="14"/>
      <c r="G510" s="68"/>
      <c r="AU510" s="1"/>
    </row>
    <row r="511" spans="1:47" customFormat="1" x14ac:dyDescent="0.25">
      <c r="A511" s="8"/>
      <c r="B511" s="8"/>
      <c r="C511" s="13"/>
      <c r="E511" s="14"/>
      <c r="F511" s="14"/>
      <c r="G511" s="68"/>
      <c r="AU511" s="1"/>
    </row>
    <row r="512" spans="1:47" customFormat="1" x14ac:dyDescent="0.25">
      <c r="A512" s="8"/>
      <c r="B512" s="8"/>
      <c r="C512" s="13"/>
      <c r="E512" s="14"/>
      <c r="F512" s="14"/>
      <c r="G512" s="68"/>
      <c r="AU512" s="1"/>
    </row>
    <row r="513" spans="1:47" customFormat="1" x14ac:dyDescent="0.25">
      <c r="A513" s="8"/>
      <c r="B513" s="8"/>
      <c r="C513" s="13"/>
      <c r="E513" s="14"/>
      <c r="F513" s="14"/>
      <c r="G513" s="68"/>
      <c r="AU513" s="1"/>
    </row>
    <row r="514" spans="1:47" customFormat="1" x14ac:dyDescent="0.25">
      <c r="A514" s="8"/>
      <c r="B514" s="8"/>
      <c r="C514" s="13"/>
      <c r="E514" s="14"/>
      <c r="F514" s="14"/>
      <c r="G514" s="68"/>
      <c r="AU514" s="1"/>
    </row>
    <row r="515" spans="1:47" customFormat="1" x14ac:dyDescent="0.25">
      <c r="A515" s="8"/>
      <c r="B515" s="8"/>
      <c r="C515" s="13"/>
      <c r="E515" s="14"/>
      <c r="F515" s="14"/>
      <c r="G515" s="68"/>
      <c r="AU515" s="1"/>
    </row>
    <row r="516" spans="1:47" customFormat="1" x14ac:dyDescent="0.25">
      <c r="A516" s="8"/>
      <c r="B516" s="8"/>
      <c r="C516" s="13"/>
      <c r="E516" s="14"/>
      <c r="F516" s="14"/>
      <c r="G516" s="68"/>
      <c r="AU516" s="1"/>
    </row>
    <row r="517" spans="1:47" customFormat="1" x14ac:dyDescent="0.25">
      <c r="A517" s="8"/>
      <c r="B517" s="8"/>
      <c r="C517" s="13"/>
      <c r="E517" s="14"/>
      <c r="F517" s="14"/>
      <c r="G517" s="68"/>
      <c r="AU517" s="1"/>
    </row>
    <row r="518" spans="1:47" customFormat="1" x14ac:dyDescent="0.25">
      <c r="A518" s="8"/>
      <c r="B518" s="8"/>
      <c r="C518" s="13"/>
      <c r="E518" s="14"/>
      <c r="F518" s="14"/>
      <c r="G518" s="68"/>
      <c r="AU518" s="1"/>
    </row>
    <row r="519" spans="1:47" customFormat="1" x14ac:dyDescent="0.25">
      <c r="A519" s="8"/>
      <c r="B519" s="8"/>
      <c r="C519" s="13"/>
      <c r="E519" s="14"/>
      <c r="F519" s="14"/>
      <c r="G519" s="68"/>
      <c r="AU519" s="1"/>
    </row>
    <row r="520" spans="1:47" customFormat="1" x14ac:dyDescent="0.25">
      <c r="A520" s="8"/>
      <c r="B520" s="8"/>
      <c r="C520" s="13"/>
      <c r="E520" s="14"/>
      <c r="F520" s="14"/>
      <c r="G520" s="68"/>
      <c r="AU520" s="1"/>
    </row>
    <row r="521" spans="1:47" customFormat="1" x14ac:dyDescent="0.25">
      <c r="A521" s="8"/>
      <c r="B521" s="8"/>
      <c r="C521" s="13"/>
      <c r="E521" s="14"/>
      <c r="F521" s="14"/>
      <c r="G521" s="68"/>
      <c r="AU521" s="1"/>
    </row>
    <row r="522" spans="1:47" customFormat="1" x14ac:dyDescent="0.25">
      <c r="A522" s="8"/>
      <c r="B522" s="8"/>
      <c r="C522" s="13"/>
      <c r="E522" s="14"/>
      <c r="F522" s="14"/>
      <c r="G522" s="68"/>
      <c r="AU522" s="1"/>
    </row>
    <row r="523" spans="1:47" customFormat="1" x14ac:dyDescent="0.25">
      <c r="A523" s="8"/>
      <c r="B523" s="8"/>
      <c r="C523" s="13"/>
      <c r="E523" s="14"/>
      <c r="F523" s="14"/>
      <c r="G523" s="68"/>
      <c r="AU523" s="1"/>
    </row>
    <row r="524" spans="1:47" customFormat="1" x14ac:dyDescent="0.25">
      <c r="A524" s="8"/>
      <c r="B524" s="8"/>
      <c r="C524" s="13"/>
      <c r="E524" s="14"/>
      <c r="F524" s="14"/>
      <c r="G524" s="68"/>
      <c r="AU524" s="1"/>
    </row>
    <row r="525" spans="1:47" customFormat="1" x14ac:dyDescent="0.25">
      <c r="A525" s="8"/>
      <c r="B525" s="8"/>
      <c r="C525" s="13"/>
      <c r="E525" s="14"/>
      <c r="F525" s="14"/>
      <c r="G525" s="68"/>
      <c r="AU525" s="1"/>
    </row>
    <row r="526" spans="1:47" customFormat="1" x14ac:dyDescent="0.25">
      <c r="A526" s="8"/>
      <c r="B526" s="8"/>
      <c r="C526" s="13"/>
      <c r="E526" s="14"/>
      <c r="F526" s="14"/>
      <c r="G526" s="68"/>
      <c r="AU526" s="1"/>
    </row>
    <row r="527" spans="1:47" customFormat="1" x14ac:dyDescent="0.25">
      <c r="A527" s="8"/>
      <c r="B527" s="8"/>
      <c r="C527" s="13"/>
      <c r="E527" s="14"/>
      <c r="F527" s="14"/>
      <c r="G527" s="68"/>
      <c r="AU527" s="1"/>
    </row>
    <row r="528" spans="1:47" customFormat="1" x14ac:dyDescent="0.25">
      <c r="A528" s="8"/>
      <c r="B528" s="8"/>
      <c r="C528" s="13"/>
      <c r="E528" s="14"/>
      <c r="F528" s="14"/>
      <c r="G528" s="68"/>
      <c r="AU528" s="1"/>
    </row>
    <row r="529" spans="1:47" customFormat="1" x14ac:dyDescent="0.25">
      <c r="A529" s="8"/>
      <c r="B529" s="8"/>
      <c r="C529" s="13"/>
      <c r="E529" s="14"/>
      <c r="F529" s="14"/>
      <c r="G529" s="68"/>
      <c r="AU529" s="1"/>
    </row>
    <row r="530" spans="1:47" customFormat="1" x14ac:dyDescent="0.25">
      <c r="A530" s="8"/>
      <c r="B530" s="8"/>
      <c r="C530" s="13"/>
      <c r="E530" s="14"/>
      <c r="F530" s="14"/>
      <c r="G530" s="68"/>
      <c r="AU530" s="1"/>
    </row>
    <row r="531" spans="1:47" customFormat="1" x14ac:dyDescent="0.25">
      <c r="A531" s="8"/>
      <c r="B531" s="8"/>
      <c r="C531" s="13"/>
      <c r="E531" s="14"/>
      <c r="F531" s="14"/>
      <c r="G531" s="68"/>
      <c r="AU531" s="1"/>
    </row>
    <row r="532" spans="1:47" customFormat="1" x14ac:dyDescent="0.25">
      <c r="A532" s="8"/>
      <c r="B532" s="8"/>
      <c r="C532" s="13"/>
      <c r="E532" s="14"/>
      <c r="F532" s="14"/>
      <c r="G532" s="68"/>
      <c r="AU532" s="1"/>
    </row>
    <row r="533" spans="1:47" customFormat="1" x14ac:dyDescent="0.25">
      <c r="A533" s="8"/>
      <c r="B533" s="8"/>
      <c r="C533" s="13"/>
      <c r="E533" s="14"/>
      <c r="F533" s="14"/>
      <c r="G533" s="68"/>
      <c r="AU533" s="1"/>
    </row>
    <row r="534" spans="1:47" customFormat="1" x14ac:dyDescent="0.25">
      <c r="A534" s="8"/>
      <c r="B534" s="8"/>
      <c r="C534" s="13"/>
      <c r="E534" s="14"/>
      <c r="F534" s="14"/>
      <c r="G534" s="68"/>
      <c r="AU534" s="1"/>
    </row>
    <row r="535" spans="1:47" customFormat="1" x14ac:dyDescent="0.25">
      <c r="A535" s="8"/>
      <c r="B535" s="8"/>
      <c r="C535" s="13"/>
      <c r="E535" s="14"/>
      <c r="F535" s="14"/>
      <c r="G535" s="68"/>
      <c r="AU535" s="1"/>
    </row>
    <row r="536" spans="1:47" customFormat="1" x14ac:dyDescent="0.25">
      <c r="A536" s="8"/>
      <c r="B536" s="8"/>
      <c r="C536" s="13"/>
      <c r="E536" s="14"/>
      <c r="F536" s="14"/>
      <c r="G536" s="68"/>
      <c r="AU536" s="1"/>
    </row>
    <row r="537" spans="1:47" customFormat="1" x14ac:dyDescent="0.25">
      <c r="A537" s="8"/>
      <c r="B537" s="8"/>
      <c r="C537" s="13"/>
      <c r="E537" s="14"/>
      <c r="F537" s="14"/>
      <c r="G537" s="68"/>
      <c r="AU537" s="1"/>
    </row>
    <row r="538" spans="1:47" customFormat="1" x14ac:dyDescent="0.25">
      <c r="A538" s="8"/>
      <c r="B538" s="8"/>
      <c r="C538" s="13"/>
      <c r="E538" s="14"/>
      <c r="F538" s="14"/>
      <c r="G538" s="68"/>
      <c r="AU538" s="1"/>
    </row>
    <row r="539" spans="1:47" customFormat="1" x14ac:dyDescent="0.25">
      <c r="A539" s="8"/>
      <c r="B539" s="8"/>
      <c r="C539" s="13"/>
      <c r="E539" s="14"/>
      <c r="F539" s="14"/>
      <c r="G539" s="68"/>
      <c r="AU539" s="1"/>
    </row>
    <row r="540" spans="1:47" customFormat="1" x14ac:dyDescent="0.25">
      <c r="A540" s="8"/>
      <c r="B540" s="8"/>
      <c r="C540" s="13"/>
      <c r="E540" s="14"/>
      <c r="F540" s="14"/>
      <c r="G540" s="68"/>
      <c r="AU540" s="1"/>
    </row>
    <row r="541" spans="1:47" customFormat="1" x14ac:dyDescent="0.25">
      <c r="A541" s="8"/>
      <c r="B541" s="8"/>
      <c r="C541" s="13"/>
      <c r="E541" s="14"/>
      <c r="F541" s="14"/>
      <c r="G541" s="68"/>
      <c r="AU541" s="1"/>
    </row>
    <row r="542" spans="1:47" customFormat="1" x14ac:dyDescent="0.25">
      <c r="A542" s="8"/>
      <c r="B542" s="8"/>
      <c r="C542" s="13"/>
      <c r="E542" s="14"/>
      <c r="F542" s="14"/>
      <c r="G542" s="68"/>
      <c r="AU542" s="1"/>
    </row>
    <row r="543" spans="1:47" customFormat="1" x14ac:dyDescent="0.25">
      <c r="A543" s="8"/>
      <c r="B543" s="8"/>
      <c r="C543" s="13"/>
      <c r="E543" s="14"/>
      <c r="F543" s="14"/>
      <c r="G543" s="68"/>
      <c r="AU543" s="1"/>
    </row>
    <row r="544" spans="1:47" customFormat="1" x14ac:dyDescent="0.25">
      <c r="A544" s="8"/>
      <c r="B544" s="8"/>
      <c r="C544" s="13"/>
      <c r="E544" s="14"/>
      <c r="F544" s="14"/>
      <c r="G544" s="68"/>
      <c r="AU544" s="1"/>
    </row>
    <row r="545" spans="1:47" customFormat="1" x14ac:dyDescent="0.25">
      <c r="A545" s="8"/>
      <c r="B545" s="8"/>
      <c r="C545" s="13"/>
      <c r="E545" s="14"/>
      <c r="F545" s="14"/>
      <c r="G545" s="68"/>
      <c r="AU545" s="1"/>
    </row>
    <row r="546" spans="1:47" customFormat="1" x14ac:dyDescent="0.25">
      <c r="A546" s="8"/>
      <c r="B546" s="8"/>
      <c r="C546" s="13"/>
      <c r="E546" s="14"/>
      <c r="F546" s="14"/>
      <c r="G546" s="68"/>
      <c r="AU546" s="1"/>
    </row>
    <row r="547" spans="1:47" customFormat="1" x14ac:dyDescent="0.25">
      <c r="A547" s="8"/>
      <c r="B547" s="8"/>
      <c r="C547" s="13"/>
      <c r="E547" s="14"/>
      <c r="F547" s="14"/>
      <c r="G547" s="68"/>
      <c r="AU547" s="1"/>
    </row>
    <row r="548" spans="1:47" customFormat="1" x14ac:dyDescent="0.25">
      <c r="A548" s="8"/>
      <c r="B548" s="8"/>
      <c r="C548" s="13"/>
      <c r="E548" s="14"/>
      <c r="F548" s="14"/>
      <c r="G548" s="68"/>
      <c r="AU548" s="1"/>
    </row>
    <row r="549" spans="1:47" customFormat="1" x14ac:dyDescent="0.25">
      <c r="A549" s="8"/>
      <c r="B549" s="8"/>
      <c r="C549" s="13"/>
      <c r="E549" s="14"/>
      <c r="F549" s="14"/>
      <c r="G549" s="68"/>
      <c r="AU549" s="1"/>
    </row>
    <row r="550" spans="1:47" customFormat="1" x14ac:dyDescent="0.25">
      <c r="A550" s="8"/>
      <c r="B550" s="8"/>
      <c r="C550" s="13"/>
      <c r="E550" s="14"/>
      <c r="F550" s="14"/>
      <c r="G550" s="68"/>
      <c r="AU550" s="1"/>
    </row>
    <row r="551" spans="1:47" customFormat="1" x14ac:dyDescent="0.25">
      <c r="A551" s="8"/>
      <c r="B551" s="8"/>
      <c r="C551" s="13"/>
      <c r="E551" s="14"/>
      <c r="F551" s="14"/>
      <c r="G551" s="68"/>
      <c r="AU551" s="1"/>
    </row>
    <row r="552" spans="1:47" customFormat="1" x14ac:dyDescent="0.25">
      <c r="A552" s="8"/>
      <c r="B552" s="8"/>
      <c r="C552" s="13"/>
      <c r="E552" s="14"/>
      <c r="F552" s="14"/>
      <c r="G552" s="68"/>
      <c r="AU552" s="1"/>
    </row>
    <row r="553" spans="1:47" customFormat="1" x14ac:dyDescent="0.25">
      <c r="A553" s="8"/>
      <c r="B553" s="8"/>
      <c r="C553" s="13"/>
      <c r="E553" s="14"/>
      <c r="F553" s="14"/>
      <c r="G553" s="68"/>
      <c r="AU553" s="1"/>
    </row>
    <row r="554" spans="1:47" customFormat="1" x14ac:dyDescent="0.25">
      <c r="A554" s="8"/>
      <c r="B554" s="8"/>
      <c r="C554" s="13"/>
      <c r="E554" s="14"/>
      <c r="F554" s="14"/>
      <c r="G554" s="68"/>
      <c r="AU554" s="1"/>
    </row>
    <row r="555" spans="1:47" customFormat="1" x14ac:dyDescent="0.25">
      <c r="A555" s="8"/>
      <c r="B555" s="8"/>
      <c r="C555" s="13"/>
      <c r="E555" s="14"/>
      <c r="F555" s="14"/>
      <c r="G555" s="68"/>
      <c r="AU555" s="1"/>
    </row>
    <row r="556" spans="1:47" customFormat="1" x14ac:dyDescent="0.25">
      <c r="A556" s="8"/>
      <c r="B556" s="8"/>
      <c r="C556" s="13"/>
      <c r="E556" s="14"/>
      <c r="F556" s="14"/>
      <c r="G556" s="68"/>
      <c r="AU556" s="1"/>
    </row>
    <row r="557" spans="1:47" customFormat="1" x14ac:dyDescent="0.25">
      <c r="A557" s="8"/>
      <c r="B557" s="8"/>
      <c r="C557" s="13"/>
      <c r="E557" s="14"/>
      <c r="F557" s="14"/>
      <c r="G557" s="68"/>
      <c r="AU557" s="1"/>
    </row>
    <row r="558" spans="1:47" customFormat="1" x14ac:dyDescent="0.25">
      <c r="A558" s="8"/>
      <c r="B558" s="8"/>
      <c r="C558" s="13"/>
      <c r="E558" s="14"/>
      <c r="F558" s="14"/>
      <c r="G558" s="68"/>
      <c r="AU558" s="1"/>
    </row>
    <row r="559" spans="1:47" customFormat="1" x14ac:dyDescent="0.25">
      <c r="A559" s="8"/>
      <c r="B559" s="8"/>
      <c r="C559" s="13"/>
      <c r="E559" s="14"/>
      <c r="F559" s="14"/>
      <c r="G559" s="68"/>
      <c r="AU559" s="1"/>
    </row>
    <row r="560" spans="1:47" customFormat="1" x14ac:dyDescent="0.25">
      <c r="A560" s="8"/>
      <c r="B560" s="8"/>
      <c r="C560" s="13"/>
      <c r="E560" s="14"/>
      <c r="F560" s="14"/>
      <c r="G560" s="68"/>
      <c r="AU560" s="1"/>
    </row>
    <row r="561" spans="1:47" customFormat="1" x14ac:dyDescent="0.25">
      <c r="A561" s="8"/>
      <c r="B561" s="8"/>
      <c r="C561" s="13"/>
      <c r="E561" s="14"/>
      <c r="F561" s="14"/>
      <c r="G561" s="68"/>
      <c r="AU561" s="1"/>
    </row>
    <row r="562" spans="1:47" customFormat="1" x14ac:dyDescent="0.25">
      <c r="A562" s="8"/>
      <c r="B562" s="8"/>
      <c r="C562" s="13"/>
      <c r="E562" s="14"/>
      <c r="F562" s="14"/>
      <c r="G562" s="68"/>
      <c r="AU562" s="1"/>
    </row>
    <row r="563" spans="1:47" customFormat="1" x14ac:dyDescent="0.25">
      <c r="A563" s="8"/>
      <c r="B563" s="8"/>
      <c r="C563" s="13"/>
      <c r="E563" s="14"/>
      <c r="F563" s="14"/>
      <c r="G563" s="68"/>
      <c r="AU563" s="1"/>
    </row>
    <row r="564" spans="1:47" customFormat="1" x14ac:dyDescent="0.25">
      <c r="A564" s="8"/>
      <c r="B564" s="8"/>
      <c r="C564" s="13"/>
      <c r="E564" s="14"/>
      <c r="F564" s="14"/>
      <c r="G564" s="68"/>
      <c r="AU564" s="1"/>
    </row>
    <row r="565" spans="1:47" customFormat="1" x14ac:dyDescent="0.25">
      <c r="A565" s="8"/>
      <c r="B565" s="8"/>
      <c r="C565" s="13"/>
      <c r="E565" s="14"/>
      <c r="F565" s="14"/>
      <c r="G565" s="68"/>
      <c r="AU565" s="1"/>
    </row>
    <row r="566" spans="1:47" customFormat="1" x14ac:dyDescent="0.25">
      <c r="A566" s="8"/>
      <c r="B566" s="8"/>
      <c r="C566" s="13"/>
      <c r="E566" s="14"/>
      <c r="F566" s="14"/>
      <c r="G566" s="68"/>
      <c r="AU566" s="1"/>
    </row>
    <row r="567" spans="1:47" customFormat="1" x14ac:dyDescent="0.25">
      <c r="A567" s="8"/>
      <c r="B567" s="8"/>
      <c r="C567" s="13"/>
      <c r="E567" s="14"/>
      <c r="F567" s="14"/>
      <c r="G567" s="68"/>
      <c r="AU567" s="1"/>
    </row>
    <row r="568" spans="1:47" customFormat="1" x14ac:dyDescent="0.25">
      <c r="A568" s="8"/>
      <c r="B568" s="8"/>
      <c r="C568" s="13"/>
      <c r="E568" s="14"/>
      <c r="F568" s="14"/>
      <c r="G568" s="68"/>
      <c r="AU568" s="1"/>
    </row>
    <row r="569" spans="1:47" customFormat="1" x14ac:dyDescent="0.25">
      <c r="A569" s="8"/>
      <c r="B569" s="8"/>
      <c r="C569" s="13"/>
      <c r="E569" s="14"/>
      <c r="F569" s="14"/>
      <c r="G569" s="68"/>
      <c r="AU569" s="1"/>
    </row>
    <row r="570" spans="1:47" customFormat="1" x14ac:dyDescent="0.25">
      <c r="A570" s="8"/>
      <c r="B570" s="8"/>
      <c r="C570" s="13"/>
      <c r="E570" s="14"/>
      <c r="F570" s="14"/>
      <c r="G570" s="68"/>
      <c r="AU570" s="1"/>
    </row>
    <row r="571" spans="1:47" customFormat="1" x14ac:dyDescent="0.25">
      <c r="A571" s="8"/>
      <c r="B571" s="8"/>
      <c r="C571" s="13"/>
      <c r="E571" s="14"/>
      <c r="F571" s="14"/>
      <c r="G571" s="68"/>
      <c r="AU571" s="1"/>
    </row>
    <row r="572" spans="1:47" customFormat="1" x14ac:dyDescent="0.25">
      <c r="A572" s="8"/>
      <c r="B572" s="8"/>
      <c r="C572" s="13"/>
      <c r="E572" s="14"/>
      <c r="F572" s="14"/>
      <c r="G572" s="68"/>
      <c r="AU572" s="1"/>
    </row>
    <row r="573" spans="1:47" customFormat="1" x14ac:dyDescent="0.25">
      <c r="A573" s="8"/>
      <c r="B573" s="8"/>
      <c r="C573" s="13"/>
      <c r="E573" s="14"/>
      <c r="F573" s="14"/>
      <c r="G573" s="68"/>
      <c r="AU573" s="1"/>
    </row>
    <row r="574" spans="1:47" customFormat="1" x14ac:dyDescent="0.25">
      <c r="A574" s="8"/>
      <c r="B574" s="8"/>
      <c r="C574" s="13"/>
      <c r="E574" s="14"/>
      <c r="F574" s="14"/>
      <c r="G574" s="68"/>
      <c r="AU574" s="1"/>
    </row>
    <row r="575" spans="1:47" customFormat="1" x14ac:dyDescent="0.25">
      <c r="A575" s="8"/>
      <c r="B575" s="8"/>
      <c r="C575" s="13"/>
      <c r="E575" s="14"/>
      <c r="F575" s="14"/>
      <c r="G575" s="68"/>
      <c r="AU575" s="1"/>
    </row>
    <row r="576" spans="1:47" customFormat="1" x14ac:dyDescent="0.25">
      <c r="A576" s="8"/>
      <c r="B576" s="8"/>
      <c r="C576" s="13"/>
      <c r="E576" s="14"/>
      <c r="F576" s="14"/>
      <c r="G576" s="68"/>
      <c r="AU576" s="1"/>
    </row>
    <row r="577" spans="1:47" customFormat="1" x14ac:dyDescent="0.25">
      <c r="A577" s="8"/>
      <c r="B577" s="8"/>
      <c r="C577" s="13"/>
      <c r="E577" s="14"/>
      <c r="F577" s="14"/>
      <c r="G577" s="68"/>
      <c r="AU577" s="1"/>
    </row>
    <row r="578" spans="1:47" customFormat="1" x14ac:dyDescent="0.25">
      <c r="A578" s="8"/>
      <c r="B578" s="8"/>
      <c r="C578" s="13"/>
      <c r="E578" s="14"/>
      <c r="F578" s="14"/>
      <c r="G578" s="68"/>
      <c r="AU578" s="1"/>
    </row>
    <row r="579" spans="1:47" customFormat="1" x14ac:dyDescent="0.25">
      <c r="A579" s="8"/>
      <c r="B579" s="8"/>
      <c r="C579" s="13"/>
      <c r="E579" s="14"/>
      <c r="F579" s="14"/>
      <c r="G579" s="68"/>
      <c r="AU579" s="1"/>
    </row>
    <row r="580" spans="1:47" customFormat="1" x14ac:dyDescent="0.25">
      <c r="A580" s="8"/>
      <c r="B580" s="8"/>
      <c r="C580" s="13"/>
      <c r="E580" s="14"/>
      <c r="F580" s="14"/>
      <c r="G580" s="68"/>
      <c r="AU580" s="1"/>
    </row>
    <row r="581" spans="1:47" customFormat="1" x14ac:dyDescent="0.25">
      <c r="A581" s="8"/>
      <c r="B581" s="8"/>
      <c r="C581" s="13"/>
      <c r="E581" s="14"/>
      <c r="F581" s="14"/>
      <c r="G581" s="68"/>
      <c r="AU581" s="1"/>
    </row>
    <row r="582" spans="1:47" customFormat="1" x14ac:dyDescent="0.25">
      <c r="A582" s="8"/>
      <c r="B582" s="8"/>
      <c r="C582" s="13"/>
      <c r="E582" s="14"/>
      <c r="F582" s="14"/>
      <c r="G582" s="68"/>
      <c r="AU582" s="1"/>
    </row>
    <row r="583" spans="1:47" customFormat="1" x14ac:dyDescent="0.25">
      <c r="A583" s="8"/>
      <c r="B583" s="8"/>
      <c r="C583" s="13"/>
      <c r="E583" s="14"/>
      <c r="F583" s="14"/>
      <c r="G583" s="68"/>
      <c r="AU583" s="1"/>
    </row>
    <row r="584" spans="1:47" customFormat="1" x14ac:dyDescent="0.25">
      <c r="A584" s="8"/>
      <c r="B584" s="8"/>
      <c r="C584" s="13"/>
      <c r="E584" s="14"/>
      <c r="F584" s="14"/>
      <c r="G584" s="68"/>
      <c r="AU584" s="1"/>
    </row>
    <row r="585" spans="1:47" customFormat="1" x14ac:dyDescent="0.25">
      <c r="A585" s="8"/>
      <c r="B585" s="8"/>
      <c r="C585" s="13"/>
      <c r="E585" s="14"/>
      <c r="F585" s="14"/>
      <c r="G585" s="68"/>
      <c r="AU585" s="1"/>
    </row>
    <row r="586" spans="1:47" customFormat="1" x14ac:dyDescent="0.25">
      <c r="A586" s="8"/>
      <c r="B586" s="8"/>
      <c r="C586" s="13"/>
      <c r="E586" s="14"/>
      <c r="F586" s="14"/>
      <c r="G586" s="68"/>
      <c r="AU586" s="1"/>
    </row>
    <row r="587" spans="1:47" customFormat="1" x14ac:dyDescent="0.25">
      <c r="A587" s="8"/>
      <c r="B587" s="8"/>
      <c r="C587" s="13"/>
      <c r="E587" s="14"/>
      <c r="F587" s="14"/>
      <c r="G587" s="68"/>
      <c r="AU587" s="1"/>
    </row>
    <row r="588" spans="1:47" customFormat="1" x14ac:dyDescent="0.25">
      <c r="A588" s="8"/>
      <c r="B588" s="8"/>
      <c r="C588" s="13"/>
      <c r="E588" s="14"/>
      <c r="F588" s="14"/>
      <c r="G588" s="68"/>
      <c r="AU588" s="1"/>
    </row>
    <row r="589" spans="1:47" customFormat="1" x14ac:dyDescent="0.25">
      <c r="A589" s="8"/>
      <c r="B589" s="8"/>
      <c r="C589" s="13"/>
      <c r="E589" s="14"/>
      <c r="F589" s="14"/>
      <c r="G589" s="68"/>
      <c r="AU589" s="1"/>
    </row>
    <row r="590" spans="1:47" customFormat="1" x14ac:dyDescent="0.25">
      <c r="A590" s="8"/>
      <c r="B590" s="8"/>
      <c r="C590" s="13"/>
      <c r="E590" s="14"/>
      <c r="F590" s="14"/>
      <c r="G590" s="68"/>
      <c r="AU590" s="1"/>
    </row>
    <row r="591" spans="1:47" customFormat="1" x14ac:dyDescent="0.25">
      <c r="A591" s="8"/>
      <c r="B591" s="8"/>
      <c r="C591" s="13"/>
      <c r="E591" s="14"/>
      <c r="F591" s="14"/>
      <c r="G591" s="68"/>
      <c r="AU591" s="1"/>
    </row>
    <row r="592" spans="1:47" customFormat="1" x14ac:dyDescent="0.25">
      <c r="A592" s="8"/>
      <c r="B592" s="8"/>
      <c r="C592" s="13"/>
      <c r="E592" s="14"/>
      <c r="F592" s="14"/>
      <c r="G592" s="68"/>
      <c r="AU592" s="1"/>
    </row>
    <row r="593" spans="1:47" customFormat="1" x14ac:dyDescent="0.25">
      <c r="A593" s="8"/>
      <c r="B593" s="8"/>
      <c r="C593" s="13"/>
      <c r="E593" s="14"/>
      <c r="F593" s="14"/>
      <c r="G593" s="68"/>
      <c r="AU593" s="1"/>
    </row>
    <row r="594" spans="1:47" customFormat="1" x14ac:dyDescent="0.25">
      <c r="A594" s="8"/>
      <c r="B594" s="8"/>
      <c r="C594" s="13"/>
      <c r="E594" s="14"/>
      <c r="F594" s="14"/>
      <c r="G594" s="68"/>
      <c r="AU594" s="1"/>
    </row>
    <row r="595" spans="1:47" customFormat="1" x14ac:dyDescent="0.25">
      <c r="A595" s="8"/>
      <c r="B595" s="8"/>
      <c r="C595" s="13"/>
      <c r="E595" s="14"/>
      <c r="F595" s="14"/>
      <c r="G595" s="68"/>
      <c r="AU595" s="1"/>
    </row>
    <row r="596" spans="1:47" customFormat="1" x14ac:dyDescent="0.25">
      <c r="A596" s="8"/>
      <c r="B596" s="8"/>
      <c r="C596" s="13"/>
      <c r="E596" s="14"/>
      <c r="F596" s="14"/>
      <c r="G596" s="68"/>
      <c r="AU596" s="1"/>
    </row>
    <row r="597" spans="1:47" customFormat="1" x14ac:dyDescent="0.25">
      <c r="A597" s="8"/>
      <c r="B597" s="8"/>
      <c r="C597" s="13"/>
      <c r="E597" s="14"/>
      <c r="F597" s="14"/>
      <c r="G597" s="68"/>
      <c r="AU597" s="1"/>
    </row>
    <row r="598" spans="1:47" customFormat="1" x14ac:dyDescent="0.25">
      <c r="A598" s="8"/>
      <c r="B598" s="8"/>
      <c r="C598" s="13"/>
      <c r="E598" s="14"/>
      <c r="F598" s="14"/>
      <c r="G598" s="68"/>
      <c r="AU598" s="1"/>
    </row>
    <row r="599" spans="1:47" customFormat="1" x14ac:dyDescent="0.25">
      <c r="A599" s="8"/>
      <c r="B599" s="8"/>
      <c r="C599" s="13"/>
      <c r="E599" s="14"/>
      <c r="F599" s="14"/>
      <c r="G599" s="68"/>
      <c r="AU599" s="1"/>
    </row>
    <row r="600" spans="1:47" customFormat="1" x14ac:dyDescent="0.25">
      <c r="A600" s="8"/>
      <c r="B600" s="8"/>
      <c r="C600" s="13"/>
      <c r="E600" s="14"/>
      <c r="F600" s="14"/>
      <c r="G600" s="68"/>
      <c r="AU600" s="1"/>
    </row>
    <row r="601" spans="1:47" customFormat="1" x14ac:dyDescent="0.25">
      <c r="A601" s="8"/>
      <c r="B601" s="8"/>
      <c r="C601" s="13"/>
      <c r="E601" s="14"/>
      <c r="F601" s="14"/>
      <c r="G601" s="68"/>
      <c r="AU601" s="1"/>
    </row>
    <row r="602" spans="1:47" customFormat="1" x14ac:dyDescent="0.25">
      <c r="A602" s="8"/>
      <c r="B602" s="8"/>
      <c r="C602" s="13"/>
      <c r="E602" s="14"/>
      <c r="F602" s="14"/>
      <c r="G602" s="68"/>
      <c r="AU602" s="1"/>
    </row>
    <row r="603" spans="1:47" customFormat="1" x14ac:dyDescent="0.25">
      <c r="A603" s="8"/>
      <c r="B603" s="8"/>
      <c r="C603" s="13"/>
      <c r="E603" s="14"/>
      <c r="F603" s="14"/>
      <c r="G603" s="68"/>
      <c r="AU603" s="1"/>
    </row>
    <row r="604" spans="1:47" customFormat="1" x14ac:dyDescent="0.25">
      <c r="A604" s="8"/>
      <c r="B604" s="8"/>
      <c r="C604" s="13"/>
      <c r="E604" s="14"/>
      <c r="F604" s="14"/>
      <c r="G604" s="68"/>
      <c r="AU604" s="1"/>
    </row>
    <row r="605" spans="1:47" customFormat="1" x14ac:dyDescent="0.25">
      <c r="A605" s="8"/>
      <c r="B605" s="8"/>
      <c r="C605" s="13"/>
      <c r="E605" s="14"/>
      <c r="F605" s="14"/>
      <c r="G605" s="68"/>
      <c r="AU605" s="1"/>
    </row>
    <row r="606" spans="1:47" customFormat="1" x14ac:dyDescent="0.25">
      <c r="A606" s="8"/>
      <c r="B606" s="8"/>
      <c r="C606" s="13"/>
      <c r="E606" s="14"/>
      <c r="F606" s="14"/>
      <c r="G606" s="68"/>
      <c r="AU606" s="1"/>
    </row>
    <row r="607" spans="1:47" customFormat="1" x14ac:dyDescent="0.25">
      <c r="A607" s="8"/>
      <c r="B607" s="8"/>
      <c r="C607" s="13"/>
      <c r="E607" s="14"/>
      <c r="F607" s="14"/>
      <c r="G607" s="68"/>
      <c r="AU607" s="1"/>
    </row>
    <row r="608" spans="1:47" customFormat="1" x14ac:dyDescent="0.25">
      <c r="A608" s="8"/>
      <c r="B608" s="8"/>
      <c r="C608" s="13"/>
      <c r="E608" s="14"/>
      <c r="F608" s="14"/>
      <c r="G608" s="68"/>
      <c r="AU608" s="1"/>
    </row>
    <row r="609" spans="1:47" customFormat="1" x14ac:dyDescent="0.25">
      <c r="A609" s="8"/>
      <c r="B609" s="8"/>
      <c r="C609" s="13"/>
      <c r="E609" s="14"/>
      <c r="F609" s="14"/>
      <c r="G609" s="68"/>
      <c r="AU609" s="1"/>
    </row>
    <row r="610" spans="1:47" customFormat="1" x14ac:dyDescent="0.25">
      <c r="A610" s="8"/>
      <c r="B610" s="8"/>
      <c r="C610" s="13"/>
      <c r="E610" s="14"/>
      <c r="F610" s="14"/>
      <c r="G610" s="68"/>
      <c r="AU610" s="1"/>
    </row>
    <row r="611" spans="1:47" customFormat="1" x14ac:dyDescent="0.25">
      <c r="A611" s="8"/>
      <c r="B611" s="8"/>
      <c r="C611" s="13"/>
      <c r="E611" s="14"/>
      <c r="F611" s="14"/>
      <c r="G611" s="68"/>
      <c r="AU611" s="1"/>
    </row>
    <row r="612" spans="1:47" customFormat="1" x14ac:dyDescent="0.25">
      <c r="A612" s="8"/>
      <c r="B612" s="8"/>
      <c r="C612" s="13"/>
      <c r="E612" s="14"/>
      <c r="F612" s="14"/>
      <c r="G612" s="68"/>
      <c r="AU612" s="1"/>
    </row>
    <row r="613" spans="1:47" customFormat="1" x14ac:dyDescent="0.25">
      <c r="A613" s="8"/>
      <c r="B613" s="8"/>
      <c r="C613" s="13"/>
      <c r="E613" s="14"/>
      <c r="F613" s="14"/>
      <c r="G613" s="68"/>
      <c r="AU613" s="1"/>
    </row>
    <row r="614" spans="1:47" customFormat="1" x14ac:dyDescent="0.25">
      <c r="A614" s="8"/>
      <c r="B614" s="8"/>
      <c r="C614" s="13"/>
      <c r="E614" s="14"/>
      <c r="F614" s="14"/>
      <c r="G614" s="68"/>
      <c r="AU614" s="1"/>
    </row>
    <row r="615" spans="1:47" customFormat="1" x14ac:dyDescent="0.25">
      <c r="A615" s="8"/>
      <c r="B615" s="8"/>
      <c r="C615" s="13"/>
      <c r="E615" s="14"/>
      <c r="F615" s="14"/>
      <c r="G615" s="68"/>
      <c r="AU615" s="1"/>
    </row>
    <row r="616" spans="1:47" customFormat="1" x14ac:dyDescent="0.25">
      <c r="A616" s="8"/>
      <c r="B616" s="8"/>
      <c r="C616" s="13"/>
      <c r="E616" s="14"/>
      <c r="F616" s="14"/>
      <c r="G616" s="68"/>
      <c r="AU616" s="1"/>
    </row>
    <row r="617" spans="1:47" customFormat="1" x14ac:dyDescent="0.25">
      <c r="A617" s="8"/>
      <c r="B617" s="8"/>
      <c r="C617" s="13"/>
      <c r="E617" s="14"/>
      <c r="F617" s="14"/>
      <c r="G617" s="68"/>
      <c r="AU617" s="1"/>
    </row>
    <row r="618" spans="1:47" customFormat="1" x14ac:dyDescent="0.25">
      <c r="A618" s="8"/>
      <c r="B618" s="8"/>
      <c r="C618" s="13"/>
      <c r="E618" s="14"/>
      <c r="F618" s="14"/>
      <c r="G618" s="68"/>
      <c r="AU618" s="1"/>
    </row>
    <row r="619" spans="1:47" customFormat="1" x14ac:dyDescent="0.25">
      <c r="A619" s="8"/>
      <c r="B619" s="8"/>
      <c r="C619" s="13"/>
      <c r="E619" s="14"/>
      <c r="F619" s="14"/>
      <c r="G619" s="68"/>
      <c r="AU619" s="1"/>
    </row>
    <row r="620" spans="1:47" customFormat="1" x14ac:dyDescent="0.25">
      <c r="A620" s="8"/>
      <c r="B620" s="8"/>
      <c r="C620" s="13"/>
      <c r="E620" s="14"/>
      <c r="F620" s="14"/>
      <c r="G620" s="68"/>
      <c r="AU620" s="1"/>
    </row>
    <row r="621" spans="1:47" customFormat="1" x14ac:dyDescent="0.25">
      <c r="A621" s="8"/>
      <c r="B621" s="8"/>
      <c r="C621" s="13"/>
      <c r="E621" s="14"/>
      <c r="F621" s="14"/>
      <c r="G621" s="68"/>
      <c r="AU621" s="1"/>
    </row>
    <row r="622" spans="1:47" customFormat="1" x14ac:dyDescent="0.25">
      <c r="A622" s="8"/>
      <c r="B622" s="8"/>
      <c r="C622" s="13"/>
      <c r="E622" s="14"/>
      <c r="F622" s="14"/>
      <c r="G622" s="68"/>
      <c r="AU622" s="1"/>
    </row>
    <row r="623" spans="1:47" customFormat="1" x14ac:dyDescent="0.25">
      <c r="A623" s="8"/>
      <c r="B623" s="8"/>
      <c r="C623" s="13"/>
      <c r="E623" s="14"/>
      <c r="F623" s="14"/>
      <c r="G623" s="68"/>
      <c r="AU623" s="1"/>
    </row>
    <row r="624" spans="1:47" customFormat="1" x14ac:dyDescent="0.25">
      <c r="A624" s="8"/>
      <c r="B624" s="8"/>
      <c r="C624" s="13"/>
      <c r="E624" s="14"/>
      <c r="F624" s="14"/>
      <c r="G624" s="68"/>
      <c r="AU624" s="1"/>
    </row>
    <row r="625" spans="1:47" customFormat="1" x14ac:dyDescent="0.25">
      <c r="A625" s="8"/>
      <c r="B625" s="8"/>
      <c r="C625" s="13"/>
      <c r="E625" s="14"/>
      <c r="F625" s="14"/>
      <c r="G625" s="68"/>
      <c r="AU625" s="1"/>
    </row>
    <row r="626" spans="1:47" customFormat="1" x14ac:dyDescent="0.25">
      <c r="A626" s="8"/>
      <c r="B626" s="8"/>
      <c r="C626" s="13"/>
      <c r="E626" s="14"/>
      <c r="F626" s="14"/>
      <c r="G626" s="68"/>
      <c r="AU626" s="1"/>
    </row>
    <row r="627" spans="1:47" customFormat="1" x14ac:dyDescent="0.25">
      <c r="A627" s="8"/>
      <c r="B627" s="8"/>
      <c r="C627" s="15"/>
      <c r="E627" s="14"/>
      <c r="F627" s="14"/>
      <c r="G627" s="68"/>
      <c r="AU627" s="1"/>
    </row>
    <row r="628" spans="1:47" customFormat="1" x14ac:dyDescent="0.25">
      <c r="C628" s="6"/>
      <c r="E628" s="4"/>
      <c r="F628" s="4"/>
      <c r="G628" s="69"/>
      <c r="AU628" s="1"/>
    </row>
    <row r="629" spans="1:47" customFormat="1" x14ac:dyDescent="0.25">
      <c r="C629" s="6"/>
      <c r="E629" s="4"/>
      <c r="F629" s="4"/>
      <c r="G629" s="69"/>
      <c r="AU629" s="1"/>
    </row>
    <row r="630" spans="1:47" customFormat="1" x14ac:dyDescent="0.25">
      <c r="C630" s="6"/>
      <c r="E630" s="4"/>
      <c r="F630" s="4"/>
      <c r="G630" s="69"/>
      <c r="AU630" s="1"/>
    </row>
    <row r="631" spans="1:47" customFormat="1" x14ac:dyDescent="0.25">
      <c r="C631" s="6"/>
      <c r="E631" s="4"/>
      <c r="F631" s="4"/>
      <c r="G631" s="69"/>
      <c r="AU631" s="1"/>
    </row>
    <row r="632" spans="1:47" customFormat="1" x14ac:dyDescent="0.25">
      <c r="C632" s="6"/>
      <c r="E632" s="4"/>
      <c r="F632" s="4"/>
      <c r="G632" s="69"/>
      <c r="AU632" s="1"/>
    </row>
    <row r="633" spans="1:47" customFormat="1" x14ac:dyDescent="0.25">
      <c r="C633" s="6"/>
      <c r="E633" s="4"/>
      <c r="F633" s="4"/>
      <c r="G633" s="69"/>
      <c r="AU633" s="1"/>
    </row>
    <row r="634" spans="1:47" customFormat="1" x14ac:dyDescent="0.25">
      <c r="C634" s="6"/>
      <c r="E634" s="4"/>
      <c r="F634" s="4"/>
      <c r="G634" s="69"/>
      <c r="AU634" s="1"/>
    </row>
    <row r="635" spans="1:47" customFormat="1" x14ac:dyDescent="0.25">
      <c r="C635" s="6"/>
      <c r="E635" s="4"/>
      <c r="F635" s="4"/>
      <c r="G635" s="69"/>
      <c r="AU635" s="1"/>
    </row>
    <row r="636" spans="1:47" customFormat="1" x14ac:dyDescent="0.25">
      <c r="A636" s="2" t="s">
        <v>1</v>
      </c>
      <c r="C636" s="6"/>
      <c r="E636" s="4"/>
      <c r="F636" s="4"/>
      <c r="G636" s="69"/>
      <c r="AU636" s="1"/>
    </row>
    <row r="637" spans="1:47" customFormat="1" x14ac:dyDescent="0.25">
      <c r="C637" s="6"/>
      <c r="E637" s="4"/>
      <c r="F637" s="4"/>
      <c r="G637" s="69"/>
      <c r="AU637" s="1"/>
    </row>
    <row r="638" spans="1:47" customFormat="1" x14ac:dyDescent="0.25">
      <c r="C638" s="6"/>
      <c r="E638" s="4"/>
      <c r="F638" s="4"/>
      <c r="G638" s="69"/>
      <c r="AU638" s="1"/>
    </row>
    <row r="639" spans="1:47" customFormat="1" x14ac:dyDescent="0.25">
      <c r="C639" s="6"/>
      <c r="E639" s="4"/>
      <c r="F639" s="4"/>
      <c r="G639" s="69"/>
      <c r="AU639" s="1"/>
    </row>
    <row r="640" spans="1:47" customFormat="1" x14ac:dyDescent="0.25">
      <c r="C640" s="6"/>
      <c r="E640" s="4"/>
      <c r="F640" s="4"/>
      <c r="G640" s="69"/>
      <c r="AU640" s="1"/>
    </row>
    <row r="641" spans="1:6" x14ac:dyDescent="0.25">
      <c r="A641"/>
      <c r="B641"/>
      <c r="C641" s="6"/>
      <c r="E641" s="4"/>
      <c r="F641" s="4"/>
    </row>
    <row r="642" spans="1:6" x14ac:dyDescent="0.25">
      <c r="A642"/>
      <c r="B642"/>
      <c r="C642" s="6"/>
      <c r="E642" s="4"/>
      <c r="F642" s="4"/>
    </row>
  </sheetData>
  <mergeCells count="21">
    <mergeCell ref="W2:Y2"/>
    <mergeCell ref="E3:I4"/>
    <mergeCell ref="N3:U4"/>
    <mergeCell ref="T5:T6"/>
    <mergeCell ref="U5:U6"/>
    <mergeCell ref="E2:I2"/>
    <mergeCell ref="J2:L2"/>
    <mergeCell ref="N2:U2"/>
    <mergeCell ref="A48:C48"/>
    <mergeCell ref="P5:P6"/>
    <mergeCell ref="Q5:Q6"/>
    <mergeCell ref="R5:R6"/>
    <mergeCell ref="S5:S6"/>
    <mergeCell ref="Z2:AE2"/>
    <mergeCell ref="Z3:AE4"/>
    <mergeCell ref="Z5:Z7"/>
    <mergeCell ref="AA5:AA7"/>
    <mergeCell ref="AB5:AB7"/>
    <mergeCell ref="AC5:AC7"/>
    <mergeCell ref="AD5:AD7"/>
    <mergeCell ref="AE5:AE7"/>
  </mergeCells>
  <conditionalFormatting sqref="AE12:AE18">
    <cfRule type="cellIs" dxfId="17" priority="3" operator="lessThan">
      <formula>0</formula>
    </cfRule>
    <cfRule type="cellIs" dxfId="16" priority="4" operator="greaterThan">
      <formula>0</formula>
    </cfRule>
  </conditionalFormatting>
  <conditionalFormatting sqref="AE20:AE28">
    <cfRule type="cellIs" dxfId="15" priority="1" operator="lessThan">
      <formula>0</formula>
    </cfRule>
    <cfRule type="cellIs" dxfId="14" priority="2" operator="greaterThan">
      <formula>0</formula>
    </cfRule>
  </conditionalFormatting>
  <printOptions horizontalCentered="1"/>
  <pageMargins left="0.23622047244094491" right="0.23622047244094491" top="0.74803149606299213" bottom="0.74803149606299213" header="0.31496062992125984" footer="0.31496062992125984"/>
  <pageSetup paperSize="8"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CD78E-02AB-4477-B414-08924160A3C0}">
  <sheetPr>
    <pageSetUpPr fitToPage="1"/>
  </sheetPr>
  <dimension ref="A1:AU642"/>
  <sheetViews>
    <sheetView zoomScale="90" zoomScaleNormal="90" workbookViewId="0">
      <pane xSplit="2" ySplit="7" topLeftCell="C8" activePane="bottomRight" state="frozen"/>
      <selection pane="topRight" activeCell="C1" sqref="C1"/>
      <selection pane="bottomLeft" activeCell="A8" sqref="A8"/>
      <selection pane="bottomRight" activeCell="Z2" sqref="Z2:AE2"/>
    </sheetView>
  </sheetViews>
  <sheetFormatPr defaultColWidth="13.6640625" defaultRowHeight="13.2" x14ac:dyDescent="0.25"/>
  <cols>
    <col min="1" max="1" width="10.5546875" style="3" bestFit="1" customWidth="1"/>
    <col min="2" max="2" width="27.88671875" style="1" customWidth="1"/>
    <col min="3" max="3" width="15.6640625" style="7" customWidth="1"/>
    <col min="4" max="4" width="2.6640625" customWidth="1"/>
    <col min="5" max="5" width="13.6640625" style="5" customWidth="1"/>
    <col min="6" max="6" width="17.5546875" style="5" customWidth="1"/>
    <col min="7" max="7" width="13.6640625" style="69" bestFit="1" customWidth="1"/>
    <col min="8" max="8" width="8.6640625" bestFit="1" customWidth="1"/>
    <col min="9" max="9" width="8.88671875" bestFit="1" customWidth="1"/>
    <col min="10" max="12" width="9.5546875" hidden="1" customWidth="1"/>
    <col min="13" max="13" width="2.6640625" customWidth="1"/>
    <col min="14" max="14" width="11.6640625" bestFit="1" customWidth="1"/>
    <col min="15" max="15" width="12.44140625" bestFit="1" customWidth="1"/>
    <col min="16" max="16" width="13.6640625" customWidth="1"/>
    <col min="17" max="17" width="15" customWidth="1"/>
    <col min="18" max="19" width="13.6640625" customWidth="1"/>
    <col min="20" max="20" width="10" customWidth="1"/>
    <col min="21" max="21" width="9" customWidth="1"/>
    <col min="22" max="22" width="2.6640625" customWidth="1"/>
    <col min="23" max="25" width="9.88671875" hidden="1" customWidth="1"/>
    <col min="26" max="27" width="13.6640625" customWidth="1"/>
    <col min="28" max="28" width="13.6640625" hidden="1" customWidth="1"/>
    <col min="29" max="46" width="13.6640625" customWidth="1"/>
    <col min="47" max="16384" width="13.6640625" style="1"/>
  </cols>
  <sheetData>
    <row r="1" spans="1:46" s="10" customFormat="1" ht="61.95" customHeight="1" x14ac:dyDescent="0.5">
      <c r="A1" s="33"/>
      <c r="B1" s="9"/>
      <c r="C1" s="22"/>
      <c r="D1" s="16"/>
      <c r="E1" s="23"/>
      <c r="F1" s="34"/>
      <c r="G1" s="66"/>
      <c r="H1" s="8"/>
      <c r="I1" s="8"/>
      <c r="J1" s="8"/>
      <c r="K1" s="8"/>
      <c r="L1" s="8"/>
      <c r="M1" s="8"/>
      <c r="N1" s="8"/>
      <c r="O1" s="138" t="s">
        <v>13954</v>
      </c>
      <c r="P1" s="8"/>
      <c r="Q1" s="122" t="s">
        <v>13955</v>
      </c>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row>
    <row r="2" spans="1:46" s="10" customFormat="1" ht="21" customHeight="1" x14ac:dyDescent="0.45">
      <c r="A2" s="29" t="s">
        <v>224</v>
      </c>
      <c r="B2" s="9"/>
      <c r="C2" s="24"/>
      <c r="D2" s="16"/>
      <c r="E2" s="291">
        <v>2021</v>
      </c>
      <c r="F2" s="291"/>
      <c r="G2" s="291"/>
      <c r="H2" s="291"/>
      <c r="I2" s="291"/>
      <c r="J2" s="286">
        <v>2017</v>
      </c>
      <c r="K2" s="286"/>
      <c r="L2" s="286"/>
      <c r="M2" s="57"/>
      <c r="N2" s="277">
        <v>2022</v>
      </c>
      <c r="O2" s="277"/>
      <c r="P2" s="277"/>
      <c r="Q2" s="277"/>
      <c r="R2" s="277"/>
      <c r="S2" s="277"/>
      <c r="T2" s="277"/>
      <c r="U2" s="277"/>
      <c r="V2" s="58"/>
      <c r="W2" s="286">
        <v>2018</v>
      </c>
      <c r="X2" s="286"/>
      <c r="Y2" s="286"/>
      <c r="Z2" s="277" t="s">
        <v>13957</v>
      </c>
      <c r="AA2" s="277"/>
      <c r="AB2" s="277"/>
      <c r="AC2" s="277"/>
      <c r="AD2" s="277"/>
      <c r="AE2" s="277"/>
      <c r="AF2" s="8"/>
      <c r="AG2" s="8"/>
      <c r="AH2" s="8"/>
      <c r="AI2" s="8"/>
      <c r="AJ2" s="8"/>
      <c r="AK2" s="8"/>
      <c r="AL2" s="8"/>
      <c r="AM2" s="8"/>
      <c r="AN2" s="8"/>
      <c r="AO2" s="8"/>
      <c r="AP2" s="8"/>
      <c r="AQ2" s="8"/>
      <c r="AR2" s="8"/>
      <c r="AS2" s="8"/>
      <c r="AT2" s="8"/>
    </row>
    <row r="3" spans="1:46" ht="15" customHeight="1" x14ac:dyDescent="0.25">
      <c r="A3" s="77"/>
      <c r="B3" s="78"/>
      <c r="C3" s="79"/>
      <c r="D3" s="16"/>
      <c r="E3" s="287"/>
      <c r="F3" s="287"/>
      <c r="G3" s="287"/>
      <c r="H3" s="287"/>
      <c r="I3" s="287"/>
      <c r="J3" s="45"/>
      <c r="K3" s="45"/>
      <c r="L3" s="46"/>
      <c r="N3" s="278"/>
      <c r="O3" s="278"/>
      <c r="P3" s="278"/>
      <c r="Q3" s="278"/>
      <c r="R3" s="278"/>
      <c r="S3" s="278"/>
      <c r="T3" s="278"/>
      <c r="U3" s="278"/>
      <c r="W3" s="45"/>
      <c r="X3" s="45"/>
      <c r="Y3" s="46"/>
      <c r="Z3" s="278"/>
      <c r="AA3" s="278"/>
      <c r="AB3" s="278"/>
      <c r="AC3" s="278"/>
      <c r="AD3" s="278"/>
      <c r="AE3" s="278"/>
    </row>
    <row r="4" spans="1:46" ht="7.5" customHeight="1" x14ac:dyDescent="0.25">
      <c r="A4" s="80"/>
      <c r="B4" s="78"/>
      <c r="C4" s="79"/>
      <c r="D4" s="16"/>
      <c r="E4" s="287"/>
      <c r="F4" s="287"/>
      <c r="G4" s="287"/>
      <c r="H4" s="287"/>
      <c r="I4" s="287"/>
      <c r="J4" s="28"/>
      <c r="K4" s="28"/>
      <c r="L4" s="47"/>
      <c r="N4" s="278"/>
      <c r="O4" s="278"/>
      <c r="P4" s="278"/>
      <c r="Q4" s="278"/>
      <c r="R4" s="278"/>
      <c r="S4" s="278"/>
      <c r="T4" s="278"/>
      <c r="U4" s="278"/>
      <c r="W4" s="28"/>
      <c r="X4" s="28"/>
      <c r="Y4" s="47"/>
      <c r="Z4" s="279"/>
      <c r="AA4" s="279"/>
      <c r="AB4" s="279"/>
      <c r="AC4" s="279"/>
      <c r="AD4" s="279"/>
      <c r="AE4" s="279"/>
    </row>
    <row r="5" spans="1:46" ht="13.5" customHeight="1" x14ac:dyDescent="0.3">
      <c r="A5" s="25"/>
      <c r="B5" s="26"/>
      <c r="C5" s="35"/>
      <c r="D5" s="16"/>
      <c r="E5" s="133" t="s">
        <v>225</v>
      </c>
      <c r="F5" s="133" t="s">
        <v>226</v>
      </c>
      <c r="G5" s="133"/>
      <c r="H5" s="137"/>
      <c r="I5" s="137"/>
      <c r="J5" s="26"/>
      <c r="K5" s="26"/>
      <c r="L5" s="26"/>
      <c r="N5" s="135" t="s">
        <v>114</v>
      </c>
      <c r="O5" s="135" t="s">
        <v>115</v>
      </c>
      <c r="P5" s="282" t="s">
        <v>13902</v>
      </c>
      <c r="Q5" s="284" t="s">
        <v>13900</v>
      </c>
      <c r="R5" s="284" t="s">
        <v>13901</v>
      </c>
      <c r="S5" s="282" t="s">
        <v>13883</v>
      </c>
      <c r="T5" s="282" t="s">
        <v>13904</v>
      </c>
      <c r="U5" s="289" t="s">
        <v>13884</v>
      </c>
      <c r="W5" s="36"/>
      <c r="X5" s="36"/>
      <c r="Y5" s="36"/>
      <c r="Z5" s="280" t="s">
        <v>13953</v>
      </c>
      <c r="AA5" s="280" t="s">
        <v>13948</v>
      </c>
      <c r="AB5" s="280" t="s">
        <v>13952</v>
      </c>
      <c r="AC5" s="280" t="s">
        <v>13950</v>
      </c>
      <c r="AD5" s="280" t="s">
        <v>13949</v>
      </c>
      <c r="AE5" s="280" t="s">
        <v>13951</v>
      </c>
    </row>
    <row r="6" spans="1:46" ht="13.8" x14ac:dyDescent="0.3">
      <c r="A6" s="32" t="s">
        <v>119</v>
      </c>
      <c r="B6" s="27" t="s">
        <v>118</v>
      </c>
      <c r="C6" s="37" t="s">
        <v>0</v>
      </c>
      <c r="D6" s="16"/>
      <c r="E6" s="134" t="s">
        <v>227</v>
      </c>
      <c r="F6" s="134" t="s">
        <v>228</v>
      </c>
      <c r="G6" s="134" t="s">
        <v>13889</v>
      </c>
      <c r="H6" s="132" t="s">
        <v>13881</v>
      </c>
      <c r="I6" s="132" t="s">
        <v>13882</v>
      </c>
      <c r="J6" s="27"/>
      <c r="K6" s="27"/>
      <c r="L6" s="27"/>
      <c r="N6" s="136" t="s">
        <v>116</v>
      </c>
      <c r="O6" s="136" t="s">
        <v>117</v>
      </c>
      <c r="P6" s="283"/>
      <c r="Q6" s="285"/>
      <c r="R6" s="285"/>
      <c r="S6" s="283"/>
      <c r="T6" s="288"/>
      <c r="U6" s="290"/>
      <c r="W6" s="38"/>
      <c r="X6" s="38"/>
      <c r="Y6" s="38"/>
      <c r="Z6" s="280"/>
      <c r="AA6" s="280"/>
      <c r="AB6" s="280"/>
      <c r="AC6" s="280"/>
      <c r="AD6" s="280"/>
      <c r="AE6" s="280"/>
    </row>
    <row r="7" spans="1:46" ht="13.8" x14ac:dyDescent="0.3">
      <c r="A7" s="31"/>
      <c r="B7" s="31"/>
      <c r="C7" s="40"/>
      <c r="D7" s="16"/>
      <c r="E7" s="59" t="s">
        <v>13176</v>
      </c>
      <c r="F7" s="59" t="s">
        <v>13177</v>
      </c>
      <c r="G7" s="59"/>
      <c r="H7" s="56"/>
      <c r="I7" s="56"/>
      <c r="J7" s="59" t="s">
        <v>13178</v>
      </c>
      <c r="K7" s="59" t="s">
        <v>13179</v>
      </c>
      <c r="L7" s="59" t="s">
        <v>13180</v>
      </c>
      <c r="N7" s="59" t="s">
        <v>13176</v>
      </c>
      <c r="O7" s="59" t="s">
        <v>13177</v>
      </c>
      <c r="P7" s="59"/>
      <c r="Q7" s="59"/>
      <c r="R7" s="59"/>
      <c r="S7" s="59" t="s">
        <v>13177</v>
      </c>
      <c r="T7" s="59"/>
      <c r="U7" s="59"/>
      <c r="W7" s="59" t="s">
        <v>13178</v>
      </c>
      <c r="X7" s="59" t="s">
        <v>13179</v>
      </c>
      <c r="Y7" s="59" t="s">
        <v>13180</v>
      </c>
      <c r="Z7" s="280"/>
      <c r="AA7" s="280"/>
      <c r="AB7" s="280"/>
      <c r="AC7" s="280"/>
      <c r="AD7" s="280"/>
      <c r="AE7" s="280"/>
    </row>
    <row r="8" spans="1:46" ht="13.8" x14ac:dyDescent="0.25">
      <c r="A8" s="20"/>
      <c r="B8" s="81" t="s">
        <v>13945</v>
      </c>
      <c r="C8" s="21"/>
      <c r="D8" s="16"/>
      <c r="E8" s="19"/>
      <c r="F8" s="19"/>
      <c r="G8" s="67"/>
      <c r="AS8" s="1"/>
      <c r="AT8" s="1"/>
    </row>
    <row r="9" spans="1:46" x14ac:dyDescent="0.25">
      <c r="A9" s="70" t="s">
        <v>13940</v>
      </c>
      <c r="B9" s="97" t="s">
        <v>13946</v>
      </c>
      <c r="C9" s="71">
        <v>8715839085334</v>
      </c>
      <c r="D9" s="16"/>
      <c r="E9" s="82" t="s">
        <v>13885</v>
      </c>
      <c r="F9" s="82" t="s">
        <v>13885</v>
      </c>
      <c r="G9" s="82" t="s">
        <v>13885</v>
      </c>
      <c r="H9" s="82" t="s">
        <v>13885</v>
      </c>
      <c r="I9" s="82" t="s">
        <v>13885</v>
      </c>
      <c r="J9" s="85"/>
      <c r="K9" s="75"/>
      <c r="L9" s="86"/>
      <c r="N9" s="72">
        <f t="shared" ref="N9:N10" si="0">O9/1.5</f>
        <v>56.666666666666664</v>
      </c>
      <c r="O9" s="72">
        <v>85</v>
      </c>
      <c r="P9" s="83" t="s">
        <v>13885</v>
      </c>
      <c r="Q9" s="121">
        <v>168</v>
      </c>
      <c r="R9" s="92">
        <f t="shared" ref="R9:R10" si="1">Q9/7.6</f>
        <v>22.105263157894736</v>
      </c>
      <c r="S9" s="83" t="s">
        <v>13885</v>
      </c>
      <c r="T9" s="93">
        <f t="shared" ref="T9:T10" si="2">N9/R9</f>
        <v>2.5634920634920633</v>
      </c>
      <c r="U9" s="83" t="s">
        <v>13885</v>
      </c>
      <c r="W9" s="53">
        <v>0</v>
      </c>
      <c r="X9" s="41">
        <v>0</v>
      </c>
      <c r="Y9" s="118">
        <v>0</v>
      </c>
      <c r="Z9" s="128" t="s">
        <v>13885</v>
      </c>
      <c r="AA9" s="128" t="s">
        <v>13885</v>
      </c>
      <c r="AB9" s="130">
        <v>1032</v>
      </c>
      <c r="AC9" s="129">
        <f>N9*AB9</f>
        <v>58480</v>
      </c>
      <c r="AD9" s="128" t="s">
        <v>13885</v>
      </c>
      <c r="AE9" s="128" t="s">
        <v>13885</v>
      </c>
      <c r="AS9" s="1"/>
      <c r="AT9" s="1"/>
    </row>
    <row r="10" spans="1:46" x14ac:dyDescent="0.25">
      <c r="A10" s="70" t="s">
        <v>13941</v>
      </c>
      <c r="B10" s="97" t="s">
        <v>13947</v>
      </c>
      <c r="C10" s="71">
        <v>8715839085341</v>
      </c>
      <c r="D10" s="16"/>
      <c r="E10" s="82" t="s">
        <v>13885</v>
      </c>
      <c r="F10" s="82" t="s">
        <v>13885</v>
      </c>
      <c r="G10" s="82" t="s">
        <v>13885</v>
      </c>
      <c r="H10" s="82" t="s">
        <v>13885</v>
      </c>
      <c r="I10" s="82" t="s">
        <v>13885</v>
      </c>
      <c r="J10" s="85"/>
      <c r="K10" s="75"/>
      <c r="L10" s="86"/>
      <c r="N10" s="72">
        <f t="shared" si="0"/>
        <v>56.666666666666664</v>
      </c>
      <c r="O10" s="72">
        <v>85</v>
      </c>
      <c r="P10" s="83" t="s">
        <v>13885</v>
      </c>
      <c r="Q10" s="121">
        <v>168</v>
      </c>
      <c r="R10" s="92">
        <f t="shared" si="1"/>
        <v>22.105263157894736</v>
      </c>
      <c r="S10" s="83" t="s">
        <v>13885</v>
      </c>
      <c r="T10" s="93">
        <f t="shared" si="2"/>
        <v>2.5634920634920633</v>
      </c>
      <c r="U10" s="83" t="s">
        <v>13885</v>
      </c>
      <c r="W10" s="53">
        <v>0</v>
      </c>
      <c r="X10" s="41">
        <v>0</v>
      </c>
      <c r="Y10" s="118">
        <v>0</v>
      </c>
      <c r="Z10" s="127" t="s">
        <v>13885</v>
      </c>
      <c r="AA10" s="127" t="s">
        <v>13885</v>
      </c>
      <c r="AB10" s="130">
        <v>1032</v>
      </c>
      <c r="AC10" s="129">
        <f>N10*AB10</f>
        <v>58480</v>
      </c>
      <c r="AD10" s="127" t="s">
        <v>13885</v>
      </c>
      <c r="AE10" s="127" t="s">
        <v>13885</v>
      </c>
      <c r="AS10" s="1"/>
      <c r="AT10" s="1"/>
    </row>
    <row r="11" spans="1:46" ht="13.8" x14ac:dyDescent="0.25">
      <c r="A11" s="20"/>
      <c r="B11" s="81" t="s">
        <v>13880</v>
      </c>
      <c r="C11" s="21"/>
      <c r="D11" s="16"/>
      <c r="E11" s="19"/>
      <c r="F11" s="19"/>
      <c r="G11" s="67"/>
      <c r="AS11" s="1"/>
      <c r="AT11" s="1"/>
    </row>
    <row r="12" spans="1:46" x14ac:dyDescent="0.25">
      <c r="A12" s="39" t="s">
        <v>13879</v>
      </c>
      <c r="B12" s="39" t="s">
        <v>13886</v>
      </c>
      <c r="C12" s="30">
        <v>8715839065404</v>
      </c>
      <c r="D12" s="16"/>
      <c r="E12" s="41">
        <f>F12/1.5</f>
        <v>59.333333333333336</v>
      </c>
      <c r="F12" s="41">
        <v>89</v>
      </c>
      <c r="G12" s="111">
        <v>194.56</v>
      </c>
      <c r="H12" s="94">
        <f>G12/7.85</f>
        <v>24.78471337579618</v>
      </c>
      <c r="I12" s="95">
        <f>E12/H12</f>
        <v>2.3939487390350878</v>
      </c>
      <c r="J12" s="53">
        <v>0</v>
      </c>
      <c r="K12" s="41">
        <v>0</v>
      </c>
      <c r="L12" s="54">
        <v>0</v>
      </c>
      <c r="N12" s="41">
        <f>O12/1.5</f>
        <v>70</v>
      </c>
      <c r="O12" s="41">
        <v>105</v>
      </c>
      <c r="P12" s="87">
        <f t="shared" ref="P12:P13" si="3">(Q12-G12)/(G12)</f>
        <v>3.001644736842107E-2</v>
      </c>
      <c r="Q12" s="111">
        <v>200.4</v>
      </c>
      <c r="R12" s="89">
        <f>Q12/7.6</f>
        <v>26.368421052631582</v>
      </c>
      <c r="S12" s="90">
        <f>O12-F12</f>
        <v>16</v>
      </c>
      <c r="T12" s="91">
        <f>N12/R12</f>
        <v>2.6546906187624746</v>
      </c>
      <c r="U12" s="91">
        <f>T12-I12</f>
        <v>0.26074187972738683</v>
      </c>
      <c r="W12" s="53">
        <v>0</v>
      </c>
      <c r="X12" s="41">
        <v>0</v>
      </c>
      <c r="Y12" s="54">
        <v>0</v>
      </c>
      <c r="Z12" s="124">
        <f>S12/F12</f>
        <v>0.1797752808988764</v>
      </c>
      <c r="AA12" s="124">
        <f>13000/AC12</f>
        <v>0.15738498789346247</v>
      </c>
      <c r="AB12" s="125">
        <v>1180</v>
      </c>
      <c r="AC12" s="129">
        <f t="shared" ref="AC12:AC16" si="4">N12*AB12</f>
        <v>82600</v>
      </c>
      <c r="AD12" s="126">
        <f>AA12+P12</f>
        <v>0.18740143526188355</v>
      </c>
      <c r="AE12" s="126">
        <f>AD12-Z12</f>
        <v>7.6261543630071482E-3</v>
      </c>
      <c r="AS12" s="1"/>
      <c r="AT12" s="1"/>
    </row>
    <row r="13" spans="1:46" x14ac:dyDescent="0.25">
      <c r="A13" s="39" t="s">
        <v>2764</v>
      </c>
      <c r="B13" s="39" t="s">
        <v>13887</v>
      </c>
      <c r="C13" s="30" t="str">
        <f>VLOOKUP(A13,EAN!$A:$C,3,0)</f>
        <v>8715839064322</v>
      </c>
      <c r="D13" s="16"/>
      <c r="E13" s="41">
        <f t="shared" ref="E13:E18" si="5">F13/1.5</f>
        <v>59.333333333333336</v>
      </c>
      <c r="F13" s="41">
        <v>89</v>
      </c>
      <c r="G13" s="111">
        <v>194.56</v>
      </c>
      <c r="H13" s="94">
        <f t="shared" ref="H13:H18" si="6">G13/7.85</f>
        <v>24.78471337579618</v>
      </c>
      <c r="I13" s="95">
        <f>E13/H13</f>
        <v>2.3939487390350878</v>
      </c>
      <c r="J13" s="53">
        <v>0</v>
      </c>
      <c r="K13" s="41">
        <v>0</v>
      </c>
      <c r="L13" s="54">
        <v>0</v>
      </c>
      <c r="N13" s="41">
        <f t="shared" ref="N13:N43" si="7">O13/1.5</f>
        <v>70</v>
      </c>
      <c r="O13" s="41">
        <v>105</v>
      </c>
      <c r="P13" s="87">
        <f t="shared" si="3"/>
        <v>3.001644736842107E-2</v>
      </c>
      <c r="Q13" s="111">
        <v>200.4</v>
      </c>
      <c r="R13" s="89">
        <f>Q13/7.6</f>
        <v>26.368421052631582</v>
      </c>
      <c r="S13" s="90">
        <f>O13-F13</f>
        <v>16</v>
      </c>
      <c r="T13" s="91">
        <f>N13/R13</f>
        <v>2.6546906187624746</v>
      </c>
      <c r="U13" s="91">
        <f>T13-I13</f>
        <v>0.26074187972738683</v>
      </c>
      <c r="W13" s="53">
        <v>0</v>
      </c>
      <c r="X13" s="41">
        <v>0</v>
      </c>
      <c r="Y13" s="54">
        <v>0</v>
      </c>
      <c r="Z13" s="124">
        <f t="shared" ref="Z13:Z17" si="8">S13/F13</f>
        <v>0.1797752808988764</v>
      </c>
      <c r="AA13" s="124">
        <f t="shared" ref="AA13:AA18" si="9">13000/AC13</f>
        <v>0.15738498789346247</v>
      </c>
      <c r="AB13" s="125">
        <v>1180</v>
      </c>
      <c r="AC13" s="129">
        <f t="shared" si="4"/>
        <v>82600</v>
      </c>
      <c r="AD13" s="126">
        <f t="shared" ref="AD13:AD18" si="10">AA13+P13</f>
        <v>0.18740143526188355</v>
      </c>
      <c r="AE13" s="126">
        <f t="shared" ref="AE13:AE28" si="11">AD13-Z13</f>
        <v>7.6261543630071482E-3</v>
      </c>
      <c r="AS13" s="1"/>
      <c r="AT13" s="1"/>
    </row>
    <row r="14" spans="1:46" x14ac:dyDescent="0.25">
      <c r="A14" s="39" t="s">
        <v>2767</v>
      </c>
      <c r="B14" s="39" t="s">
        <v>13888</v>
      </c>
      <c r="C14" s="30" t="str">
        <f>VLOOKUP(A14,EAN!$A:$C,3,0)</f>
        <v>8715839064339</v>
      </c>
      <c r="D14" s="16"/>
      <c r="E14" s="41">
        <f t="shared" si="5"/>
        <v>59.333333333333336</v>
      </c>
      <c r="F14" s="41">
        <v>89</v>
      </c>
      <c r="G14" s="111">
        <v>194.56</v>
      </c>
      <c r="H14" s="94">
        <f t="shared" si="6"/>
        <v>24.78471337579618</v>
      </c>
      <c r="I14" s="95">
        <f t="shared" ref="I14:I18" si="12">E14/H14</f>
        <v>2.3939487390350878</v>
      </c>
      <c r="J14" s="53">
        <v>0</v>
      </c>
      <c r="K14" s="41">
        <v>0</v>
      </c>
      <c r="L14" s="54">
        <v>0</v>
      </c>
      <c r="N14" s="41">
        <f t="shared" si="7"/>
        <v>70</v>
      </c>
      <c r="O14" s="41">
        <v>105</v>
      </c>
      <c r="P14" s="87">
        <f>(Q14-G14)/(G14)</f>
        <v>3.001644736842107E-2</v>
      </c>
      <c r="Q14" s="111">
        <v>200.4</v>
      </c>
      <c r="R14" s="89">
        <f t="shared" ref="R14:R16" si="13">Q14/7.6</f>
        <v>26.368421052631582</v>
      </c>
      <c r="S14" s="90">
        <f>O14-F14</f>
        <v>16</v>
      </c>
      <c r="T14" s="91">
        <f t="shared" ref="T14:T18" si="14">N14/R14</f>
        <v>2.6546906187624746</v>
      </c>
      <c r="U14" s="91">
        <f>T14-I14</f>
        <v>0.26074187972738683</v>
      </c>
      <c r="W14" s="53">
        <v>0</v>
      </c>
      <c r="X14" s="41">
        <v>0</v>
      </c>
      <c r="Y14" s="54">
        <v>0</v>
      </c>
      <c r="Z14" s="124">
        <f t="shared" si="8"/>
        <v>0.1797752808988764</v>
      </c>
      <c r="AA14" s="124">
        <f t="shared" si="9"/>
        <v>0.15738498789346247</v>
      </c>
      <c r="AB14" s="125">
        <v>1180</v>
      </c>
      <c r="AC14" s="129">
        <f t="shared" si="4"/>
        <v>82600</v>
      </c>
      <c r="AD14" s="126">
        <f t="shared" si="10"/>
        <v>0.18740143526188355</v>
      </c>
      <c r="AE14" s="126">
        <f t="shared" si="11"/>
        <v>7.6261543630071482E-3</v>
      </c>
      <c r="AS14" s="1"/>
      <c r="AT14" s="1"/>
    </row>
    <row r="15" spans="1:46" x14ac:dyDescent="0.25">
      <c r="A15" s="39" t="s">
        <v>13898</v>
      </c>
      <c r="B15" s="39" t="s">
        <v>13896</v>
      </c>
      <c r="C15" s="30">
        <v>8715839070453</v>
      </c>
      <c r="D15" s="16"/>
      <c r="E15" s="41">
        <f t="shared" si="5"/>
        <v>63.333333333333336</v>
      </c>
      <c r="F15" s="41">
        <v>95</v>
      </c>
      <c r="G15" s="111">
        <v>201.19</v>
      </c>
      <c r="H15" s="94">
        <f t="shared" si="6"/>
        <v>25.629299363057324</v>
      </c>
      <c r="I15" s="95">
        <f t="shared" si="12"/>
        <v>2.4711301091836906</v>
      </c>
      <c r="J15" s="73">
        <v>0</v>
      </c>
      <c r="K15" s="72">
        <v>0</v>
      </c>
      <c r="L15" s="74">
        <v>0</v>
      </c>
      <c r="N15" s="41">
        <f t="shared" si="7"/>
        <v>76.666666666666671</v>
      </c>
      <c r="O15" s="139">
        <v>115</v>
      </c>
      <c r="P15" s="87">
        <f>(Q15-G15)/(G15)</f>
        <v>3.0021372831651634E-2</v>
      </c>
      <c r="Q15" s="111">
        <v>207.23</v>
      </c>
      <c r="R15" s="89">
        <f t="shared" si="13"/>
        <v>27.267105263157895</v>
      </c>
      <c r="S15" s="90">
        <f t="shared" ref="S15:S18" si="15">O15-F15</f>
        <v>20</v>
      </c>
      <c r="T15" s="91">
        <f t="shared" si="14"/>
        <v>2.811690714021458</v>
      </c>
      <c r="U15" s="91">
        <f t="shared" ref="U15:U18" si="16">T15-I15</f>
        <v>0.3405606048377674</v>
      </c>
      <c r="W15" s="53">
        <v>0</v>
      </c>
      <c r="X15" s="41">
        <v>0</v>
      </c>
      <c r="Y15" s="54">
        <v>0</v>
      </c>
      <c r="Z15" s="124">
        <f t="shared" si="8"/>
        <v>0.21052631578947367</v>
      </c>
      <c r="AA15" s="124">
        <f t="shared" si="9"/>
        <v>0.14369933677229182</v>
      </c>
      <c r="AB15" s="125">
        <v>1180</v>
      </c>
      <c r="AC15" s="129">
        <f t="shared" si="4"/>
        <v>90466.666666666672</v>
      </c>
      <c r="AD15" s="126">
        <f t="shared" si="10"/>
        <v>0.17372070960394345</v>
      </c>
      <c r="AE15" s="126">
        <f t="shared" si="11"/>
        <v>-3.6805606185530221E-2</v>
      </c>
      <c r="AS15" s="1"/>
      <c r="AT15" s="1"/>
    </row>
    <row r="16" spans="1:46" x14ac:dyDescent="0.25">
      <c r="A16" s="39" t="s">
        <v>13899</v>
      </c>
      <c r="B16" s="39" t="s">
        <v>13897</v>
      </c>
      <c r="C16" s="30">
        <v>8715839070460</v>
      </c>
      <c r="D16" s="16"/>
      <c r="E16" s="41">
        <f t="shared" si="5"/>
        <v>63.333333333333336</v>
      </c>
      <c r="F16" s="41">
        <v>95</v>
      </c>
      <c r="G16" s="111">
        <v>199.6</v>
      </c>
      <c r="H16" s="94">
        <f t="shared" si="6"/>
        <v>25.426751592356688</v>
      </c>
      <c r="I16" s="95">
        <f t="shared" si="12"/>
        <v>2.4908149632598531</v>
      </c>
      <c r="J16" s="73">
        <v>0</v>
      </c>
      <c r="K16" s="72">
        <v>0</v>
      </c>
      <c r="L16" s="74">
        <v>0</v>
      </c>
      <c r="N16" s="41">
        <f t="shared" si="7"/>
        <v>76.666666666666671</v>
      </c>
      <c r="O16" s="139">
        <v>115</v>
      </c>
      <c r="P16" s="87">
        <f t="shared" ref="P16:P18" si="17">(Q16-G16)/(G16)</f>
        <v>3.0010020040080208E-2</v>
      </c>
      <c r="Q16" s="111">
        <v>205.59</v>
      </c>
      <c r="R16" s="89">
        <f t="shared" si="13"/>
        <v>27.051315789473687</v>
      </c>
      <c r="S16" s="90">
        <f t="shared" si="15"/>
        <v>20</v>
      </c>
      <c r="T16" s="91">
        <f t="shared" si="14"/>
        <v>2.8341196880522723</v>
      </c>
      <c r="U16" s="91">
        <f t="shared" si="16"/>
        <v>0.34330472479241925</v>
      </c>
      <c r="W16" s="53">
        <v>0</v>
      </c>
      <c r="X16" s="41">
        <v>0</v>
      </c>
      <c r="Y16" s="54">
        <v>0</v>
      </c>
      <c r="Z16" s="124">
        <f t="shared" si="8"/>
        <v>0.21052631578947367</v>
      </c>
      <c r="AA16" s="124">
        <f t="shared" si="9"/>
        <v>0.14369933677229182</v>
      </c>
      <c r="AB16" s="125">
        <v>1180</v>
      </c>
      <c r="AC16" s="129">
        <f t="shared" si="4"/>
        <v>90466.666666666672</v>
      </c>
      <c r="AD16" s="126">
        <f t="shared" si="10"/>
        <v>0.17370935681237204</v>
      </c>
      <c r="AE16" s="126">
        <f t="shared" si="11"/>
        <v>-3.6816958977101633E-2</v>
      </c>
      <c r="AS16" s="1"/>
      <c r="AT16" s="1"/>
    </row>
    <row r="17" spans="1:46" x14ac:dyDescent="0.25">
      <c r="A17" s="39" t="s">
        <v>13924</v>
      </c>
      <c r="B17" s="39" t="s">
        <v>13926</v>
      </c>
      <c r="C17" s="30">
        <v>8715839076028</v>
      </c>
      <c r="D17" s="16"/>
      <c r="E17" s="41">
        <f t="shared" si="5"/>
        <v>59.333333333333336</v>
      </c>
      <c r="F17" s="41">
        <v>89</v>
      </c>
      <c r="G17" s="111">
        <v>199.07</v>
      </c>
      <c r="H17" s="94">
        <f t="shared" si="6"/>
        <v>25.359235668789808</v>
      </c>
      <c r="I17" s="95">
        <f t="shared" si="12"/>
        <v>2.3397129987776495</v>
      </c>
      <c r="J17" s="85"/>
      <c r="K17" s="75"/>
      <c r="L17" s="86"/>
      <c r="N17" s="41">
        <f t="shared" si="7"/>
        <v>72.666666666666671</v>
      </c>
      <c r="O17" s="139">
        <v>109</v>
      </c>
      <c r="P17" s="87">
        <f t="shared" si="17"/>
        <v>2.9989450946903095E-2</v>
      </c>
      <c r="Q17" s="111">
        <v>205.04</v>
      </c>
      <c r="R17" s="89">
        <f>Q17/7.6</f>
        <v>26.978947368421053</v>
      </c>
      <c r="S17" s="90">
        <f t="shared" si="15"/>
        <v>20</v>
      </c>
      <c r="T17" s="91">
        <f t="shared" si="14"/>
        <v>2.6934581870204188</v>
      </c>
      <c r="U17" s="91">
        <f t="shared" si="16"/>
        <v>0.35374518824276935</v>
      </c>
      <c r="W17" s="62"/>
      <c r="X17" s="42"/>
      <c r="Y17" s="63"/>
      <c r="Z17" s="124">
        <f t="shared" si="8"/>
        <v>0.2247191011235955</v>
      </c>
      <c r="AA17" s="124">
        <f t="shared" si="9"/>
        <v>0.17335182419458076</v>
      </c>
      <c r="AB17" s="125">
        <v>1032</v>
      </c>
      <c r="AC17" s="129">
        <f>N17*AB17</f>
        <v>74992</v>
      </c>
      <c r="AD17" s="126">
        <f t="shared" si="10"/>
        <v>0.20334127514148384</v>
      </c>
      <c r="AE17" s="126">
        <f t="shared" si="11"/>
        <v>-2.1377825982111659E-2</v>
      </c>
      <c r="AS17" s="1"/>
      <c r="AT17" s="1"/>
    </row>
    <row r="18" spans="1:46" x14ac:dyDescent="0.25">
      <c r="A18" s="39" t="s">
        <v>13925</v>
      </c>
      <c r="B18" s="39" t="s">
        <v>13927</v>
      </c>
      <c r="C18" s="30">
        <v>8715839076035</v>
      </c>
      <c r="D18" s="16"/>
      <c r="E18" s="41">
        <f t="shared" si="5"/>
        <v>59.333333333333336</v>
      </c>
      <c r="F18" s="41">
        <v>89</v>
      </c>
      <c r="G18" s="111">
        <v>199.07</v>
      </c>
      <c r="H18" s="94">
        <f t="shared" si="6"/>
        <v>25.359235668789808</v>
      </c>
      <c r="I18" s="95">
        <f t="shared" si="12"/>
        <v>2.3397129987776495</v>
      </c>
      <c r="J18" s="85"/>
      <c r="K18" s="75"/>
      <c r="L18" s="86"/>
      <c r="N18" s="41">
        <f t="shared" si="7"/>
        <v>72.666666666666671</v>
      </c>
      <c r="O18" s="139">
        <v>109</v>
      </c>
      <c r="P18" s="87">
        <f t="shared" si="17"/>
        <v>2.9989450946903095E-2</v>
      </c>
      <c r="Q18" s="111">
        <v>205.04</v>
      </c>
      <c r="R18" s="89">
        <f>Q18/7.6</f>
        <v>26.978947368421053</v>
      </c>
      <c r="S18" s="90">
        <f t="shared" si="15"/>
        <v>20</v>
      </c>
      <c r="T18" s="91">
        <f t="shared" si="14"/>
        <v>2.6934581870204188</v>
      </c>
      <c r="U18" s="91">
        <f t="shared" si="16"/>
        <v>0.35374518824276935</v>
      </c>
      <c r="W18" s="62"/>
      <c r="X18" s="42"/>
      <c r="Y18" s="63"/>
      <c r="Z18" s="124">
        <f>S18/F18</f>
        <v>0.2247191011235955</v>
      </c>
      <c r="AA18" s="124">
        <f t="shared" si="9"/>
        <v>0.17335182419458076</v>
      </c>
      <c r="AB18" s="125">
        <v>1032</v>
      </c>
      <c r="AC18" s="129">
        <f>N18*AB18</f>
        <v>74992</v>
      </c>
      <c r="AD18" s="126">
        <f t="shared" si="10"/>
        <v>0.20334127514148384</v>
      </c>
      <c r="AE18" s="126">
        <f t="shared" si="11"/>
        <v>-2.1377825982111659E-2</v>
      </c>
      <c r="AS18" s="1"/>
      <c r="AT18" s="1"/>
    </row>
    <row r="19" spans="1:46" ht="13.8" x14ac:dyDescent="0.25">
      <c r="A19" s="12"/>
      <c r="B19" s="81" t="s">
        <v>13905</v>
      </c>
      <c r="C19" s="18"/>
      <c r="D19" s="16"/>
      <c r="E19" s="14"/>
      <c r="F19" s="14"/>
      <c r="G19" s="68"/>
      <c r="N19" s="20"/>
      <c r="O19" s="19"/>
      <c r="P19" s="20"/>
      <c r="Q19" s="88"/>
      <c r="R19" s="20"/>
      <c r="S19" s="20"/>
      <c r="T19" s="20"/>
      <c r="U19" s="91"/>
      <c r="Z19" s="123"/>
      <c r="AA19" s="123"/>
      <c r="AB19" s="123"/>
      <c r="AC19" s="123"/>
      <c r="AD19" s="123"/>
      <c r="AE19" s="141"/>
      <c r="AQ19" s="1"/>
      <c r="AR19" s="1"/>
      <c r="AS19" s="1"/>
      <c r="AT19" s="1"/>
    </row>
    <row r="20" spans="1:46" x14ac:dyDescent="0.25">
      <c r="A20" s="39" t="s">
        <v>13906</v>
      </c>
      <c r="B20" s="39" t="s">
        <v>13915</v>
      </c>
      <c r="C20" s="17">
        <v>8715839077735</v>
      </c>
      <c r="D20" s="16"/>
      <c r="E20" s="41">
        <f>F20/1.5</f>
        <v>59.333333333333336</v>
      </c>
      <c r="F20" s="41">
        <v>89</v>
      </c>
      <c r="G20" s="111">
        <v>187.9</v>
      </c>
      <c r="H20" s="94">
        <f>G20/7.85</f>
        <v>23.93630573248408</v>
      </c>
      <c r="I20" s="95">
        <f>E20/H20</f>
        <v>2.4788007805570338</v>
      </c>
      <c r="J20" s="53" t="e">
        <f>VLOOKUP(A20,Mastersheet!$A:$AK,30,0)</f>
        <v>#N/A</v>
      </c>
      <c r="K20" s="41" t="e">
        <f>VLOOKUP(A20,Mastersheet!$A:$AK,32,0)</f>
        <v>#N/A</v>
      </c>
      <c r="L20" s="54" t="e">
        <f>VLOOKUP(A20,Mastersheet!$A:$AK,34,0)</f>
        <v>#N/A</v>
      </c>
      <c r="M20" s="96"/>
      <c r="N20" s="41">
        <f t="shared" si="7"/>
        <v>76.666666666666671</v>
      </c>
      <c r="O20" s="139">
        <v>115</v>
      </c>
      <c r="P20" s="87">
        <f>(Q20-G20)/(G20)</f>
        <v>0.11335816923895679</v>
      </c>
      <c r="Q20" s="111">
        <v>209.2</v>
      </c>
      <c r="R20" s="89">
        <f>Q20/7.6</f>
        <v>27.526315789473685</v>
      </c>
      <c r="S20" s="90">
        <f t="shared" ref="S20:S28" si="18">O20-F20</f>
        <v>26</v>
      </c>
      <c r="T20" s="91">
        <f>N20/R20</f>
        <v>2.7852135117909498</v>
      </c>
      <c r="U20" s="91">
        <f>T20-I20</f>
        <v>0.30641273123391599</v>
      </c>
      <c r="W20" s="53">
        <v>0</v>
      </c>
      <c r="X20" s="41">
        <v>0</v>
      </c>
      <c r="Y20" s="54">
        <v>0</v>
      </c>
      <c r="Z20" s="124">
        <f>S20/F20</f>
        <v>0.29213483146067415</v>
      </c>
      <c r="AA20" s="124">
        <f>13000/AC20</f>
        <v>0.1093969144460028</v>
      </c>
      <c r="AB20" s="125">
        <v>1550</v>
      </c>
      <c r="AC20" s="129">
        <f>N20*AB20</f>
        <v>118833.33333333334</v>
      </c>
      <c r="AD20" s="126">
        <f>AA20+P20</f>
        <v>0.22275508368495961</v>
      </c>
      <c r="AE20" s="126">
        <f t="shared" si="11"/>
        <v>-6.937974777571454E-2</v>
      </c>
      <c r="AQ20" s="1"/>
      <c r="AR20" s="1"/>
      <c r="AS20" s="1"/>
      <c r="AT20" s="1"/>
    </row>
    <row r="21" spans="1:46" x14ac:dyDescent="0.25">
      <c r="A21" s="39" t="s">
        <v>13907</v>
      </c>
      <c r="B21" s="39" t="s">
        <v>13916</v>
      </c>
      <c r="C21" s="17">
        <v>8715839077742</v>
      </c>
      <c r="D21" s="16"/>
      <c r="E21" s="41">
        <f t="shared" ref="E21:E28" si="19">F21/1.5</f>
        <v>59.333333333333336</v>
      </c>
      <c r="F21" s="41">
        <v>89</v>
      </c>
      <c r="G21" s="111">
        <v>187.9</v>
      </c>
      <c r="H21" s="94">
        <f t="shared" ref="H21:H28" si="20">G21/7.85</f>
        <v>23.93630573248408</v>
      </c>
      <c r="I21" s="95">
        <f>E21/H21</f>
        <v>2.4788007805570338</v>
      </c>
      <c r="J21" s="53" t="e">
        <f>VLOOKUP(A21,Mastersheet!$A:$AK,30,0)</f>
        <v>#N/A</v>
      </c>
      <c r="K21" s="41" t="e">
        <f>VLOOKUP(A21,Mastersheet!$A:$AK,32,0)</f>
        <v>#N/A</v>
      </c>
      <c r="L21" s="54" t="e">
        <f>VLOOKUP(A21,Mastersheet!$A:$AK,34,0)</f>
        <v>#N/A</v>
      </c>
      <c r="M21" s="96"/>
      <c r="N21" s="41">
        <f t="shared" si="7"/>
        <v>76.666666666666671</v>
      </c>
      <c r="O21" s="139">
        <v>115</v>
      </c>
      <c r="P21" s="87">
        <f t="shared" ref="P21:P43" si="21">(Q21-G21)/(G21)</f>
        <v>0.11335816923895679</v>
      </c>
      <c r="Q21" s="111">
        <v>209.2</v>
      </c>
      <c r="R21" s="89">
        <f>Q21/7.6</f>
        <v>27.526315789473685</v>
      </c>
      <c r="S21" s="90">
        <f t="shared" si="18"/>
        <v>26</v>
      </c>
      <c r="T21" s="91">
        <f>N21/R21</f>
        <v>2.7852135117909498</v>
      </c>
      <c r="U21" s="91">
        <f>T21-I21</f>
        <v>0.30641273123391599</v>
      </c>
      <c r="W21" s="53">
        <v>0</v>
      </c>
      <c r="X21" s="41">
        <v>0</v>
      </c>
      <c r="Y21" s="54">
        <v>0</v>
      </c>
      <c r="Z21" s="124">
        <f t="shared" ref="Z21:Z28" si="22">S21/F21</f>
        <v>0.29213483146067415</v>
      </c>
      <c r="AA21" s="124">
        <f t="shared" ref="AA21:AA28" si="23">13000/AC21</f>
        <v>0.1093969144460028</v>
      </c>
      <c r="AB21" s="125">
        <v>1550</v>
      </c>
      <c r="AC21" s="129">
        <f t="shared" ref="AC21:AC31" si="24">N21*AB21</f>
        <v>118833.33333333334</v>
      </c>
      <c r="AD21" s="126">
        <f t="shared" ref="AD21:AD28" si="25">AA21+P21</f>
        <v>0.22275508368495961</v>
      </c>
      <c r="AE21" s="126">
        <f t="shared" si="11"/>
        <v>-6.937974777571454E-2</v>
      </c>
      <c r="AS21" s="1"/>
      <c r="AT21" s="1"/>
    </row>
    <row r="22" spans="1:46" x14ac:dyDescent="0.25">
      <c r="A22" s="39" t="s">
        <v>13908</v>
      </c>
      <c r="B22" s="39" t="s">
        <v>13917</v>
      </c>
      <c r="C22" s="17">
        <v>8715839077759</v>
      </c>
      <c r="D22" s="16"/>
      <c r="E22" s="41">
        <f t="shared" si="19"/>
        <v>66</v>
      </c>
      <c r="F22" s="41">
        <v>99</v>
      </c>
      <c r="G22" s="111">
        <v>221.4</v>
      </c>
      <c r="H22" s="94">
        <f t="shared" si="20"/>
        <v>28.203821656050959</v>
      </c>
      <c r="I22" s="95">
        <f>E22/H22</f>
        <v>2.3401084010840107</v>
      </c>
      <c r="J22" s="53" t="e">
        <f>VLOOKUP(A22,Mastersheet!$A:$AK,30,0)</f>
        <v>#N/A</v>
      </c>
      <c r="K22" s="41" t="e">
        <f>VLOOKUP(A22,Mastersheet!$A:$AK,32,0)</f>
        <v>#N/A</v>
      </c>
      <c r="L22" s="54" t="e">
        <f>VLOOKUP(A22,Mastersheet!$A:$AK,34,0)</f>
        <v>#N/A</v>
      </c>
      <c r="M22" s="96"/>
      <c r="N22" s="41">
        <f t="shared" si="7"/>
        <v>83.333333333333329</v>
      </c>
      <c r="O22" s="139">
        <v>125</v>
      </c>
      <c r="P22" s="87">
        <f t="shared" si="21"/>
        <v>0.12059620596205957</v>
      </c>
      <c r="Q22" s="111">
        <v>248.1</v>
      </c>
      <c r="R22" s="89">
        <f t="shared" ref="R22:R31" si="26">Q22/7.6</f>
        <v>32.644736842105267</v>
      </c>
      <c r="S22" s="90">
        <f t="shared" si="18"/>
        <v>26</v>
      </c>
      <c r="T22" s="91">
        <f>N22/R22</f>
        <v>2.5527341125890093</v>
      </c>
      <c r="U22" s="91">
        <f>T22-I22</f>
        <v>0.21262571150499854</v>
      </c>
      <c r="W22" s="53">
        <v>0</v>
      </c>
      <c r="X22" s="41">
        <v>0</v>
      </c>
      <c r="Y22" s="54">
        <v>0</v>
      </c>
      <c r="Z22" s="124">
        <f t="shared" si="22"/>
        <v>0.26262626262626265</v>
      </c>
      <c r="AA22" s="124">
        <f t="shared" si="23"/>
        <v>0.10064516129032258</v>
      </c>
      <c r="AB22" s="125">
        <v>1550</v>
      </c>
      <c r="AC22" s="129">
        <f t="shared" si="24"/>
        <v>129166.66666666666</v>
      </c>
      <c r="AD22" s="126">
        <f t="shared" si="25"/>
        <v>0.22124136725238214</v>
      </c>
      <c r="AE22" s="126">
        <f t="shared" si="11"/>
        <v>-4.1384895373880515E-2</v>
      </c>
      <c r="AS22" s="1"/>
      <c r="AT22" s="1"/>
    </row>
    <row r="23" spans="1:46" x14ac:dyDescent="0.25">
      <c r="A23" s="39" t="s">
        <v>13909</v>
      </c>
      <c r="B23" s="39" t="s">
        <v>13918</v>
      </c>
      <c r="C23" s="30">
        <v>8715839077766</v>
      </c>
      <c r="D23" s="16"/>
      <c r="E23" s="41">
        <f>F23/1.5</f>
        <v>66</v>
      </c>
      <c r="F23" s="41">
        <v>99</v>
      </c>
      <c r="G23" s="111">
        <v>221.4</v>
      </c>
      <c r="H23" s="94">
        <f t="shared" si="20"/>
        <v>28.203821656050959</v>
      </c>
      <c r="I23" s="95">
        <f>E23/H23</f>
        <v>2.3401084010840107</v>
      </c>
      <c r="J23" s="53" t="e">
        <f>VLOOKUP(A23,Mastersheet!$A:$AK,30,0)</f>
        <v>#N/A</v>
      </c>
      <c r="K23" s="41" t="e">
        <f>VLOOKUP(A23,Mastersheet!$A:$AK,32,0)</f>
        <v>#N/A</v>
      </c>
      <c r="L23" s="54" t="e">
        <f>VLOOKUP(A23,Mastersheet!$A:$AK,34,0)</f>
        <v>#N/A</v>
      </c>
      <c r="M23" s="96"/>
      <c r="N23" s="41">
        <f t="shared" si="7"/>
        <v>83.333333333333329</v>
      </c>
      <c r="O23" s="139">
        <v>125</v>
      </c>
      <c r="P23" s="87">
        <f t="shared" si="21"/>
        <v>0.12059620596205957</v>
      </c>
      <c r="Q23" s="111">
        <v>248.1</v>
      </c>
      <c r="R23" s="89">
        <f t="shared" si="26"/>
        <v>32.644736842105267</v>
      </c>
      <c r="S23" s="90">
        <f t="shared" si="18"/>
        <v>26</v>
      </c>
      <c r="T23" s="91">
        <f>N23/R23</f>
        <v>2.5527341125890093</v>
      </c>
      <c r="U23" s="91">
        <f>T23-I23</f>
        <v>0.21262571150499854</v>
      </c>
      <c r="W23" s="53">
        <v>0</v>
      </c>
      <c r="X23" s="41">
        <v>0</v>
      </c>
      <c r="Y23" s="54">
        <v>0</v>
      </c>
      <c r="Z23" s="124">
        <f t="shared" si="22"/>
        <v>0.26262626262626265</v>
      </c>
      <c r="AA23" s="124">
        <f t="shared" si="23"/>
        <v>0.10064516129032258</v>
      </c>
      <c r="AB23" s="125">
        <v>1550</v>
      </c>
      <c r="AC23" s="129">
        <f t="shared" si="24"/>
        <v>129166.66666666666</v>
      </c>
      <c r="AD23" s="126">
        <f t="shared" si="25"/>
        <v>0.22124136725238214</v>
      </c>
      <c r="AE23" s="126">
        <f t="shared" si="11"/>
        <v>-4.1384895373880515E-2</v>
      </c>
      <c r="AS23" s="1"/>
      <c r="AT23" s="1"/>
    </row>
    <row r="24" spans="1:46" x14ac:dyDescent="0.25">
      <c r="A24" s="39" t="s">
        <v>13910</v>
      </c>
      <c r="B24" s="39" t="s">
        <v>13919</v>
      </c>
      <c r="C24" s="30">
        <v>8715839077773</v>
      </c>
      <c r="D24" s="16"/>
      <c r="E24" s="41">
        <f>F24/1.5</f>
        <v>86</v>
      </c>
      <c r="F24" s="41">
        <v>129</v>
      </c>
      <c r="G24" s="111">
        <v>257.7</v>
      </c>
      <c r="H24" s="94">
        <f t="shared" si="20"/>
        <v>32.828025477707008</v>
      </c>
      <c r="I24" s="95">
        <f t="shared" ref="I24:I25" si="27">E24/H24</f>
        <v>2.6197128443927045</v>
      </c>
      <c r="J24" s="73" t="e">
        <f>VLOOKUP(A24,Mastersheet!$A:$AK,30,0)</f>
        <v>#N/A</v>
      </c>
      <c r="K24" s="72" t="e">
        <f>VLOOKUP(A24,Mastersheet!$A:$AK,32,0)</f>
        <v>#N/A</v>
      </c>
      <c r="L24" s="74" t="e">
        <f>VLOOKUP(A24,Mastersheet!$A:$AK,34,0)</f>
        <v>#N/A</v>
      </c>
      <c r="M24" s="96"/>
      <c r="N24" s="41">
        <f t="shared" si="7"/>
        <v>103.33333333333333</v>
      </c>
      <c r="O24" s="139">
        <v>155</v>
      </c>
      <c r="P24" s="87">
        <f t="shared" si="21"/>
        <v>0.10865347303065581</v>
      </c>
      <c r="Q24" s="111">
        <v>285.7</v>
      </c>
      <c r="R24" s="89">
        <f t="shared" si="26"/>
        <v>37.592105263157897</v>
      </c>
      <c r="S24" s="90">
        <f t="shared" si="18"/>
        <v>26</v>
      </c>
      <c r="T24" s="91">
        <f t="shared" ref="T24:T25" si="28">N24/R24</f>
        <v>2.7488041068720102</v>
      </c>
      <c r="U24" s="91">
        <f t="shared" ref="U24:U25" si="29">T24-I24</f>
        <v>0.12909126247930569</v>
      </c>
      <c r="W24" s="53">
        <v>0</v>
      </c>
      <c r="X24" s="41">
        <v>0</v>
      </c>
      <c r="Y24" s="54">
        <v>0</v>
      </c>
      <c r="Z24" s="124">
        <f t="shared" si="22"/>
        <v>0.20155038759689922</v>
      </c>
      <c r="AA24" s="124">
        <f t="shared" si="23"/>
        <v>8.1165452653485959E-2</v>
      </c>
      <c r="AB24" s="125">
        <v>1550</v>
      </c>
      <c r="AC24" s="129">
        <f t="shared" si="24"/>
        <v>160166.66666666666</v>
      </c>
      <c r="AD24" s="126">
        <f t="shared" si="25"/>
        <v>0.18981892568414177</v>
      </c>
      <c r="AE24" s="126">
        <f t="shared" si="11"/>
        <v>-1.1731461912757452E-2</v>
      </c>
      <c r="AS24" s="1"/>
      <c r="AT24" s="1"/>
    </row>
    <row r="25" spans="1:46" x14ac:dyDescent="0.25">
      <c r="A25" s="39" t="s">
        <v>13911</v>
      </c>
      <c r="B25" s="39" t="s">
        <v>13920</v>
      </c>
      <c r="C25" s="30">
        <v>8715839077780</v>
      </c>
      <c r="D25" s="16"/>
      <c r="E25" s="41">
        <f>F25/1.5</f>
        <v>86</v>
      </c>
      <c r="F25" s="41">
        <v>129</v>
      </c>
      <c r="G25" s="111">
        <v>257.7</v>
      </c>
      <c r="H25" s="94">
        <f t="shared" si="20"/>
        <v>32.828025477707008</v>
      </c>
      <c r="I25" s="95">
        <f t="shared" si="27"/>
        <v>2.6197128443927045</v>
      </c>
      <c r="J25" s="73" t="e">
        <f>VLOOKUP(A25,Mastersheet!$A:$AK,30,0)</f>
        <v>#N/A</v>
      </c>
      <c r="K25" s="72" t="e">
        <f>VLOOKUP(A25,Mastersheet!$A:$AK,32,0)</f>
        <v>#N/A</v>
      </c>
      <c r="L25" s="74" t="e">
        <f>VLOOKUP(A25,Mastersheet!$A:$AK,34,0)</f>
        <v>#N/A</v>
      </c>
      <c r="M25" s="96"/>
      <c r="N25" s="41">
        <f t="shared" si="7"/>
        <v>103.33333333333333</v>
      </c>
      <c r="O25" s="139">
        <v>155</v>
      </c>
      <c r="P25" s="87">
        <f t="shared" si="21"/>
        <v>0.10865347303065581</v>
      </c>
      <c r="Q25" s="111">
        <v>285.7</v>
      </c>
      <c r="R25" s="89">
        <f>Q25/7.6</f>
        <v>37.592105263157897</v>
      </c>
      <c r="S25" s="90">
        <f>O25-F25</f>
        <v>26</v>
      </c>
      <c r="T25" s="91">
        <f t="shared" si="28"/>
        <v>2.7488041068720102</v>
      </c>
      <c r="U25" s="91">
        <f t="shared" si="29"/>
        <v>0.12909126247930569</v>
      </c>
      <c r="W25" s="53">
        <v>0</v>
      </c>
      <c r="X25" s="41">
        <v>0</v>
      </c>
      <c r="Y25" s="54">
        <v>0</v>
      </c>
      <c r="Z25" s="124">
        <f t="shared" si="22"/>
        <v>0.20155038759689922</v>
      </c>
      <c r="AA25" s="124">
        <f t="shared" si="23"/>
        <v>8.1165452653485959E-2</v>
      </c>
      <c r="AB25" s="125">
        <v>1550</v>
      </c>
      <c r="AC25" s="129">
        <f t="shared" si="24"/>
        <v>160166.66666666666</v>
      </c>
      <c r="AD25" s="126">
        <f t="shared" si="25"/>
        <v>0.18981892568414177</v>
      </c>
      <c r="AE25" s="126">
        <f t="shared" si="11"/>
        <v>-1.1731461912757452E-2</v>
      </c>
      <c r="AS25" s="1"/>
      <c r="AT25" s="1"/>
    </row>
    <row r="26" spans="1:46" x14ac:dyDescent="0.25">
      <c r="A26" s="39" t="s">
        <v>13912</v>
      </c>
      <c r="B26" s="39" t="s">
        <v>13921</v>
      </c>
      <c r="C26" s="17">
        <v>8715839077797</v>
      </c>
      <c r="D26" s="16"/>
      <c r="E26" s="41">
        <f>F26/1.5</f>
        <v>79.333333333333329</v>
      </c>
      <c r="F26" s="41">
        <v>119</v>
      </c>
      <c r="G26" s="111">
        <v>250.8</v>
      </c>
      <c r="H26" s="94">
        <f t="shared" si="20"/>
        <v>31.949044585987263</v>
      </c>
      <c r="I26" s="95">
        <f>E26/H26</f>
        <v>2.4831206804891011</v>
      </c>
      <c r="J26" s="53"/>
      <c r="K26" s="41"/>
      <c r="L26" s="54"/>
      <c r="M26" s="96"/>
      <c r="N26" s="41">
        <f t="shared" si="7"/>
        <v>96.666666666666671</v>
      </c>
      <c r="O26" s="139">
        <v>145</v>
      </c>
      <c r="P26" s="87">
        <f t="shared" si="21"/>
        <v>0.14354066985645933</v>
      </c>
      <c r="Q26" s="111">
        <v>286.8</v>
      </c>
      <c r="R26" s="89">
        <f t="shared" si="26"/>
        <v>37.736842105263165</v>
      </c>
      <c r="S26" s="90">
        <f t="shared" si="18"/>
        <v>26</v>
      </c>
      <c r="T26" s="91">
        <f>N26/R26</f>
        <v>2.5615992561599255</v>
      </c>
      <c r="U26" s="91">
        <f>T26-I26</f>
        <v>7.8478575670824391E-2</v>
      </c>
      <c r="W26" s="53"/>
      <c r="X26" s="41"/>
      <c r="Y26" s="54"/>
      <c r="Z26" s="124">
        <f t="shared" si="22"/>
        <v>0.21848739495798319</v>
      </c>
      <c r="AA26" s="124">
        <f t="shared" si="23"/>
        <v>8.6763070077864282E-2</v>
      </c>
      <c r="AB26" s="125">
        <v>1550</v>
      </c>
      <c r="AC26" s="129">
        <f t="shared" si="24"/>
        <v>149833.33333333334</v>
      </c>
      <c r="AD26" s="126">
        <f t="shared" si="25"/>
        <v>0.23030373993432363</v>
      </c>
      <c r="AE26" s="126">
        <f t="shared" si="11"/>
        <v>1.1816344976340432E-2</v>
      </c>
      <c r="AS26" s="1"/>
      <c r="AT26" s="1"/>
    </row>
    <row r="27" spans="1:46" x14ac:dyDescent="0.25">
      <c r="A27" s="39" t="s">
        <v>13913</v>
      </c>
      <c r="B27" s="39" t="s">
        <v>13922</v>
      </c>
      <c r="C27" s="17">
        <v>8715839077803</v>
      </c>
      <c r="D27" s="16"/>
      <c r="E27" s="41">
        <f t="shared" si="19"/>
        <v>79.333333333333329</v>
      </c>
      <c r="F27" s="41">
        <v>119</v>
      </c>
      <c r="G27" s="111">
        <v>250.8</v>
      </c>
      <c r="H27" s="94">
        <f t="shared" si="20"/>
        <v>31.949044585987263</v>
      </c>
      <c r="I27" s="95">
        <f>E27/H27</f>
        <v>2.4831206804891011</v>
      </c>
      <c r="J27" s="53"/>
      <c r="K27" s="41"/>
      <c r="L27" s="54"/>
      <c r="M27" s="96"/>
      <c r="N27" s="41">
        <f t="shared" si="7"/>
        <v>96.666666666666671</v>
      </c>
      <c r="O27" s="139">
        <v>145</v>
      </c>
      <c r="P27" s="87">
        <f t="shared" si="21"/>
        <v>0.14354066985645933</v>
      </c>
      <c r="Q27" s="111">
        <v>286.8</v>
      </c>
      <c r="R27" s="89">
        <f t="shared" si="26"/>
        <v>37.736842105263165</v>
      </c>
      <c r="S27" s="90">
        <f t="shared" si="18"/>
        <v>26</v>
      </c>
      <c r="T27" s="91">
        <f>N27/R27</f>
        <v>2.5615992561599255</v>
      </c>
      <c r="U27" s="91">
        <f>T27-I27</f>
        <v>7.8478575670824391E-2</v>
      </c>
      <c r="W27" s="53"/>
      <c r="X27" s="41"/>
      <c r="Y27" s="54"/>
      <c r="Z27" s="124">
        <f t="shared" si="22"/>
        <v>0.21848739495798319</v>
      </c>
      <c r="AA27" s="124">
        <f t="shared" si="23"/>
        <v>8.6763070077864282E-2</v>
      </c>
      <c r="AB27" s="125">
        <v>1550</v>
      </c>
      <c r="AC27" s="129">
        <f t="shared" si="24"/>
        <v>149833.33333333334</v>
      </c>
      <c r="AD27" s="126">
        <f t="shared" si="25"/>
        <v>0.23030373993432363</v>
      </c>
      <c r="AE27" s="126">
        <f t="shared" si="11"/>
        <v>1.1816344976340432E-2</v>
      </c>
      <c r="AS27" s="1"/>
      <c r="AT27" s="1"/>
    </row>
    <row r="28" spans="1:46" x14ac:dyDescent="0.25">
      <c r="A28" s="98" t="s">
        <v>13914</v>
      </c>
      <c r="B28" s="98" t="s">
        <v>13923</v>
      </c>
      <c r="C28" s="99">
        <v>8715839077810</v>
      </c>
      <c r="D28" s="16"/>
      <c r="E28" s="100">
        <f t="shared" si="19"/>
        <v>79.333333333333329</v>
      </c>
      <c r="F28" s="100">
        <v>119</v>
      </c>
      <c r="G28" s="112">
        <v>250.8</v>
      </c>
      <c r="H28" s="101">
        <f t="shared" si="20"/>
        <v>31.949044585987263</v>
      </c>
      <c r="I28" s="102">
        <f>E28/H28</f>
        <v>2.4831206804891011</v>
      </c>
      <c r="J28" s="53" t="e">
        <f>VLOOKUP(A28,Mastersheet!$A:$AK,30,0)</f>
        <v>#N/A</v>
      </c>
      <c r="K28" s="41" t="e">
        <f>VLOOKUP(A28,Mastersheet!$A:$AK,32,0)</f>
        <v>#N/A</v>
      </c>
      <c r="L28" s="54" t="e">
        <f>VLOOKUP(A28,Mastersheet!$A:$AK,34,0)</f>
        <v>#N/A</v>
      </c>
      <c r="M28" s="96"/>
      <c r="N28" s="100">
        <f t="shared" si="7"/>
        <v>96.666666666666671</v>
      </c>
      <c r="O28" s="139">
        <v>145</v>
      </c>
      <c r="P28" s="103">
        <f t="shared" si="21"/>
        <v>0.14354066985645933</v>
      </c>
      <c r="Q28" s="112">
        <v>286.8</v>
      </c>
      <c r="R28" s="104">
        <f t="shared" si="26"/>
        <v>37.736842105263165</v>
      </c>
      <c r="S28" s="105">
        <f t="shared" si="18"/>
        <v>26</v>
      </c>
      <c r="T28" s="106">
        <f>N28/R28</f>
        <v>2.5615992561599255</v>
      </c>
      <c r="U28" s="106">
        <f>T28-I28</f>
        <v>7.8478575670824391E-2</v>
      </c>
      <c r="W28" s="53">
        <v>0</v>
      </c>
      <c r="X28" s="41">
        <v>0</v>
      </c>
      <c r="Y28" s="54">
        <v>0</v>
      </c>
      <c r="Z28" s="124">
        <f t="shared" si="22"/>
        <v>0.21848739495798319</v>
      </c>
      <c r="AA28" s="124">
        <f t="shared" si="23"/>
        <v>8.6763070077864282E-2</v>
      </c>
      <c r="AB28" s="125">
        <v>1550</v>
      </c>
      <c r="AC28" s="129">
        <f t="shared" si="24"/>
        <v>149833.33333333334</v>
      </c>
      <c r="AD28" s="126">
        <f t="shared" si="25"/>
        <v>0.23030373993432363</v>
      </c>
      <c r="AE28" s="126">
        <f t="shared" si="11"/>
        <v>1.1816344976340432E-2</v>
      </c>
      <c r="AS28" s="1"/>
      <c r="AT28" s="1"/>
    </row>
    <row r="29" spans="1:46" x14ac:dyDescent="0.25">
      <c r="A29" s="70" t="s">
        <v>13937</v>
      </c>
      <c r="B29" s="70" t="s">
        <v>13942</v>
      </c>
      <c r="C29" s="71">
        <v>8715839085372</v>
      </c>
      <c r="D29" s="16"/>
      <c r="E29" s="82" t="s">
        <v>13885</v>
      </c>
      <c r="F29" s="82" t="s">
        <v>13885</v>
      </c>
      <c r="G29" s="82" t="s">
        <v>13885</v>
      </c>
      <c r="H29" s="82" t="s">
        <v>13885</v>
      </c>
      <c r="I29" s="82" t="s">
        <v>13885</v>
      </c>
      <c r="J29" s="62"/>
      <c r="K29" s="42"/>
      <c r="L29" s="63"/>
      <c r="N29" s="72">
        <f t="shared" si="7"/>
        <v>90</v>
      </c>
      <c r="O29" s="139">
        <v>135</v>
      </c>
      <c r="P29" s="83" t="s">
        <v>13885</v>
      </c>
      <c r="Q29" s="121">
        <f>Q23+30</f>
        <v>278.10000000000002</v>
      </c>
      <c r="R29" s="92">
        <f t="shared" si="26"/>
        <v>36.592105263157897</v>
      </c>
      <c r="S29" s="83" t="s">
        <v>13885</v>
      </c>
      <c r="T29" s="93">
        <f>N29/R29</f>
        <v>2.4595469255663427</v>
      </c>
      <c r="U29" s="83" t="s">
        <v>13885</v>
      </c>
      <c r="W29" s="62"/>
      <c r="X29" s="42"/>
      <c r="Y29" s="63"/>
      <c r="Z29" s="127" t="s">
        <v>13885</v>
      </c>
      <c r="AA29" s="127" t="s">
        <v>13885</v>
      </c>
      <c r="AB29" s="125">
        <v>1550</v>
      </c>
      <c r="AC29" s="142">
        <f t="shared" si="24"/>
        <v>139500</v>
      </c>
      <c r="AD29" s="127" t="s">
        <v>13885</v>
      </c>
      <c r="AE29" s="127" t="s">
        <v>13885</v>
      </c>
      <c r="AS29" s="1"/>
      <c r="AT29" s="1"/>
    </row>
    <row r="30" spans="1:46" x14ac:dyDescent="0.25">
      <c r="A30" s="70" t="s">
        <v>13938</v>
      </c>
      <c r="B30" s="70" t="s">
        <v>13943</v>
      </c>
      <c r="C30" s="71">
        <v>8715839085358</v>
      </c>
      <c r="D30" s="16"/>
      <c r="E30" s="82" t="s">
        <v>13885</v>
      </c>
      <c r="F30" s="82" t="s">
        <v>13885</v>
      </c>
      <c r="G30" s="82" t="s">
        <v>13885</v>
      </c>
      <c r="H30" s="82" t="s">
        <v>13885</v>
      </c>
      <c r="I30" s="82" t="s">
        <v>13885</v>
      </c>
      <c r="J30" s="62"/>
      <c r="K30" s="42"/>
      <c r="L30" s="63"/>
      <c r="N30" s="72">
        <f t="shared" si="7"/>
        <v>103.33333333333333</v>
      </c>
      <c r="O30" s="139">
        <v>155</v>
      </c>
      <c r="P30" s="83" t="s">
        <v>13885</v>
      </c>
      <c r="Q30" s="121">
        <f>Q28+25</f>
        <v>311.8</v>
      </c>
      <c r="R30" s="92">
        <f t="shared" si="26"/>
        <v>41.026315789473685</v>
      </c>
      <c r="S30" s="83" t="s">
        <v>13885</v>
      </c>
      <c r="T30" s="93">
        <f t="shared" ref="T30:T31" si="30">N30/R30</f>
        <v>2.5187085738721402</v>
      </c>
      <c r="U30" s="83" t="s">
        <v>13885</v>
      </c>
      <c r="W30" s="62"/>
      <c r="X30" s="42"/>
      <c r="Y30" s="63"/>
      <c r="Z30" s="127" t="s">
        <v>13885</v>
      </c>
      <c r="AA30" s="127" t="s">
        <v>13885</v>
      </c>
      <c r="AB30" s="125">
        <v>1550</v>
      </c>
      <c r="AC30" s="142">
        <f t="shared" si="24"/>
        <v>160166.66666666666</v>
      </c>
      <c r="AD30" s="127" t="s">
        <v>13885</v>
      </c>
      <c r="AE30" s="127" t="s">
        <v>13885</v>
      </c>
      <c r="AS30" s="1"/>
      <c r="AT30" s="1"/>
    </row>
    <row r="31" spans="1:46" x14ac:dyDescent="0.25">
      <c r="A31" s="70" t="s">
        <v>13939</v>
      </c>
      <c r="B31" s="70" t="s">
        <v>13944</v>
      </c>
      <c r="C31" s="71">
        <v>8715839085365</v>
      </c>
      <c r="D31" s="16"/>
      <c r="E31" s="82" t="s">
        <v>13885</v>
      </c>
      <c r="F31" s="82" t="s">
        <v>13885</v>
      </c>
      <c r="G31" s="82" t="s">
        <v>13885</v>
      </c>
      <c r="H31" s="82" t="s">
        <v>13885</v>
      </c>
      <c r="I31" s="82" t="s">
        <v>13885</v>
      </c>
      <c r="J31" s="62"/>
      <c r="K31" s="42"/>
      <c r="L31" s="63"/>
      <c r="N31" s="72">
        <f t="shared" si="7"/>
        <v>103.33333333333333</v>
      </c>
      <c r="O31" s="139">
        <v>155</v>
      </c>
      <c r="P31" s="83" t="s">
        <v>13885</v>
      </c>
      <c r="Q31" s="121">
        <f>Q28+30</f>
        <v>316.8</v>
      </c>
      <c r="R31" s="92">
        <f t="shared" si="26"/>
        <v>41.684210526315795</v>
      </c>
      <c r="S31" s="83" t="s">
        <v>13885</v>
      </c>
      <c r="T31" s="93">
        <f t="shared" si="30"/>
        <v>2.4789562289562284</v>
      </c>
      <c r="U31" s="83" t="s">
        <v>13885</v>
      </c>
      <c r="W31" s="62"/>
      <c r="X31" s="42"/>
      <c r="Y31" s="63"/>
      <c r="Z31" s="127" t="s">
        <v>13885</v>
      </c>
      <c r="AA31" s="127" t="s">
        <v>13885</v>
      </c>
      <c r="AB31" s="125">
        <v>1550</v>
      </c>
      <c r="AC31" s="142">
        <f t="shared" si="24"/>
        <v>160166.66666666666</v>
      </c>
      <c r="AD31" s="127" t="s">
        <v>13885</v>
      </c>
      <c r="AE31" s="127" t="s">
        <v>13885</v>
      </c>
      <c r="AS31" s="1"/>
      <c r="AT31" s="1"/>
    </row>
    <row r="32" spans="1:46" ht="13.8" x14ac:dyDescent="0.25">
      <c r="A32" s="20"/>
      <c r="B32" s="81" t="s">
        <v>13928</v>
      </c>
      <c r="C32" s="21"/>
      <c r="D32" s="16"/>
      <c r="E32" s="60"/>
      <c r="F32" s="61"/>
      <c r="G32" s="67"/>
      <c r="N32" s="20"/>
      <c r="O32" s="61"/>
      <c r="P32" s="20"/>
      <c r="Q32" s="88"/>
      <c r="R32" s="20"/>
      <c r="S32" s="20"/>
      <c r="T32" s="20"/>
      <c r="U32" s="91"/>
      <c r="AA32" s="117"/>
      <c r="AC32" s="119"/>
      <c r="AD32" s="120"/>
      <c r="AS32" s="1"/>
      <c r="AT32" s="1"/>
    </row>
    <row r="33" spans="1:47" x14ac:dyDescent="0.25">
      <c r="A33" s="39" t="s">
        <v>172</v>
      </c>
      <c r="B33" s="39" t="s">
        <v>13269</v>
      </c>
      <c r="C33" s="30">
        <v>8715839045222</v>
      </c>
      <c r="D33" s="16"/>
      <c r="E33" s="44">
        <f>F33/1.5</f>
        <v>159.33333333333334</v>
      </c>
      <c r="F33" s="113">
        <v>239</v>
      </c>
      <c r="G33" s="116"/>
      <c r="H33" s="94">
        <f>35.74+37</f>
        <v>72.740000000000009</v>
      </c>
      <c r="I33" s="95">
        <f>E33/H33</f>
        <v>2.190450004582531</v>
      </c>
      <c r="J33" s="53">
        <f>VLOOKUP(A33,Mastersheet!$A:$AK,30,0)</f>
        <v>183.2</v>
      </c>
      <c r="K33" s="41">
        <f>VLOOKUP(A33,Mastersheet!$A:$AK,32,0)</f>
        <v>151.83000000000001</v>
      </c>
      <c r="L33" s="54">
        <f>VLOOKUP(A33,Mastersheet!$A:$AK,34,0)</f>
        <v>121.92</v>
      </c>
      <c r="N33" s="41">
        <f t="shared" si="7"/>
        <v>190</v>
      </c>
      <c r="O33" s="44">
        <v>285</v>
      </c>
      <c r="P33" s="87">
        <f>(R33-H33)/(H33)</f>
        <v>0.11850426175419287</v>
      </c>
      <c r="Q33" s="115"/>
      <c r="R33" s="89">
        <f>40.36+41</f>
        <v>81.36</v>
      </c>
      <c r="S33" s="90">
        <f t="shared" ref="S33:S34" si="31">O33-F33</f>
        <v>46</v>
      </c>
      <c r="T33" s="91">
        <f>N33/R33</f>
        <v>2.3352999016715832</v>
      </c>
      <c r="U33" s="91">
        <f>T33-I33</f>
        <v>0.14484989708905216</v>
      </c>
      <c r="W33" s="53">
        <v>0</v>
      </c>
      <c r="X33" s="41">
        <v>0</v>
      </c>
      <c r="Y33" s="54">
        <v>0</v>
      </c>
      <c r="Z33" s="124">
        <f>S33/F33</f>
        <v>0.19246861924686193</v>
      </c>
      <c r="AA33" s="124">
        <f>13000/AC33</f>
        <v>4.4142614601018676E-2</v>
      </c>
      <c r="AB33" s="125">
        <v>1550</v>
      </c>
      <c r="AC33" s="129">
        <f t="shared" ref="AC33:AC43" si="32">N33*AB33</f>
        <v>294500</v>
      </c>
      <c r="AD33" s="120"/>
      <c r="AS33" s="1"/>
      <c r="AT33" s="1"/>
    </row>
    <row r="34" spans="1:47" x14ac:dyDescent="0.25">
      <c r="A34" s="39" t="s">
        <v>173</v>
      </c>
      <c r="B34" s="39" t="s">
        <v>13272</v>
      </c>
      <c r="C34" s="17">
        <v>8715839045208</v>
      </c>
      <c r="D34" s="16"/>
      <c r="E34" s="41">
        <f>F34/1.5</f>
        <v>179.33333333333334</v>
      </c>
      <c r="F34" s="114">
        <v>269</v>
      </c>
      <c r="G34" s="116"/>
      <c r="H34" s="94">
        <f>35.74+47</f>
        <v>82.740000000000009</v>
      </c>
      <c r="I34" s="95">
        <f>E34/H34</f>
        <v>2.1674321166706951</v>
      </c>
      <c r="J34" s="53">
        <f>VLOOKUP(A34,Mastersheet!$A:$AK,30,0)</f>
        <v>207.2</v>
      </c>
      <c r="K34" s="41">
        <f>VLOOKUP(A34,Mastersheet!$A:$AK,32,0)</f>
        <v>170.12</v>
      </c>
      <c r="L34" s="54">
        <f>VLOOKUP(A34,Mastersheet!$A:$AK,34,0)</f>
        <v>139.41999999999999</v>
      </c>
      <c r="N34" s="41">
        <f t="shared" si="7"/>
        <v>216.66666666666666</v>
      </c>
      <c r="O34" s="41">
        <v>325</v>
      </c>
      <c r="P34" s="87">
        <f>(R34-H34)/(H34)</f>
        <v>0.11626782692772528</v>
      </c>
      <c r="Q34" s="115"/>
      <c r="R34" s="89">
        <f>40.36+52</f>
        <v>92.36</v>
      </c>
      <c r="S34" s="90">
        <f t="shared" si="31"/>
        <v>56</v>
      </c>
      <c r="T34" s="91">
        <f>N34/R34</f>
        <v>2.3458928829218997</v>
      </c>
      <c r="U34" s="91">
        <f>T34-I34</f>
        <v>0.17846076625120455</v>
      </c>
      <c r="W34" s="53">
        <v>0</v>
      </c>
      <c r="X34" s="41">
        <v>0</v>
      </c>
      <c r="Y34" s="54">
        <v>0</v>
      </c>
      <c r="Z34" s="124">
        <f t="shared" ref="Z34" si="33">S34/F34</f>
        <v>0.20817843866171004</v>
      </c>
      <c r="AA34" s="124">
        <f>13000/AC34</f>
        <v>3.870967741935484E-2</v>
      </c>
      <c r="AB34" s="125">
        <v>1550</v>
      </c>
      <c r="AC34" s="129">
        <f t="shared" si="32"/>
        <v>335833.33333333331</v>
      </c>
      <c r="AD34" s="120"/>
      <c r="AQ34" s="1"/>
      <c r="AR34" s="1"/>
      <c r="AS34" s="1"/>
      <c r="AT34" s="1"/>
    </row>
    <row r="35" spans="1:47" ht="13.8" x14ac:dyDescent="0.25">
      <c r="A35" s="20"/>
      <c r="B35" s="81" t="s">
        <v>13903</v>
      </c>
      <c r="C35" s="21"/>
      <c r="D35" s="96"/>
      <c r="E35" s="19"/>
      <c r="F35" s="19"/>
      <c r="G35" s="67"/>
      <c r="H35" s="20"/>
      <c r="I35" s="20"/>
      <c r="N35" s="20"/>
      <c r="O35" s="19"/>
      <c r="P35" s="20"/>
      <c r="Q35" s="88"/>
      <c r="R35" s="20"/>
      <c r="S35" s="20"/>
      <c r="T35" s="20"/>
      <c r="U35" s="91"/>
      <c r="Z35" s="123"/>
      <c r="AA35" s="140"/>
      <c r="AB35" s="123"/>
      <c r="AC35" s="143"/>
      <c r="AD35" s="120"/>
      <c r="AS35" s="1"/>
      <c r="AT35" s="1"/>
    </row>
    <row r="36" spans="1:47" x14ac:dyDescent="0.25">
      <c r="A36" s="39" t="s">
        <v>13891</v>
      </c>
      <c r="B36" s="39" t="s">
        <v>13890</v>
      </c>
      <c r="C36" s="17">
        <v>8715839065749</v>
      </c>
      <c r="D36" s="96"/>
      <c r="E36" s="41">
        <f t="shared" ref="E36:E43" si="34">F36/1.5</f>
        <v>6.666666666666667</v>
      </c>
      <c r="F36" s="41">
        <v>10</v>
      </c>
      <c r="G36" s="111">
        <v>18</v>
      </c>
      <c r="H36" s="94">
        <f>G36/7.85</f>
        <v>2.2929936305732483</v>
      </c>
      <c r="I36" s="95">
        <f t="shared" ref="I36:I43" si="35">E36/H36</f>
        <v>2.9074074074074074</v>
      </c>
      <c r="J36" s="53" t="e">
        <f>VLOOKUP(A36,Mastersheet!$A:$AK,30,0)</f>
        <v>#N/A</v>
      </c>
      <c r="K36" s="41" t="e">
        <f>VLOOKUP(A36,Mastersheet!$A:$AK,32,0)</f>
        <v>#N/A</v>
      </c>
      <c r="L36" s="54" t="e">
        <f>VLOOKUP(A36,Mastersheet!$A:$AK,34,0)</f>
        <v>#N/A</v>
      </c>
      <c r="N36" s="41">
        <f t="shared" ref="N36:N42" si="36">O36/1.5</f>
        <v>9.3333333333333339</v>
      </c>
      <c r="O36" s="41">
        <v>14</v>
      </c>
      <c r="P36" s="87">
        <f t="shared" si="21"/>
        <v>0</v>
      </c>
      <c r="Q36" s="111">
        <v>18</v>
      </c>
      <c r="R36" s="89">
        <f>Q36/7.6</f>
        <v>2.3684210526315792</v>
      </c>
      <c r="S36" s="90">
        <f>O36-F36</f>
        <v>4</v>
      </c>
      <c r="T36" s="91">
        <f t="shared" ref="T36:T43" si="37">N36/R36</f>
        <v>3.9407407407407407</v>
      </c>
      <c r="U36" s="91">
        <f>T36-I36</f>
        <v>1.0333333333333332</v>
      </c>
      <c r="W36" s="53">
        <v>0</v>
      </c>
      <c r="X36" s="41">
        <v>0</v>
      </c>
      <c r="Y36" s="54">
        <v>0</v>
      </c>
      <c r="Z36" s="124">
        <f t="shared" ref="Z36:Z43" si="38">S36/F36</f>
        <v>0.4</v>
      </c>
      <c r="AA36" s="124">
        <f>13000/AC36</f>
        <v>0.89861751152073721</v>
      </c>
      <c r="AB36" s="125">
        <v>1550</v>
      </c>
      <c r="AC36" s="129">
        <f t="shared" si="32"/>
        <v>14466.666666666668</v>
      </c>
      <c r="AD36" s="120"/>
      <c r="AS36" s="1"/>
      <c r="AT36" s="1"/>
    </row>
    <row r="37" spans="1:47" customFormat="1" x14ac:dyDescent="0.25">
      <c r="A37" s="39" t="s">
        <v>13892</v>
      </c>
      <c r="B37" s="39" t="s">
        <v>13893</v>
      </c>
      <c r="C37" s="17">
        <v>8715839065725</v>
      </c>
      <c r="D37" s="96"/>
      <c r="E37" s="41">
        <f t="shared" si="34"/>
        <v>16.666666666666668</v>
      </c>
      <c r="F37" s="41">
        <v>25</v>
      </c>
      <c r="G37" s="111">
        <v>50</v>
      </c>
      <c r="H37" s="94">
        <f t="shared" ref="H37:H43" si="39">G37/7.85</f>
        <v>6.369426751592357</v>
      </c>
      <c r="I37" s="95">
        <f t="shared" si="35"/>
        <v>2.6166666666666667</v>
      </c>
      <c r="J37" s="53" t="e">
        <f>VLOOKUP(A37,Mastersheet!$A:$AK,30,0)</f>
        <v>#N/A</v>
      </c>
      <c r="K37" s="41" t="e">
        <f>VLOOKUP(A37,Mastersheet!$A:$AK,32,0)</f>
        <v>#N/A</v>
      </c>
      <c r="L37" s="54" t="e">
        <f>VLOOKUP(A37,Mastersheet!$A:$AK,34,0)</f>
        <v>#N/A</v>
      </c>
      <c r="N37" s="41">
        <f t="shared" si="36"/>
        <v>19.333333333333332</v>
      </c>
      <c r="O37" s="41">
        <v>29</v>
      </c>
      <c r="P37" s="87">
        <f t="shared" si="21"/>
        <v>0.1</v>
      </c>
      <c r="Q37" s="111">
        <v>55</v>
      </c>
      <c r="R37" s="89">
        <f t="shared" ref="R37:R43" si="40">Q37/7.6</f>
        <v>7.2368421052631584</v>
      </c>
      <c r="S37" s="90">
        <f>O37-F37</f>
        <v>4</v>
      </c>
      <c r="T37" s="91">
        <f t="shared" si="37"/>
        <v>2.671515151515151</v>
      </c>
      <c r="U37" s="91">
        <f>T37-I37</f>
        <v>5.4848484848484258E-2</v>
      </c>
      <c r="W37" s="53">
        <v>0</v>
      </c>
      <c r="X37" s="41">
        <v>0</v>
      </c>
      <c r="Y37" s="54">
        <v>0</v>
      </c>
      <c r="Z37" s="124">
        <f t="shared" si="38"/>
        <v>0.16</v>
      </c>
      <c r="AA37" s="124">
        <f t="shared" ref="AA37:AA43" si="41">13000/AC37</f>
        <v>0.43381535038932151</v>
      </c>
      <c r="AB37" s="125">
        <v>1550</v>
      </c>
      <c r="AC37" s="129">
        <f t="shared" si="32"/>
        <v>29966.666666666664</v>
      </c>
      <c r="AD37" s="120"/>
      <c r="AS37" s="1"/>
    </row>
    <row r="38" spans="1:47" customFormat="1" x14ac:dyDescent="0.25">
      <c r="A38" s="39" t="s">
        <v>13895</v>
      </c>
      <c r="B38" s="39" t="s">
        <v>13894</v>
      </c>
      <c r="C38" s="17">
        <v>8715839065732</v>
      </c>
      <c r="D38" s="96"/>
      <c r="E38" s="41">
        <f t="shared" si="34"/>
        <v>8.3333333333333339</v>
      </c>
      <c r="F38" s="41">
        <v>12.5</v>
      </c>
      <c r="G38" s="111">
        <v>17.600000000000001</v>
      </c>
      <c r="H38" s="94">
        <f t="shared" si="39"/>
        <v>2.2420382165605099</v>
      </c>
      <c r="I38" s="95">
        <f t="shared" si="35"/>
        <v>3.7168560606060601</v>
      </c>
      <c r="J38" s="53" t="e">
        <f>VLOOKUP(A38,Mastersheet!$A:$AK,30,0)</f>
        <v>#N/A</v>
      </c>
      <c r="K38" s="41" t="e">
        <f>VLOOKUP(A38,Mastersheet!$A:$AK,32,0)</f>
        <v>#N/A</v>
      </c>
      <c r="L38" s="54" t="e">
        <f>VLOOKUP(A38,Mastersheet!$A:$AK,34,0)</f>
        <v>#N/A</v>
      </c>
      <c r="N38" s="41">
        <f t="shared" si="36"/>
        <v>10.666666666666666</v>
      </c>
      <c r="O38" s="41">
        <v>16</v>
      </c>
      <c r="P38" s="87">
        <f t="shared" si="21"/>
        <v>9.9999999999999881E-2</v>
      </c>
      <c r="Q38" s="111">
        <v>19.36</v>
      </c>
      <c r="R38" s="89">
        <f t="shared" si="40"/>
        <v>2.5473684210526315</v>
      </c>
      <c r="S38" s="90">
        <f>O38-F38</f>
        <v>3.5</v>
      </c>
      <c r="T38" s="91">
        <f t="shared" si="37"/>
        <v>4.1873278236914597</v>
      </c>
      <c r="U38" s="91">
        <f>T38-I38</f>
        <v>0.47047176308539962</v>
      </c>
      <c r="W38" s="53">
        <v>0</v>
      </c>
      <c r="X38" s="41">
        <v>0</v>
      </c>
      <c r="Y38" s="54">
        <v>0</v>
      </c>
      <c r="Z38" s="124">
        <f t="shared" si="38"/>
        <v>0.28000000000000003</v>
      </c>
      <c r="AA38" s="124">
        <f t="shared" si="41"/>
        <v>0.78629032258064524</v>
      </c>
      <c r="AB38" s="125">
        <v>1550</v>
      </c>
      <c r="AC38" s="129">
        <f t="shared" si="32"/>
        <v>16533.333333333332</v>
      </c>
      <c r="AD38" s="120"/>
      <c r="AU38" s="1"/>
    </row>
    <row r="39" spans="1:47" customFormat="1" x14ac:dyDescent="0.25">
      <c r="A39" s="39" t="s">
        <v>13933</v>
      </c>
      <c r="B39" s="39" t="s">
        <v>13929</v>
      </c>
      <c r="C39" s="17">
        <v>8715839078909</v>
      </c>
      <c r="D39" s="96"/>
      <c r="E39" s="41">
        <f t="shared" si="34"/>
        <v>12.666666666666666</v>
      </c>
      <c r="F39" s="41">
        <v>19</v>
      </c>
      <c r="G39" s="111">
        <v>45</v>
      </c>
      <c r="H39" s="94">
        <f t="shared" si="39"/>
        <v>5.7324840764331215</v>
      </c>
      <c r="I39" s="95">
        <f t="shared" si="35"/>
        <v>2.2096296296296294</v>
      </c>
      <c r="J39" s="64"/>
      <c r="K39" s="43"/>
      <c r="L39" s="65"/>
      <c r="N39" s="41">
        <f t="shared" si="36"/>
        <v>18.333333333333332</v>
      </c>
      <c r="O39" s="41">
        <v>27.5</v>
      </c>
      <c r="P39" s="87">
        <f t="shared" si="21"/>
        <v>0</v>
      </c>
      <c r="Q39" s="111">
        <v>45</v>
      </c>
      <c r="R39" s="89">
        <f t="shared" si="40"/>
        <v>5.9210526315789478</v>
      </c>
      <c r="S39" s="90">
        <f t="shared" ref="S39:S43" si="42">O39-F39</f>
        <v>8.5</v>
      </c>
      <c r="T39" s="91">
        <f t="shared" si="37"/>
        <v>3.0962962962962957</v>
      </c>
      <c r="U39" s="91">
        <f t="shared" ref="U39:U43" si="43">T39-I39</f>
        <v>0.88666666666666627</v>
      </c>
      <c r="W39" s="64"/>
      <c r="X39" s="43"/>
      <c r="Y39" s="65"/>
      <c r="Z39" s="124">
        <f t="shared" si="38"/>
        <v>0.44736842105263158</v>
      </c>
      <c r="AA39" s="124">
        <f t="shared" si="41"/>
        <v>0.45747800586510268</v>
      </c>
      <c r="AB39" s="125">
        <v>1550</v>
      </c>
      <c r="AC39" s="129">
        <f t="shared" si="32"/>
        <v>28416.666666666664</v>
      </c>
      <c r="AD39" s="120"/>
    </row>
    <row r="40" spans="1:47" customFormat="1" x14ac:dyDescent="0.25">
      <c r="A40" s="39" t="s">
        <v>13934</v>
      </c>
      <c r="B40" s="39" t="s">
        <v>13930</v>
      </c>
      <c r="C40" s="17">
        <v>8715839078916</v>
      </c>
      <c r="D40" s="96"/>
      <c r="E40" s="41">
        <f t="shared" si="34"/>
        <v>3.3333333333333335</v>
      </c>
      <c r="F40" s="41">
        <v>5</v>
      </c>
      <c r="G40" s="111">
        <v>7.4</v>
      </c>
      <c r="H40" s="94">
        <f t="shared" si="39"/>
        <v>0.94267515923566891</v>
      </c>
      <c r="I40" s="95">
        <f t="shared" si="35"/>
        <v>3.5360360360360357</v>
      </c>
      <c r="J40" s="108"/>
      <c r="K40" s="109"/>
      <c r="L40" s="110"/>
      <c r="M40" s="107"/>
      <c r="N40" s="41">
        <f t="shared" si="36"/>
        <v>7.333333333333333</v>
      </c>
      <c r="O40" s="41">
        <v>11</v>
      </c>
      <c r="P40" s="87">
        <f t="shared" si="21"/>
        <v>0.13513513513513511</v>
      </c>
      <c r="Q40" s="111">
        <v>8.4</v>
      </c>
      <c r="R40" s="89">
        <f t="shared" si="40"/>
        <v>1.1052631578947369</v>
      </c>
      <c r="S40" s="90">
        <f t="shared" si="42"/>
        <v>6</v>
      </c>
      <c r="T40" s="91">
        <f t="shared" si="37"/>
        <v>6.6349206349206344</v>
      </c>
      <c r="U40" s="91">
        <f t="shared" si="43"/>
        <v>3.0988845988845988</v>
      </c>
      <c r="W40" s="64"/>
      <c r="X40" s="43"/>
      <c r="Y40" s="65"/>
      <c r="Z40" s="124">
        <f t="shared" si="38"/>
        <v>1.2</v>
      </c>
      <c r="AA40" s="124">
        <f t="shared" si="41"/>
        <v>1.1436950146627567</v>
      </c>
      <c r="AB40" s="125">
        <v>1550</v>
      </c>
      <c r="AC40" s="129">
        <f t="shared" si="32"/>
        <v>11366.666666666666</v>
      </c>
      <c r="AD40" s="120"/>
    </row>
    <row r="41" spans="1:47" customFormat="1" x14ac:dyDescent="0.25">
      <c r="A41" s="39" t="s">
        <v>13935</v>
      </c>
      <c r="B41" s="39" t="s">
        <v>13931</v>
      </c>
      <c r="C41" s="17">
        <v>8715839078923</v>
      </c>
      <c r="D41" s="96"/>
      <c r="E41" s="41">
        <f t="shared" si="34"/>
        <v>8.3333333333333339</v>
      </c>
      <c r="F41" s="41">
        <v>12.5</v>
      </c>
      <c r="G41" s="111">
        <v>24.5</v>
      </c>
      <c r="H41" s="94">
        <f t="shared" si="39"/>
        <v>3.121019108280255</v>
      </c>
      <c r="I41" s="95">
        <f t="shared" si="35"/>
        <v>2.6700680272108843</v>
      </c>
      <c r="J41" s="108"/>
      <c r="K41" s="109"/>
      <c r="L41" s="110"/>
      <c r="M41" s="107"/>
      <c r="N41" s="41">
        <f t="shared" si="36"/>
        <v>10.666666666666666</v>
      </c>
      <c r="O41" s="41">
        <v>16</v>
      </c>
      <c r="P41" s="87">
        <f t="shared" si="21"/>
        <v>0</v>
      </c>
      <c r="Q41" s="111">
        <v>24.5</v>
      </c>
      <c r="R41" s="89">
        <f t="shared" si="40"/>
        <v>3.2236842105263159</v>
      </c>
      <c r="S41" s="90">
        <f t="shared" si="42"/>
        <v>3.5</v>
      </c>
      <c r="T41" s="91">
        <f t="shared" si="37"/>
        <v>3.3088435374149658</v>
      </c>
      <c r="U41" s="91">
        <f t="shared" si="43"/>
        <v>0.63877551020408152</v>
      </c>
      <c r="W41" s="64"/>
      <c r="X41" s="43"/>
      <c r="Y41" s="65"/>
      <c r="Z41" s="124">
        <f t="shared" si="38"/>
        <v>0.28000000000000003</v>
      </c>
      <c r="AA41" s="124">
        <f t="shared" si="41"/>
        <v>0.78629032258064524</v>
      </c>
      <c r="AB41" s="125">
        <v>1550</v>
      </c>
      <c r="AC41" s="129">
        <f t="shared" si="32"/>
        <v>16533.333333333332</v>
      </c>
      <c r="AD41" s="120"/>
    </row>
    <row r="42" spans="1:47" customFormat="1" x14ac:dyDescent="0.25">
      <c r="A42" s="39" t="s">
        <v>13936</v>
      </c>
      <c r="B42" s="39" t="s">
        <v>13932</v>
      </c>
      <c r="C42" s="17">
        <v>8715839078930</v>
      </c>
      <c r="D42" s="96"/>
      <c r="E42" s="41">
        <f t="shared" si="34"/>
        <v>8.3333333333333339</v>
      </c>
      <c r="F42" s="41">
        <v>12.5</v>
      </c>
      <c r="G42" s="111">
        <v>20</v>
      </c>
      <c r="H42" s="94">
        <f t="shared" si="39"/>
        <v>2.547770700636943</v>
      </c>
      <c r="I42" s="95">
        <f t="shared" si="35"/>
        <v>3.270833333333333</v>
      </c>
      <c r="J42" s="108"/>
      <c r="K42" s="109"/>
      <c r="L42" s="110"/>
      <c r="M42" s="107"/>
      <c r="N42" s="41">
        <f t="shared" si="36"/>
        <v>10.666666666666666</v>
      </c>
      <c r="O42" s="41">
        <v>16</v>
      </c>
      <c r="P42" s="87">
        <f t="shared" si="21"/>
        <v>0.1</v>
      </c>
      <c r="Q42" s="111">
        <v>22</v>
      </c>
      <c r="R42" s="89">
        <f t="shared" si="40"/>
        <v>2.8947368421052633</v>
      </c>
      <c r="S42" s="90">
        <f t="shared" si="42"/>
        <v>3.5</v>
      </c>
      <c r="T42" s="91">
        <f t="shared" si="37"/>
        <v>3.6848484848484846</v>
      </c>
      <c r="U42" s="91">
        <f t="shared" si="43"/>
        <v>0.41401515151515156</v>
      </c>
      <c r="W42" s="64"/>
      <c r="X42" s="43"/>
      <c r="Y42" s="65"/>
      <c r="Z42" s="124">
        <f t="shared" si="38"/>
        <v>0.28000000000000003</v>
      </c>
      <c r="AA42" s="124">
        <f t="shared" si="41"/>
        <v>0.78629032258064524</v>
      </c>
      <c r="AB42" s="125">
        <v>1550</v>
      </c>
      <c r="AC42" s="129">
        <f t="shared" si="32"/>
        <v>16533.333333333332</v>
      </c>
      <c r="AD42" s="120"/>
    </row>
    <row r="43" spans="1:47" customFormat="1" x14ac:dyDescent="0.25">
      <c r="A43" s="39" t="s">
        <v>223</v>
      </c>
      <c r="B43" s="39" t="s">
        <v>260</v>
      </c>
      <c r="C43" s="17">
        <v>8715839045413</v>
      </c>
      <c r="D43" s="96"/>
      <c r="E43" s="41">
        <f t="shared" si="34"/>
        <v>52.666666666666664</v>
      </c>
      <c r="F43" s="41">
        <v>79</v>
      </c>
      <c r="G43" s="111">
        <v>175.78</v>
      </c>
      <c r="H43" s="94">
        <f t="shared" si="39"/>
        <v>22.39235668789809</v>
      </c>
      <c r="I43" s="95">
        <f t="shared" si="35"/>
        <v>2.3519930215800051</v>
      </c>
      <c r="J43" s="64">
        <f>VLOOKUP(A43,Mastersheet!$A:$AK,30,0)</f>
        <v>59.33</v>
      </c>
      <c r="K43" s="43">
        <f>VLOOKUP(A43,Mastersheet!$A:$AK,32,0)</f>
        <v>48.17</v>
      </c>
      <c r="L43" s="65">
        <f>VLOOKUP(A43,Mastersheet!$A:$AK,34,0)</f>
        <v>40.25</v>
      </c>
      <c r="N43" s="41">
        <f t="shared" si="7"/>
        <v>63.333333333333336</v>
      </c>
      <c r="O43" s="41">
        <v>95</v>
      </c>
      <c r="P43" s="87">
        <f t="shared" si="21"/>
        <v>3.6522926385254222E-2</v>
      </c>
      <c r="Q43" s="111">
        <v>182.2</v>
      </c>
      <c r="R43" s="89">
        <f t="shared" si="40"/>
        <v>23.973684210526315</v>
      </c>
      <c r="S43" s="90">
        <f t="shared" si="42"/>
        <v>16</v>
      </c>
      <c r="T43" s="91">
        <f t="shared" si="37"/>
        <v>2.6417855836077573</v>
      </c>
      <c r="U43" s="91">
        <f t="shared" si="43"/>
        <v>0.28979256202775217</v>
      </c>
      <c r="W43" s="64">
        <v>0</v>
      </c>
      <c r="X43" s="43">
        <v>0</v>
      </c>
      <c r="Y43" s="65">
        <v>0</v>
      </c>
      <c r="Z43" s="124">
        <f t="shared" si="38"/>
        <v>0.20253164556962025</v>
      </c>
      <c r="AA43" s="124">
        <f t="shared" si="41"/>
        <v>0.13242784380305603</v>
      </c>
      <c r="AB43" s="125">
        <v>1550</v>
      </c>
      <c r="AC43" s="129">
        <f t="shared" si="32"/>
        <v>98166.666666666672</v>
      </c>
      <c r="AD43" s="120"/>
    </row>
    <row r="44" spans="1:47" s="11" customFormat="1" ht="12.75" customHeight="1" x14ac:dyDescent="0.3">
      <c r="A44" s="84"/>
      <c r="B44" s="84"/>
      <c r="C44" s="84"/>
      <c r="D44"/>
      <c r="E44"/>
      <c r="F44"/>
      <c r="G44" s="6"/>
      <c r="Q44" s="76"/>
    </row>
    <row r="45" spans="1:47" s="11" customFormat="1" ht="13.5" customHeight="1" x14ac:dyDescent="0.2">
      <c r="A45" s="8"/>
      <c r="B45" s="8"/>
      <c r="C45" s="13"/>
      <c r="E45" s="14"/>
      <c r="F45" s="14"/>
      <c r="G45" s="68"/>
      <c r="Q45" s="76"/>
    </row>
    <row r="46" spans="1:47" customFormat="1" x14ac:dyDescent="0.25">
      <c r="A46" s="8"/>
      <c r="B46" s="8"/>
      <c r="C46" s="8"/>
      <c r="D46" s="11"/>
      <c r="E46" s="8"/>
      <c r="F46" s="8"/>
      <c r="G46" s="15"/>
      <c r="AU46" s="1"/>
    </row>
    <row r="47" spans="1:47" customFormat="1" x14ac:dyDescent="0.25">
      <c r="A47" s="8"/>
      <c r="B47" s="8"/>
      <c r="C47" s="8"/>
      <c r="E47" s="8"/>
      <c r="F47" s="8"/>
      <c r="G47" s="15"/>
      <c r="AU47" s="1"/>
    </row>
    <row r="48" spans="1:47" customFormat="1" x14ac:dyDescent="0.25">
      <c r="A48" s="281"/>
      <c r="B48" s="281"/>
      <c r="C48" s="281"/>
      <c r="G48" s="6"/>
      <c r="AU48" s="1"/>
    </row>
    <row r="49" spans="1:47" customFormat="1" x14ac:dyDescent="0.25">
      <c r="A49" s="8"/>
      <c r="B49" s="8"/>
      <c r="C49" s="13"/>
      <c r="E49" s="14"/>
      <c r="F49" s="14"/>
      <c r="G49" s="68"/>
      <c r="AU49" s="1"/>
    </row>
    <row r="50" spans="1:47" customFormat="1" x14ac:dyDescent="0.25">
      <c r="A50" s="8"/>
      <c r="B50" s="8"/>
      <c r="C50" s="13"/>
      <c r="E50" s="14"/>
      <c r="F50" s="14"/>
      <c r="G50" s="68"/>
      <c r="AU50" s="1"/>
    </row>
    <row r="51" spans="1:47" customFormat="1" x14ac:dyDescent="0.25">
      <c r="A51" s="8"/>
      <c r="B51" s="8"/>
      <c r="C51" s="13"/>
      <c r="E51" s="14"/>
      <c r="F51" s="14"/>
      <c r="G51" s="68"/>
      <c r="AU51" s="1"/>
    </row>
    <row r="52" spans="1:47" customFormat="1" x14ac:dyDescent="0.25">
      <c r="A52" s="8"/>
      <c r="B52" s="8"/>
      <c r="C52" s="13"/>
      <c r="E52" s="14"/>
      <c r="F52" s="14"/>
      <c r="G52" s="68"/>
      <c r="AU52" s="1"/>
    </row>
    <row r="53" spans="1:47" customFormat="1" x14ac:dyDescent="0.25">
      <c r="A53" s="8"/>
      <c r="B53" s="8"/>
      <c r="C53" s="13"/>
      <c r="E53" s="14"/>
      <c r="F53" s="14"/>
      <c r="G53" s="68"/>
      <c r="AU53" s="1"/>
    </row>
    <row r="54" spans="1:47" customFormat="1" x14ac:dyDescent="0.25">
      <c r="A54" s="8"/>
      <c r="B54" s="8"/>
      <c r="C54" s="13"/>
      <c r="E54" s="14"/>
      <c r="F54" s="14"/>
      <c r="G54" s="68"/>
      <c r="AU54" s="1"/>
    </row>
    <row r="55" spans="1:47" customFormat="1" x14ac:dyDescent="0.25">
      <c r="A55" s="8"/>
      <c r="B55" s="8"/>
      <c r="C55" s="13"/>
      <c r="E55" s="14"/>
      <c r="F55" s="14"/>
      <c r="G55" s="68"/>
      <c r="AU55" s="1"/>
    </row>
    <row r="56" spans="1:47" customFormat="1" x14ac:dyDescent="0.25">
      <c r="A56" s="8"/>
      <c r="B56" s="8"/>
      <c r="C56" s="13"/>
      <c r="E56" s="14"/>
      <c r="F56" s="14"/>
      <c r="G56" s="68"/>
      <c r="AU56" s="1"/>
    </row>
    <row r="57" spans="1:47" customFormat="1" x14ac:dyDescent="0.25">
      <c r="A57" s="8"/>
      <c r="B57" s="8"/>
      <c r="C57" s="13"/>
      <c r="E57" s="14"/>
      <c r="F57" s="14"/>
      <c r="G57" s="68"/>
      <c r="AU57" s="1"/>
    </row>
    <row r="58" spans="1:47" customFormat="1" x14ac:dyDescent="0.25">
      <c r="A58" s="8"/>
      <c r="B58" s="8"/>
      <c r="C58" s="13"/>
      <c r="E58" s="14"/>
      <c r="F58" s="14"/>
      <c r="G58" s="68"/>
      <c r="AU58" s="1"/>
    </row>
    <row r="59" spans="1:47" customFormat="1" x14ac:dyDescent="0.25">
      <c r="A59" s="8"/>
      <c r="B59" s="8"/>
      <c r="C59" s="13"/>
      <c r="E59" s="14"/>
      <c r="F59" s="14"/>
      <c r="G59" s="68"/>
      <c r="AU59" s="1"/>
    </row>
    <row r="60" spans="1:47" customFormat="1" x14ac:dyDescent="0.25">
      <c r="A60" s="8"/>
      <c r="B60" s="8"/>
      <c r="C60" s="13"/>
      <c r="E60" s="14"/>
      <c r="F60" s="14"/>
      <c r="G60" s="68"/>
      <c r="AU60" s="1"/>
    </row>
    <row r="61" spans="1:47" customFormat="1" x14ac:dyDescent="0.25">
      <c r="A61" s="8"/>
      <c r="B61" s="8"/>
      <c r="C61" s="13"/>
      <c r="E61" s="14"/>
      <c r="F61" s="14"/>
      <c r="G61" s="68"/>
      <c r="AU61" s="1"/>
    </row>
    <row r="62" spans="1:47" customFormat="1" x14ac:dyDescent="0.25">
      <c r="A62" s="8"/>
      <c r="B62" s="8"/>
      <c r="C62" s="13"/>
      <c r="E62" s="14"/>
      <c r="F62" s="14"/>
      <c r="G62" s="68"/>
      <c r="AU62" s="1"/>
    </row>
    <row r="63" spans="1:47" customFormat="1" x14ac:dyDescent="0.25">
      <c r="A63" s="8"/>
      <c r="B63" s="8"/>
      <c r="C63" s="13"/>
      <c r="E63" s="14"/>
      <c r="F63" s="14"/>
      <c r="G63" s="68"/>
      <c r="AU63" s="1"/>
    </row>
    <row r="64" spans="1:47" customFormat="1" x14ac:dyDescent="0.25">
      <c r="A64" s="8"/>
      <c r="B64" s="8"/>
      <c r="C64" s="13"/>
      <c r="E64" s="14"/>
      <c r="F64" s="14"/>
      <c r="G64" s="68"/>
      <c r="AU64" s="1"/>
    </row>
    <row r="65" spans="1:47" customFormat="1" x14ac:dyDescent="0.25">
      <c r="A65" s="8"/>
      <c r="B65" s="8"/>
      <c r="C65" s="13"/>
      <c r="E65" s="14"/>
      <c r="F65" s="14"/>
      <c r="G65" s="68"/>
      <c r="AU65" s="1"/>
    </row>
    <row r="66" spans="1:47" customFormat="1" x14ac:dyDescent="0.25">
      <c r="A66" s="8"/>
      <c r="B66" s="8"/>
      <c r="C66" s="13"/>
      <c r="E66" s="14"/>
      <c r="F66" s="14"/>
      <c r="G66" s="68"/>
      <c r="AU66" s="1"/>
    </row>
    <row r="67" spans="1:47" customFormat="1" x14ac:dyDescent="0.25">
      <c r="A67" s="8"/>
      <c r="B67" s="8"/>
      <c r="C67" s="13"/>
      <c r="E67" s="14"/>
      <c r="F67" s="14"/>
      <c r="G67" s="68"/>
      <c r="AU67" s="1"/>
    </row>
    <row r="68" spans="1:47" customFormat="1" x14ac:dyDescent="0.25">
      <c r="A68" s="8"/>
      <c r="B68" s="8"/>
      <c r="C68" s="13"/>
      <c r="E68" s="14"/>
      <c r="F68" s="14"/>
      <c r="G68" s="68"/>
      <c r="AU68" s="1"/>
    </row>
    <row r="69" spans="1:47" customFormat="1" x14ac:dyDescent="0.25">
      <c r="A69" s="8"/>
      <c r="B69" s="8"/>
      <c r="C69" s="13"/>
      <c r="E69" s="14"/>
      <c r="F69" s="14"/>
      <c r="G69" s="68"/>
      <c r="AU69" s="1"/>
    </row>
    <row r="70" spans="1:47" customFormat="1" x14ac:dyDescent="0.25">
      <c r="A70" s="8"/>
      <c r="B70" s="8"/>
      <c r="C70" s="13"/>
      <c r="E70" s="14"/>
      <c r="F70" s="14"/>
      <c r="G70" s="68"/>
      <c r="AU70" s="1"/>
    </row>
    <row r="71" spans="1:47" customFormat="1" x14ac:dyDescent="0.25">
      <c r="A71" s="8"/>
      <c r="B71" s="8"/>
      <c r="C71" s="13"/>
      <c r="E71" s="14"/>
      <c r="F71" s="14"/>
      <c r="G71" s="68"/>
      <c r="AU71" s="1"/>
    </row>
    <row r="72" spans="1:47" customFormat="1" x14ac:dyDescent="0.25">
      <c r="A72" s="8"/>
      <c r="B72" s="8"/>
      <c r="C72" s="13"/>
      <c r="E72" s="14"/>
      <c r="F72" s="14"/>
      <c r="G72" s="68"/>
      <c r="AU72" s="1"/>
    </row>
    <row r="73" spans="1:47" customFormat="1" x14ac:dyDescent="0.25">
      <c r="A73" s="8"/>
      <c r="B73" s="8"/>
      <c r="C73" s="13"/>
      <c r="E73" s="14"/>
      <c r="F73" s="14"/>
      <c r="G73" s="68"/>
      <c r="AU73" s="1"/>
    </row>
    <row r="74" spans="1:47" customFormat="1" x14ac:dyDescent="0.25">
      <c r="A74" s="8"/>
      <c r="B74" s="8"/>
      <c r="C74" s="13"/>
      <c r="E74" s="14"/>
      <c r="F74" s="14"/>
      <c r="G74" s="68"/>
      <c r="AU74" s="1"/>
    </row>
    <row r="75" spans="1:47" customFormat="1" x14ac:dyDescent="0.25">
      <c r="A75" s="8"/>
      <c r="B75" s="8"/>
      <c r="C75" s="13"/>
      <c r="E75" s="14"/>
      <c r="F75" s="14"/>
      <c r="G75" s="68"/>
      <c r="AU75" s="1"/>
    </row>
    <row r="76" spans="1:47" customFormat="1" x14ac:dyDescent="0.25">
      <c r="A76" s="8"/>
      <c r="B76" s="8"/>
      <c r="C76" s="13"/>
      <c r="E76" s="14"/>
      <c r="F76" s="14"/>
      <c r="G76" s="68"/>
      <c r="AU76" s="1"/>
    </row>
    <row r="77" spans="1:47" customFormat="1" x14ac:dyDescent="0.25">
      <c r="A77" s="8"/>
      <c r="B77" s="8"/>
      <c r="C77" s="13"/>
      <c r="E77" s="14"/>
      <c r="F77" s="14"/>
      <c r="G77" s="68"/>
      <c r="AU77" s="1"/>
    </row>
    <row r="78" spans="1:47" customFormat="1" x14ac:dyDescent="0.25">
      <c r="A78" s="8"/>
      <c r="B78" s="8"/>
      <c r="C78" s="13"/>
      <c r="E78" s="14"/>
      <c r="F78" s="14"/>
      <c r="G78" s="68"/>
      <c r="AU78" s="1"/>
    </row>
    <row r="79" spans="1:47" customFormat="1" x14ac:dyDescent="0.25">
      <c r="A79" s="8"/>
      <c r="B79" s="8"/>
      <c r="C79" s="13"/>
      <c r="E79" s="14"/>
      <c r="F79" s="14"/>
      <c r="G79" s="68"/>
      <c r="AU79" s="1"/>
    </row>
    <row r="80" spans="1:47" customFormat="1" x14ac:dyDescent="0.25">
      <c r="A80" s="8"/>
      <c r="B80" s="8"/>
      <c r="C80" s="13"/>
      <c r="E80" s="14"/>
      <c r="F80" s="14"/>
      <c r="G80" s="68"/>
      <c r="AU80" s="1"/>
    </row>
    <row r="81" spans="1:47" customFormat="1" x14ac:dyDescent="0.25">
      <c r="A81" s="8"/>
      <c r="B81" s="8"/>
      <c r="C81" s="13"/>
      <c r="E81" s="14"/>
      <c r="F81" s="14"/>
      <c r="G81" s="68"/>
      <c r="AU81" s="1"/>
    </row>
    <row r="82" spans="1:47" customFormat="1" x14ac:dyDescent="0.25">
      <c r="A82" s="8"/>
      <c r="B82" s="8"/>
      <c r="C82" s="13"/>
      <c r="E82" s="14"/>
      <c r="F82" s="14"/>
      <c r="G82" s="68"/>
      <c r="AU82" s="1"/>
    </row>
    <row r="83" spans="1:47" customFormat="1" x14ac:dyDescent="0.25">
      <c r="A83" s="8"/>
      <c r="B83" s="8"/>
      <c r="C83" s="13"/>
      <c r="E83" s="14"/>
      <c r="F83" s="14"/>
      <c r="G83" s="68"/>
      <c r="AU83" s="1"/>
    </row>
    <row r="84" spans="1:47" customFormat="1" x14ac:dyDescent="0.25">
      <c r="A84" s="8"/>
      <c r="B84" s="8"/>
      <c r="C84" s="13"/>
      <c r="E84" s="14"/>
      <c r="F84" s="14"/>
      <c r="G84" s="68"/>
      <c r="AU84" s="1"/>
    </row>
    <row r="85" spans="1:47" customFormat="1" x14ac:dyDescent="0.25">
      <c r="A85" s="8"/>
      <c r="B85" s="8"/>
      <c r="C85" s="13"/>
      <c r="E85" s="14"/>
      <c r="F85" s="14"/>
      <c r="G85" s="68"/>
      <c r="AU85" s="1"/>
    </row>
    <row r="86" spans="1:47" customFormat="1" x14ac:dyDescent="0.25">
      <c r="A86" s="8"/>
      <c r="B86" s="8"/>
      <c r="C86" s="13"/>
      <c r="E86" s="14"/>
      <c r="F86" s="14"/>
      <c r="G86" s="68"/>
      <c r="AU86" s="1"/>
    </row>
    <row r="87" spans="1:47" customFormat="1" x14ac:dyDescent="0.25">
      <c r="A87" s="8"/>
      <c r="B87" s="8"/>
      <c r="C87" s="13"/>
      <c r="E87" s="14"/>
      <c r="F87" s="14"/>
      <c r="G87" s="68"/>
      <c r="AU87" s="1"/>
    </row>
    <row r="88" spans="1:47" customFormat="1" x14ac:dyDescent="0.25">
      <c r="A88" s="8"/>
      <c r="B88" s="8"/>
      <c r="C88" s="13"/>
      <c r="E88" s="14"/>
      <c r="F88" s="14"/>
      <c r="G88" s="68"/>
      <c r="AU88" s="1"/>
    </row>
    <row r="89" spans="1:47" customFormat="1" x14ac:dyDescent="0.25">
      <c r="A89" s="8"/>
      <c r="B89" s="8"/>
      <c r="C89" s="13"/>
      <c r="E89" s="14"/>
      <c r="F89" s="14"/>
      <c r="G89" s="68"/>
      <c r="AU89" s="1"/>
    </row>
    <row r="90" spans="1:47" customFormat="1" x14ac:dyDescent="0.25">
      <c r="A90" s="8"/>
      <c r="B90" s="8"/>
      <c r="C90" s="13"/>
      <c r="E90" s="14"/>
      <c r="F90" s="14"/>
      <c r="G90" s="68"/>
      <c r="AU90" s="1"/>
    </row>
    <row r="91" spans="1:47" customFormat="1" x14ac:dyDescent="0.25">
      <c r="A91" s="8"/>
      <c r="B91" s="8"/>
      <c r="C91" s="13"/>
      <c r="E91" s="14"/>
      <c r="F91" s="14"/>
      <c r="G91" s="68"/>
      <c r="AU91" s="1"/>
    </row>
    <row r="92" spans="1:47" customFormat="1" x14ac:dyDescent="0.25">
      <c r="A92" s="8"/>
      <c r="B92" s="8"/>
      <c r="C92" s="13"/>
      <c r="E92" s="14"/>
      <c r="F92" s="14"/>
      <c r="G92" s="68"/>
      <c r="AU92" s="1"/>
    </row>
    <row r="93" spans="1:47" customFormat="1" x14ac:dyDescent="0.25">
      <c r="A93" s="8"/>
      <c r="B93" s="8"/>
      <c r="C93" s="13"/>
      <c r="E93" s="14"/>
      <c r="F93" s="14"/>
      <c r="G93" s="68"/>
      <c r="AU93" s="1"/>
    </row>
    <row r="94" spans="1:47" customFormat="1" x14ac:dyDescent="0.25">
      <c r="A94" s="8"/>
      <c r="B94" s="8"/>
      <c r="C94" s="13"/>
      <c r="E94" s="14"/>
      <c r="F94" s="14"/>
      <c r="G94" s="68"/>
      <c r="AU94" s="1"/>
    </row>
    <row r="95" spans="1:47" customFormat="1" x14ac:dyDescent="0.25">
      <c r="A95" s="8"/>
      <c r="B95" s="8"/>
      <c r="C95" s="13"/>
      <c r="E95" s="14"/>
      <c r="F95" s="14"/>
      <c r="G95" s="68"/>
      <c r="AU95" s="1"/>
    </row>
    <row r="96" spans="1:47" customFormat="1" x14ac:dyDescent="0.25">
      <c r="A96" s="8"/>
      <c r="B96" s="8"/>
      <c r="C96" s="13"/>
      <c r="E96" s="14"/>
      <c r="F96" s="14"/>
      <c r="G96" s="68"/>
      <c r="AU96" s="1"/>
    </row>
    <row r="97" spans="1:47" customFormat="1" x14ac:dyDescent="0.25">
      <c r="A97" s="8"/>
      <c r="B97" s="8"/>
      <c r="C97" s="13"/>
      <c r="E97" s="14"/>
      <c r="F97" s="14"/>
      <c r="G97" s="68"/>
      <c r="AU97" s="1"/>
    </row>
    <row r="98" spans="1:47" customFormat="1" x14ac:dyDescent="0.25">
      <c r="A98" s="8"/>
      <c r="B98" s="8"/>
      <c r="C98" s="13"/>
      <c r="E98" s="14"/>
      <c r="F98" s="14"/>
      <c r="G98" s="68"/>
      <c r="AU98" s="1"/>
    </row>
    <row r="99" spans="1:47" customFormat="1" x14ac:dyDescent="0.25">
      <c r="A99" s="8"/>
      <c r="B99" s="8"/>
      <c r="C99" s="13"/>
      <c r="E99" s="14"/>
      <c r="F99" s="14"/>
      <c r="G99" s="68"/>
      <c r="AU99" s="1"/>
    </row>
    <row r="100" spans="1:47" customFormat="1" x14ac:dyDescent="0.25">
      <c r="A100" s="8"/>
      <c r="B100" s="8"/>
      <c r="C100" s="13"/>
      <c r="E100" s="14"/>
      <c r="F100" s="14"/>
      <c r="G100" s="68"/>
      <c r="AU100" s="1"/>
    </row>
    <row r="101" spans="1:47" customFormat="1" x14ac:dyDescent="0.25">
      <c r="A101" s="8"/>
      <c r="B101" s="8"/>
      <c r="C101" s="13"/>
      <c r="E101" s="14"/>
      <c r="F101" s="14"/>
      <c r="G101" s="68"/>
      <c r="AU101" s="1"/>
    </row>
    <row r="102" spans="1:47" customFormat="1" x14ac:dyDescent="0.25">
      <c r="A102" s="8"/>
      <c r="B102" s="8"/>
      <c r="C102" s="13"/>
      <c r="E102" s="14"/>
      <c r="F102" s="14"/>
      <c r="G102" s="68"/>
      <c r="AU102" s="1"/>
    </row>
    <row r="103" spans="1:47" customFormat="1" x14ac:dyDescent="0.25">
      <c r="A103" s="8"/>
      <c r="B103" s="8"/>
      <c r="C103" s="13"/>
      <c r="E103" s="14"/>
      <c r="F103" s="14"/>
      <c r="G103" s="68"/>
      <c r="AU103" s="1"/>
    </row>
    <row r="104" spans="1:47" customFormat="1" x14ac:dyDescent="0.25">
      <c r="A104" s="8"/>
      <c r="B104" s="8"/>
      <c r="C104" s="13"/>
      <c r="E104" s="14"/>
      <c r="F104" s="14"/>
      <c r="G104" s="68"/>
      <c r="AU104" s="1"/>
    </row>
    <row r="105" spans="1:47" customFormat="1" x14ac:dyDescent="0.25">
      <c r="A105" s="8"/>
      <c r="B105" s="8"/>
      <c r="C105" s="13"/>
      <c r="E105" s="14"/>
      <c r="F105" s="14"/>
      <c r="G105" s="68"/>
      <c r="AU105" s="1"/>
    </row>
    <row r="106" spans="1:47" customFormat="1" x14ac:dyDescent="0.25">
      <c r="A106" s="8"/>
      <c r="B106" s="8"/>
      <c r="C106" s="13"/>
      <c r="E106" s="14"/>
      <c r="F106" s="14"/>
      <c r="G106" s="68"/>
      <c r="AU106" s="1"/>
    </row>
    <row r="107" spans="1:47" customFormat="1" x14ac:dyDescent="0.25">
      <c r="A107" s="8"/>
      <c r="B107" s="8"/>
      <c r="C107" s="13"/>
      <c r="E107" s="14"/>
      <c r="F107" s="14"/>
      <c r="G107" s="68"/>
      <c r="AU107" s="1"/>
    </row>
    <row r="108" spans="1:47" customFormat="1" x14ac:dyDescent="0.25">
      <c r="A108" s="8"/>
      <c r="B108" s="8"/>
      <c r="C108" s="13"/>
      <c r="E108" s="14"/>
      <c r="F108" s="14"/>
      <c r="G108" s="68"/>
      <c r="AU108" s="1"/>
    </row>
    <row r="109" spans="1:47" customFormat="1" x14ac:dyDescent="0.25">
      <c r="A109" s="8"/>
      <c r="B109" s="8"/>
      <c r="C109" s="13"/>
      <c r="E109" s="14"/>
      <c r="F109" s="14"/>
      <c r="G109" s="68"/>
      <c r="AU109" s="1"/>
    </row>
    <row r="110" spans="1:47" customFormat="1" x14ac:dyDescent="0.25">
      <c r="A110" s="8"/>
      <c r="B110" s="8"/>
      <c r="C110" s="13"/>
      <c r="E110" s="14"/>
      <c r="F110" s="14"/>
      <c r="G110" s="68"/>
      <c r="AU110" s="1"/>
    </row>
    <row r="111" spans="1:47" customFormat="1" x14ac:dyDescent="0.25">
      <c r="A111" s="8"/>
      <c r="B111" s="8"/>
      <c r="C111" s="13"/>
      <c r="E111" s="14"/>
      <c r="F111" s="14"/>
      <c r="G111" s="68"/>
      <c r="AU111" s="1"/>
    </row>
    <row r="112" spans="1:47" customFormat="1" x14ac:dyDescent="0.25">
      <c r="A112" s="8"/>
      <c r="B112" s="8"/>
      <c r="C112" s="13"/>
      <c r="E112" s="14"/>
      <c r="F112" s="14"/>
      <c r="G112" s="68"/>
      <c r="AU112" s="1"/>
    </row>
    <row r="113" spans="1:47" customFormat="1" x14ac:dyDescent="0.25">
      <c r="A113" s="8"/>
      <c r="B113" s="8"/>
      <c r="C113" s="13"/>
      <c r="E113" s="14"/>
      <c r="F113" s="14"/>
      <c r="G113" s="68"/>
      <c r="AU113" s="1"/>
    </row>
    <row r="114" spans="1:47" customFormat="1" x14ac:dyDescent="0.25">
      <c r="A114" s="8"/>
      <c r="B114" s="8"/>
      <c r="C114" s="13"/>
      <c r="E114" s="14"/>
      <c r="F114" s="14"/>
      <c r="G114" s="68"/>
      <c r="AU114" s="1"/>
    </row>
    <row r="115" spans="1:47" customFormat="1" x14ac:dyDescent="0.25">
      <c r="A115" s="8"/>
      <c r="B115" s="8"/>
      <c r="C115" s="13"/>
      <c r="E115" s="14"/>
      <c r="F115" s="14"/>
      <c r="G115" s="68"/>
      <c r="AU115" s="1"/>
    </row>
    <row r="116" spans="1:47" customFormat="1" x14ac:dyDescent="0.25">
      <c r="A116" s="8"/>
      <c r="B116" s="8"/>
      <c r="C116" s="13"/>
      <c r="E116" s="14"/>
      <c r="F116" s="14"/>
      <c r="G116" s="68"/>
      <c r="AU116" s="1"/>
    </row>
    <row r="117" spans="1:47" customFormat="1" x14ac:dyDescent="0.25">
      <c r="A117" s="8"/>
      <c r="B117" s="8"/>
      <c r="C117" s="13"/>
      <c r="E117" s="14"/>
      <c r="F117" s="14"/>
      <c r="G117" s="68"/>
      <c r="AU117" s="1"/>
    </row>
    <row r="118" spans="1:47" customFormat="1" x14ac:dyDescent="0.25">
      <c r="A118" s="8"/>
      <c r="B118" s="8"/>
      <c r="C118" s="13"/>
      <c r="E118" s="14"/>
      <c r="F118" s="14"/>
      <c r="G118" s="68"/>
      <c r="AU118" s="1"/>
    </row>
    <row r="119" spans="1:47" customFormat="1" x14ac:dyDescent="0.25">
      <c r="A119" s="8"/>
      <c r="B119" s="8"/>
      <c r="C119" s="13"/>
      <c r="E119" s="14"/>
      <c r="F119" s="14"/>
      <c r="G119" s="68"/>
      <c r="AU119" s="1"/>
    </row>
    <row r="120" spans="1:47" customFormat="1" x14ac:dyDescent="0.25">
      <c r="A120" s="8"/>
      <c r="B120" s="8"/>
      <c r="C120" s="13"/>
      <c r="E120" s="14"/>
      <c r="F120" s="14"/>
      <c r="G120" s="68"/>
      <c r="AU120" s="1"/>
    </row>
    <row r="121" spans="1:47" customFormat="1" x14ac:dyDescent="0.25">
      <c r="A121" s="8"/>
      <c r="B121" s="8"/>
      <c r="C121" s="13"/>
      <c r="E121" s="14"/>
      <c r="F121" s="14"/>
      <c r="G121" s="68"/>
      <c r="AU121" s="1"/>
    </row>
    <row r="122" spans="1:47" customFormat="1" x14ac:dyDescent="0.25">
      <c r="A122" s="8"/>
      <c r="B122" s="8"/>
      <c r="C122" s="13"/>
      <c r="E122" s="14"/>
      <c r="F122" s="14"/>
      <c r="G122" s="68"/>
      <c r="AU122" s="1"/>
    </row>
    <row r="123" spans="1:47" customFormat="1" x14ac:dyDescent="0.25">
      <c r="A123" s="8"/>
      <c r="B123" s="8"/>
      <c r="C123" s="13"/>
      <c r="E123" s="14"/>
      <c r="F123" s="14"/>
      <c r="G123" s="68"/>
      <c r="AU123" s="1"/>
    </row>
    <row r="124" spans="1:47" customFormat="1" x14ac:dyDescent="0.25">
      <c r="A124" s="8"/>
      <c r="B124" s="8"/>
      <c r="C124" s="13"/>
      <c r="E124" s="14"/>
      <c r="F124" s="14"/>
      <c r="G124" s="68"/>
      <c r="AU124" s="1"/>
    </row>
    <row r="125" spans="1:47" customFormat="1" x14ac:dyDescent="0.25">
      <c r="A125" s="8"/>
      <c r="B125" s="8"/>
      <c r="C125" s="13"/>
      <c r="E125" s="14"/>
      <c r="F125" s="14"/>
      <c r="G125" s="68"/>
      <c r="AU125" s="1"/>
    </row>
    <row r="126" spans="1:47" customFormat="1" x14ac:dyDescent="0.25">
      <c r="A126" s="8"/>
      <c r="B126" s="8"/>
      <c r="C126" s="13"/>
      <c r="E126" s="14"/>
      <c r="F126" s="14"/>
      <c r="G126" s="68"/>
      <c r="AU126" s="1"/>
    </row>
    <row r="127" spans="1:47" customFormat="1" x14ac:dyDescent="0.25">
      <c r="A127" s="8"/>
      <c r="B127" s="8"/>
      <c r="C127" s="13"/>
      <c r="E127" s="14"/>
      <c r="F127" s="14"/>
      <c r="G127" s="68"/>
      <c r="AU127" s="1"/>
    </row>
    <row r="128" spans="1:47" customFormat="1" x14ac:dyDescent="0.25">
      <c r="A128" s="8"/>
      <c r="B128" s="8"/>
      <c r="C128" s="13"/>
      <c r="E128" s="14"/>
      <c r="F128" s="14"/>
      <c r="G128" s="68"/>
      <c r="AU128" s="1"/>
    </row>
    <row r="129" spans="1:47" customFormat="1" x14ac:dyDescent="0.25">
      <c r="A129" s="8"/>
      <c r="B129" s="8"/>
      <c r="C129" s="13"/>
      <c r="E129" s="14"/>
      <c r="F129" s="14"/>
      <c r="G129" s="68"/>
      <c r="AU129" s="1"/>
    </row>
    <row r="130" spans="1:47" customFormat="1" x14ac:dyDescent="0.25">
      <c r="A130" s="8"/>
      <c r="B130" s="8"/>
      <c r="C130" s="13"/>
      <c r="E130" s="14"/>
      <c r="F130" s="14"/>
      <c r="G130" s="68"/>
      <c r="AU130" s="1"/>
    </row>
    <row r="131" spans="1:47" customFormat="1" x14ac:dyDescent="0.25">
      <c r="A131" s="8"/>
      <c r="B131" s="8"/>
      <c r="C131" s="13"/>
      <c r="E131" s="14"/>
      <c r="F131" s="14"/>
      <c r="G131" s="68"/>
      <c r="AU131" s="1"/>
    </row>
    <row r="132" spans="1:47" customFormat="1" x14ac:dyDescent="0.25">
      <c r="A132" s="8"/>
      <c r="B132" s="8"/>
      <c r="C132" s="13"/>
      <c r="E132" s="14"/>
      <c r="F132" s="14"/>
      <c r="G132" s="68"/>
      <c r="AU132" s="1"/>
    </row>
    <row r="133" spans="1:47" customFormat="1" x14ac:dyDescent="0.25">
      <c r="A133" s="8"/>
      <c r="B133" s="8"/>
      <c r="C133" s="13"/>
      <c r="E133" s="14"/>
      <c r="F133" s="14"/>
      <c r="G133" s="68"/>
      <c r="AU133" s="1"/>
    </row>
    <row r="134" spans="1:47" customFormat="1" x14ac:dyDescent="0.25">
      <c r="A134" s="8"/>
      <c r="B134" s="8"/>
      <c r="C134" s="13"/>
      <c r="E134" s="14"/>
      <c r="F134" s="14"/>
      <c r="G134" s="68"/>
      <c r="AU134" s="1"/>
    </row>
    <row r="135" spans="1:47" customFormat="1" x14ac:dyDescent="0.25">
      <c r="A135" s="8"/>
      <c r="B135" s="8"/>
      <c r="C135" s="13"/>
      <c r="E135" s="14"/>
      <c r="F135" s="14"/>
      <c r="G135" s="68"/>
      <c r="AU135" s="1"/>
    </row>
    <row r="136" spans="1:47" customFormat="1" x14ac:dyDescent="0.25">
      <c r="A136" s="8"/>
      <c r="B136" s="8"/>
      <c r="C136" s="13"/>
      <c r="E136" s="14"/>
      <c r="F136" s="14"/>
      <c r="G136" s="68"/>
      <c r="AU136" s="1"/>
    </row>
    <row r="137" spans="1:47" customFormat="1" x14ac:dyDescent="0.25">
      <c r="A137" s="8"/>
      <c r="B137" s="8"/>
      <c r="C137" s="13"/>
      <c r="E137" s="14"/>
      <c r="F137" s="14"/>
      <c r="G137" s="68"/>
      <c r="AU137" s="1"/>
    </row>
    <row r="138" spans="1:47" customFormat="1" x14ac:dyDescent="0.25">
      <c r="A138" s="8"/>
      <c r="B138" s="8"/>
      <c r="C138" s="13"/>
      <c r="E138" s="14"/>
      <c r="F138" s="14"/>
      <c r="G138" s="68"/>
      <c r="AU138" s="1"/>
    </row>
    <row r="139" spans="1:47" customFormat="1" x14ac:dyDescent="0.25">
      <c r="A139" s="8"/>
      <c r="B139" s="8"/>
      <c r="C139" s="13"/>
      <c r="E139" s="14"/>
      <c r="F139" s="14"/>
      <c r="G139" s="68"/>
      <c r="AU139" s="1"/>
    </row>
    <row r="140" spans="1:47" customFormat="1" x14ac:dyDescent="0.25">
      <c r="A140" s="8"/>
      <c r="B140" s="8"/>
      <c r="C140" s="13"/>
      <c r="E140" s="14"/>
      <c r="F140" s="14"/>
      <c r="G140" s="68"/>
      <c r="AU140" s="1"/>
    </row>
    <row r="141" spans="1:47" customFormat="1" x14ac:dyDescent="0.25">
      <c r="A141" s="8"/>
      <c r="B141" s="8"/>
      <c r="C141" s="13"/>
      <c r="E141" s="14"/>
      <c r="F141" s="14"/>
      <c r="G141" s="68"/>
      <c r="AU141" s="1"/>
    </row>
    <row r="142" spans="1:47" customFormat="1" x14ac:dyDescent="0.25">
      <c r="A142" s="8"/>
      <c r="B142" s="8"/>
      <c r="C142" s="13"/>
      <c r="E142" s="14"/>
      <c r="F142" s="14"/>
      <c r="G142" s="68"/>
      <c r="AU142" s="1"/>
    </row>
    <row r="143" spans="1:47" customFormat="1" x14ac:dyDescent="0.25">
      <c r="A143" s="8"/>
      <c r="B143" s="8"/>
      <c r="C143" s="13"/>
      <c r="E143" s="14"/>
      <c r="F143" s="14"/>
      <c r="G143" s="68"/>
      <c r="AU143" s="1"/>
    </row>
    <row r="144" spans="1:47" customFormat="1" x14ac:dyDescent="0.25">
      <c r="A144" s="8"/>
      <c r="B144" s="8"/>
      <c r="C144" s="13"/>
      <c r="E144" s="14"/>
      <c r="F144" s="14"/>
      <c r="G144" s="68"/>
      <c r="AU144" s="1"/>
    </row>
    <row r="145" spans="1:47" customFormat="1" x14ac:dyDescent="0.25">
      <c r="A145" s="8"/>
      <c r="B145" s="8"/>
      <c r="C145" s="13"/>
      <c r="E145" s="14"/>
      <c r="F145" s="14"/>
      <c r="G145" s="68"/>
      <c r="AU145" s="1"/>
    </row>
    <row r="146" spans="1:47" customFormat="1" x14ac:dyDescent="0.25">
      <c r="A146" s="8"/>
      <c r="B146" s="8"/>
      <c r="C146" s="13"/>
      <c r="E146" s="14"/>
      <c r="F146" s="14"/>
      <c r="G146" s="68"/>
      <c r="AU146" s="1"/>
    </row>
    <row r="147" spans="1:47" customFormat="1" x14ac:dyDescent="0.25">
      <c r="A147" s="8"/>
      <c r="B147" s="8"/>
      <c r="C147" s="13"/>
      <c r="E147" s="14"/>
      <c r="F147" s="14"/>
      <c r="G147" s="68"/>
      <c r="AU147" s="1"/>
    </row>
    <row r="148" spans="1:47" customFormat="1" x14ac:dyDescent="0.25">
      <c r="A148" s="8"/>
      <c r="B148" s="8"/>
      <c r="C148" s="13"/>
      <c r="E148" s="14"/>
      <c r="F148" s="14"/>
      <c r="G148" s="68"/>
      <c r="AU148" s="1"/>
    </row>
    <row r="149" spans="1:47" customFormat="1" x14ac:dyDescent="0.25">
      <c r="A149" s="8"/>
      <c r="B149" s="8"/>
      <c r="C149" s="13"/>
      <c r="E149" s="14"/>
      <c r="F149" s="14"/>
      <c r="G149" s="68"/>
      <c r="AU149" s="1"/>
    </row>
    <row r="150" spans="1:47" customFormat="1" x14ac:dyDescent="0.25">
      <c r="A150" s="8"/>
      <c r="B150" s="8"/>
      <c r="C150" s="13"/>
      <c r="E150" s="14"/>
      <c r="F150" s="14"/>
      <c r="G150" s="68"/>
      <c r="AU150" s="1"/>
    </row>
    <row r="151" spans="1:47" customFormat="1" x14ac:dyDescent="0.25">
      <c r="A151" s="8"/>
      <c r="B151" s="8"/>
      <c r="C151" s="13"/>
      <c r="E151" s="14"/>
      <c r="F151" s="14"/>
      <c r="G151" s="68"/>
      <c r="AU151" s="1"/>
    </row>
    <row r="152" spans="1:47" customFormat="1" x14ac:dyDescent="0.25">
      <c r="A152" s="8"/>
      <c r="B152" s="8"/>
      <c r="C152" s="13"/>
      <c r="E152" s="14"/>
      <c r="F152" s="14"/>
      <c r="G152" s="68"/>
      <c r="AU152" s="1"/>
    </row>
    <row r="153" spans="1:47" customFormat="1" x14ac:dyDescent="0.25">
      <c r="A153" s="8"/>
      <c r="B153" s="8"/>
      <c r="C153" s="13"/>
      <c r="E153" s="14"/>
      <c r="F153" s="14"/>
      <c r="G153" s="68"/>
      <c r="AU153" s="1"/>
    </row>
    <row r="154" spans="1:47" customFormat="1" x14ac:dyDescent="0.25">
      <c r="A154" s="8"/>
      <c r="B154" s="8"/>
      <c r="C154" s="13"/>
      <c r="E154" s="14"/>
      <c r="F154" s="14"/>
      <c r="G154" s="68"/>
      <c r="AU154" s="1"/>
    </row>
    <row r="155" spans="1:47" customFormat="1" x14ac:dyDescent="0.25">
      <c r="A155" s="8"/>
      <c r="B155" s="8"/>
      <c r="C155" s="13"/>
      <c r="E155" s="14"/>
      <c r="F155" s="14"/>
      <c r="G155" s="68"/>
      <c r="AU155" s="1"/>
    </row>
    <row r="156" spans="1:47" customFormat="1" x14ac:dyDescent="0.25">
      <c r="A156" s="8"/>
      <c r="B156" s="8"/>
      <c r="C156" s="13"/>
      <c r="E156" s="14"/>
      <c r="F156" s="14"/>
      <c r="G156" s="68"/>
      <c r="AU156" s="1"/>
    </row>
    <row r="157" spans="1:47" customFormat="1" x14ac:dyDescent="0.25">
      <c r="A157" s="8"/>
      <c r="B157" s="8"/>
      <c r="C157" s="13"/>
      <c r="E157" s="14"/>
      <c r="F157" s="14"/>
      <c r="G157" s="68"/>
      <c r="AU157" s="1"/>
    </row>
    <row r="158" spans="1:47" customFormat="1" x14ac:dyDescent="0.25">
      <c r="A158" s="8"/>
      <c r="B158" s="8"/>
      <c r="C158" s="13"/>
      <c r="E158" s="14"/>
      <c r="F158" s="14"/>
      <c r="G158" s="68"/>
      <c r="AU158" s="1"/>
    </row>
    <row r="159" spans="1:47" customFormat="1" x14ac:dyDescent="0.25">
      <c r="A159" s="8"/>
      <c r="B159" s="8"/>
      <c r="C159" s="13"/>
      <c r="E159" s="14"/>
      <c r="F159" s="14"/>
      <c r="G159" s="68"/>
      <c r="AU159" s="1"/>
    </row>
    <row r="160" spans="1:47" customFormat="1" x14ac:dyDescent="0.25">
      <c r="A160" s="8"/>
      <c r="B160" s="8"/>
      <c r="C160" s="13"/>
      <c r="E160" s="14"/>
      <c r="F160" s="14"/>
      <c r="G160" s="68"/>
      <c r="AU160" s="1"/>
    </row>
    <row r="161" spans="1:47" customFormat="1" x14ac:dyDescent="0.25">
      <c r="A161" s="8"/>
      <c r="B161" s="8"/>
      <c r="C161" s="13"/>
      <c r="E161" s="14"/>
      <c r="F161" s="14"/>
      <c r="G161" s="68"/>
      <c r="AU161" s="1"/>
    </row>
    <row r="162" spans="1:47" customFormat="1" x14ac:dyDescent="0.25">
      <c r="A162" s="8"/>
      <c r="B162" s="8"/>
      <c r="C162" s="13"/>
      <c r="E162" s="14"/>
      <c r="F162" s="14"/>
      <c r="G162" s="68"/>
      <c r="AU162" s="1"/>
    </row>
    <row r="163" spans="1:47" customFormat="1" x14ac:dyDescent="0.25">
      <c r="A163" s="8"/>
      <c r="B163" s="8"/>
      <c r="C163" s="13"/>
      <c r="E163" s="14"/>
      <c r="F163" s="14"/>
      <c r="G163" s="68"/>
      <c r="AU163" s="1"/>
    </row>
    <row r="164" spans="1:47" customFormat="1" x14ac:dyDescent="0.25">
      <c r="A164" s="8"/>
      <c r="B164" s="8"/>
      <c r="C164" s="13"/>
      <c r="E164" s="14"/>
      <c r="F164" s="14"/>
      <c r="G164" s="68"/>
      <c r="AU164" s="1"/>
    </row>
    <row r="165" spans="1:47" customFormat="1" x14ac:dyDescent="0.25">
      <c r="A165" s="8"/>
      <c r="B165" s="8"/>
      <c r="C165" s="13"/>
      <c r="E165" s="14"/>
      <c r="F165" s="14"/>
      <c r="G165" s="68"/>
      <c r="AU165" s="1"/>
    </row>
    <row r="166" spans="1:47" customFormat="1" x14ac:dyDescent="0.25">
      <c r="A166" s="8"/>
      <c r="B166" s="8"/>
      <c r="C166" s="13"/>
      <c r="E166" s="14"/>
      <c r="F166" s="14"/>
      <c r="G166" s="68"/>
      <c r="AU166" s="1"/>
    </row>
    <row r="167" spans="1:47" customFormat="1" x14ac:dyDescent="0.25">
      <c r="A167" s="8"/>
      <c r="B167" s="8"/>
      <c r="C167" s="13"/>
      <c r="E167" s="14"/>
      <c r="F167" s="14"/>
      <c r="G167" s="68"/>
      <c r="AU167" s="1"/>
    </row>
    <row r="168" spans="1:47" customFormat="1" x14ac:dyDescent="0.25">
      <c r="A168" s="8"/>
      <c r="B168" s="8"/>
      <c r="C168" s="13"/>
      <c r="E168" s="14"/>
      <c r="F168" s="14"/>
      <c r="G168" s="68"/>
      <c r="AU168" s="1"/>
    </row>
    <row r="169" spans="1:47" customFormat="1" x14ac:dyDescent="0.25">
      <c r="A169" s="8"/>
      <c r="B169" s="8"/>
      <c r="C169" s="13"/>
      <c r="E169" s="14"/>
      <c r="F169" s="14"/>
      <c r="G169" s="68"/>
      <c r="AU169" s="1"/>
    </row>
    <row r="170" spans="1:47" customFormat="1" x14ac:dyDescent="0.25">
      <c r="A170" s="8"/>
      <c r="B170" s="8"/>
      <c r="C170" s="13"/>
      <c r="E170" s="14"/>
      <c r="F170" s="14"/>
      <c r="G170" s="68"/>
      <c r="AU170" s="1"/>
    </row>
    <row r="171" spans="1:47" customFormat="1" x14ac:dyDescent="0.25">
      <c r="A171" s="8"/>
      <c r="B171" s="8"/>
      <c r="C171" s="13"/>
      <c r="E171" s="14"/>
      <c r="F171" s="14"/>
      <c r="G171" s="68"/>
      <c r="AU171" s="1"/>
    </row>
    <row r="172" spans="1:47" customFormat="1" x14ac:dyDescent="0.25">
      <c r="A172" s="8"/>
      <c r="B172" s="8"/>
      <c r="C172" s="13"/>
      <c r="E172" s="14"/>
      <c r="F172" s="14"/>
      <c r="G172" s="68"/>
      <c r="AU172" s="1"/>
    </row>
    <row r="173" spans="1:47" customFormat="1" x14ac:dyDescent="0.25">
      <c r="A173" s="8"/>
      <c r="B173" s="8"/>
      <c r="C173" s="13"/>
      <c r="E173" s="14"/>
      <c r="F173" s="14"/>
      <c r="G173" s="68"/>
      <c r="AU173" s="1"/>
    </row>
    <row r="174" spans="1:47" customFormat="1" x14ac:dyDescent="0.25">
      <c r="A174" s="8"/>
      <c r="B174" s="8"/>
      <c r="C174" s="13"/>
      <c r="E174" s="14"/>
      <c r="F174" s="14"/>
      <c r="G174" s="68"/>
      <c r="AU174" s="1"/>
    </row>
    <row r="175" spans="1:47" customFormat="1" x14ac:dyDescent="0.25">
      <c r="A175" s="8"/>
      <c r="B175" s="8"/>
      <c r="C175" s="13"/>
      <c r="E175" s="14"/>
      <c r="F175" s="14"/>
      <c r="G175" s="68"/>
      <c r="AU175" s="1"/>
    </row>
    <row r="176" spans="1:47" customFormat="1" x14ac:dyDescent="0.25">
      <c r="A176" s="8"/>
      <c r="B176" s="8"/>
      <c r="C176" s="13"/>
      <c r="E176" s="14"/>
      <c r="F176" s="14"/>
      <c r="G176" s="68"/>
      <c r="AU176" s="1"/>
    </row>
    <row r="177" spans="1:47" customFormat="1" x14ac:dyDescent="0.25">
      <c r="A177" s="8"/>
      <c r="B177" s="8"/>
      <c r="C177" s="13"/>
      <c r="E177" s="14"/>
      <c r="F177" s="14"/>
      <c r="G177" s="68"/>
      <c r="AU177" s="1"/>
    </row>
    <row r="178" spans="1:47" customFormat="1" x14ac:dyDescent="0.25">
      <c r="A178" s="8"/>
      <c r="B178" s="8"/>
      <c r="C178" s="13"/>
      <c r="E178" s="14"/>
      <c r="F178" s="14"/>
      <c r="G178" s="68"/>
      <c r="AU178" s="1"/>
    </row>
    <row r="179" spans="1:47" customFormat="1" x14ac:dyDescent="0.25">
      <c r="A179" s="8"/>
      <c r="B179" s="8"/>
      <c r="C179" s="13"/>
      <c r="E179" s="14"/>
      <c r="F179" s="14"/>
      <c r="G179" s="68"/>
      <c r="AU179" s="1"/>
    </row>
    <row r="180" spans="1:47" customFormat="1" x14ac:dyDescent="0.25">
      <c r="A180" s="8"/>
      <c r="B180" s="8"/>
      <c r="C180" s="13"/>
      <c r="E180" s="14"/>
      <c r="F180" s="14"/>
      <c r="G180" s="68"/>
      <c r="AU180" s="1"/>
    </row>
    <row r="181" spans="1:47" customFormat="1" x14ac:dyDescent="0.25">
      <c r="A181" s="8"/>
      <c r="B181" s="8"/>
      <c r="C181" s="13"/>
      <c r="E181" s="14"/>
      <c r="F181" s="14"/>
      <c r="G181" s="68"/>
      <c r="AU181" s="1"/>
    </row>
    <row r="182" spans="1:47" customFormat="1" x14ac:dyDescent="0.25">
      <c r="A182" s="8"/>
      <c r="B182" s="8"/>
      <c r="C182" s="13"/>
      <c r="E182" s="14"/>
      <c r="F182" s="14"/>
      <c r="G182" s="68"/>
      <c r="AU182" s="1"/>
    </row>
    <row r="183" spans="1:47" customFormat="1" x14ac:dyDescent="0.25">
      <c r="A183" s="8"/>
      <c r="B183" s="8"/>
      <c r="C183" s="13"/>
      <c r="E183" s="14"/>
      <c r="F183" s="14"/>
      <c r="G183" s="68"/>
      <c r="AU183" s="1"/>
    </row>
    <row r="184" spans="1:47" customFormat="1" x14ac:dyDescent="0.25">
      <c r="A184" s="8"/>
      <c r="B184" s="8"/>
      <c r="C184" s="13"/>
      <c r="E184" s="14"/>
      <c r="F184" s="14"/>
      <c r="G184" s="68"/>
      <c r="AU184" s="1"/>
    </row>
    <row r="185" spans="1:47" customFormat="1" x14ac:dyDescent="0.25">
      <c r="A185" s="8"/>
      <c r="B185" s="8"/>
      <c r="C185" s="13"/>
      <c r="E185" s="14"/>
      <c r="F185" s="14"/>
      <c r="G185" s="68"/>
      <c r="AU185" s="1"/>
    </row>
    <row r="186" spans="1:47" customFormat="1" x14ac:dyDescent="0.25">
      <c r="A186" s="8"/>
      <c r="B186" s="8"/>
      <c r="C186" s="13"/>
      <c r="E186" s="14"/>
      <c r="F186" s="14"/>
      <c r="G186" s="68"/>
      <c r="AU186" s="1"/>
    </row>
    <row r="187" spans="1:47" customFormat="1" x14ac:dyDescent="0.25">
      <c r="A187" s="8"/>
      <c r="B187" s="8"/>
      <c r="C187" s="13"/>
      <c r="E187" s="14"/>
      <c r="F187" s="14"/>
      <c r="G187" s="68"/>
      <c r="AU187" s="1"/>
    </row>
    <row r="188" spans="1:47" customFormat="1" x14ac:dyDescent="0.25">
      <c r="A188" s="8"/>
      <c r="B188" s="8"/>
      <c r="C188" s="13"/>
      <c r="E188" s="14"/>
      <c r="F188" s="14"/>
      <c r="G188" s="68"/>
      <c r="AU188" s="1"/>
    </row>
    <row r="189" spans="1:47" customFormat="1" x14ac:dyDescent="0.25">
      <c r="A189" s="8"/>
      <c r="B189" s="8"/>
      <c r="C189" s="13"/>
      <c r="E189" s="14"/>
      <c r="F189" s="14"/>
      <c r="G189" s="68"/>
      <c r="AU189" s="1"/>
    </row>
    <row r="190" spans="1:47" customFormat="1" x14ac:dyDescent="0.25">
      <c r="A190" s="8"/>
      <c r="B190" s="8"/>
      <c r="C190" s="13"/>
      <c r="E190" s="14"/>
      <c r="F190" s="14"/>
      <c r="G190" s="68"/>
      <c r="AU190" s="1"/>
    </row>
    <row r="191" spans="1:47" customFormat="1" x14ac:dyDescent="0.25">
      <c r="A191" s="8"/>
      <c r="B191" s="8"/>
      <c r="C191" s="13"/>
      <c r="E191" s="14"/>
      <c r="F191" s="14"/>
      <c r="G191" s="68"/>
      <c r="AU191" s="1"/>
    </row>
    <row r="192" spans="1:47" customFormat="1" x14ac:dyDescent="0.25">
      <c r="A192" s="8"/>
      <c r="B192" s="8"/>
      <c r="C192" s="13"/>
      <c r="E192" s="14"/>
      <c r="F192" s="14"/>
      <c r="G192" s="68"/>
      <c r="AU192" s="1"/>
    </row>
    <row r="193" spans="1:47" customFormat="1" x14ac:dyDescent="0.25">
      <c r="A193" s="8"/>
      <c r="B193" s="8"/>
      <c r="C193" s="13"/>
      <c r="E193" s="14"/>
      <c r="F193" s="14"/>
      <c r="G193" s="68"/>
      <c r="AU193" s="1"/>
    </row>
    <row r="194" spans="1:47" customFormat="1" x14ac:dyDescent="0.25">
      <c r="A194" s="8"/>
      <c r="B194" s="8"/>
      <c r="C194" s="13"/>
      <c r="E194" s="14"/>
      <c r="F194" s="14"/>
      <c r="G194" s="68"/>
      <c r="AU194" s="1"/>
    </row>
    <row r="195" spans="1:47" customFormat="1" x14ac:dyDescent="0.25">
      <c r="A195" s="8"/>
      <c r="B195" s="8"/>
      <c r="C195" s="13"/>
      <c r="E195" s="14"/>
      <c r="F195" s="14"/>
      <c r="G195" s="68"/>
      <c r="AU195" s="1"/>
    </row>
    <row r="196" spans="1:47" customFormat="1" x14ac:dyDescent="0.25">
      <c r="A196" s="8"/>
      <c r="B196" s="8"/>
      <c r="C196" s="13"/>
      <c r="E196" s="14"/>
      <c r="F196" s="14"/>
      <c r="G196" s="68"/>
      <c r="AU196" s="1"/>
    </row>
    <row r="197" spans="1:47" customFormat="1" x14ac:dyDescent="0.25">
      <c r="A197" s="8"/>
      <c r="B197" s="8"/>
      <c r="C197" s="13"/>
      <c r="E197" s="14"/>
      <c r="F197" s="14"/>
      <c r="G197" s="68"/>
      <c r="AU197" s="1"/>
    </row>
    <row r="198" spans="1:47" customFormat="1" x14ac:dyDescent="0.25">
      <c r="A198" s="8"/>
      <c r="B198" s="8"/>
      <c r="C198" s="13"/>
      <c r="E198" s="14"/>
      <c r="F198" s="14"/>
      <c r="G198" s="68"/>
      <c r="AU198" s="1"/>
    </row>
    <row r="199" spans="1:47" customFormat="1" x14ac:dyDescent="0.25">
      <c r="A199" s="8"/>
      <c r="B199" s="8"/>
      <c r="C199" s="13"/>
      <c r="E199" s="14"/>
      <c r="F199" s="14"/>
      <c r="G199" s="68"/>
      <c r="AU199" s="1"/>
    </row>
    <row r="200" spans="1:47" customFormat="1" x14ac:dyDescent="0.25">
      <c r="A200" s="8"/>
      <c r="B200" s="8"/>
      <c r="C200" s="13"/>
      <c r="E200" s="14"/>
      <c r="F200" s="14"/>
      <c r="G200" s="68"/>
      <c r="AU200" s="1"/>
    </row>
    <row r="201" spans="1:47" customFormat="1" x14ac:dyDescent="0.25">
      <c r="A201" s="8"/>
      <c r="B201" s="8"/>
      <c r="C201" s="13"/>
      <c r="E201" s="14"/>
      <c r="F201" s="14"/>
      <c r="G201" s="68"/>
      <c r="AU201" s="1"/>
    </row>
    <row r="202" spans="1:47" customFormat="1" x14ac:dyDescent="0.25">
      <c r="A202" s="8"/>
      <c r="B202" s="8"/>
      <c r="C202" s="13"/>
      <c r="E202" s="14"/>
      <c r="F202" s="14"/>
      <c r="G202" s="68"/>
      <c r="AU202" s="1"/>
    </row>
    <row r="203" spans="1:47" customFormat="1" x14ac:dyDescent="0.25">
      <c r="A203" s="8"/>
      <c r="B203" s="8"/>
      <c r="C203" s="13"/>
      <c r="E203" s="14"/>
      <c r="F203" s="14"/>
      <c r="G203" s="68"/>
      <c r="AU203" s="1"/>
    </row>
    <row r="204" spans="1:47" customFormat="1" x14ac:dyDescent="0.25">
      <c r="A204" s="8"/>
      <c r="B204" s="8"/>
      <c r="C204" s="13"/>
      <c r="E204" s="14"/>
      <c r="F204" s="14"/>
      <c r="G204" s="68"/>
      <c r="AU204" s="1"/>
    </row>
    <row r="205" spans="1:47" customFormat="1" x14ac:dyDescent="0.25">
      <c r="A205" s="8"/>
      <c r="B205" s="8"/>
      <c r="C205" s="13"/>
      <c r="E205" s="14"/>
      <c r="F205" s="14"/>
      <c r="G205" s="68"/>
      <c r="AU205" s="1"/>
    </row>
    <row r="206" spans="1:47" customFormat="1" x14ac:dyDescent="0.25">
      <c r="A206" s="8"/>
      <c r="B206" s="8"/>
      <c r="C206" s="13"/>
      <c r="E206" s="14"/>
      <c r="F206" s="14"/>
      <c r="G206" s="68"/>
      <c r="AU206" s="1"/>
    </row>
    <row r="207" spans="1:47" customFormat="1" x14ac:dyDescent="0.25">
      <c r="A207" s="8"/>
      <c r="B207" s="8"/>
      <c r="C207" s="13"/>
      <c r="E207" s="14"/>
      <c r="F207" s="14"/>
      <c r="G207" s="68"/>
      <c r="AU207" s="1"/>
    </row>
    <row r="208" spans="1:47" customFormat="1" x14ac:dyDescent="0.25">
      <c r="A208" s="8"/>
      <c r="B208" s="8"/>
      <c r="C208" s="13"/>
      <c r="E208" s="14"/>
      <c r="F208" s="14"/>
      <c r="G208" s="68"/>
      <c r="AU208" s="1"/>
    </row>
    <row r="209" spans="1:47" customFormat="1" x14ac:dyDescent="0.25">
      <c r="A209" s="8"/>
      <c r="B209" s="8"/>
      <c r="C209" s="13"/>
      <c r="E209" s="14"/>
      <c r="F209" s="14"/>
      <c r="G209" s="68"/>
      <c r="AU209" s="1"/>
    </row>
    <row r="210" spans="1:47" customFormat="1" x14ac:dyDescent="0.25">
      <c r="A210" s="8"/>
      <c r="B210" s="8"/>
      <c r="C210" s="13"/>
      <c r="E210" s="14"/>
      <c r="F210" s="14"/>
      <c r="G210" s="68"/>
      <c r="AU210" s="1"/>
    </row>
    <row r="211" spans="1:47" customFormat="1" x14ac:dyDescent="0.25">
      <c r="A211" s="8"/>
      <c r="B211" s="8"/>
      <c r="C211" s="13"/>
      <c r="E211" s="14"/>
      <c r="F211" s="14"/>
      <c r="G211" s="68"/>
      <c r="AU211" s="1"/>
    </row>
    <row r="212" spans="1:47" customFormat="1" x14ac:dyDescent="0.25">
      <c r="A212" s="8"/>
      <c r="B212" s="8"/>
      <c r="C212" s="13"/>
      <c r="E212" s="14"/>
      <c r="F212" s="14"/>
      <c r="G212" s="68"/>
      <c r="AU212" s="1"/>
    </row>
    <row r="213" spans="1:47" customFormat="1" x14ac:dyDescent="0.25">
      <c r="A213" s="8"/>
      <c r="B213" s="8"/>
      <c r="C213" s="13"/>
      <c r="E213" s="14"/>
      <c r="F213" s="14"/>
      <c r="G213" s="68"/>
      <c r="AU213" s="1"/>
    </row>
    <row r="214" spans="1:47" customFormat="1" x14ac:dyDescent="0.25">
      <c r="A214" s="8"/>
      <c r="B214" s="8"/>
      <c r="C214" s="13"/>
      <c r="E214" s="14"/>
      <c r="F214" s="14"/>
      <c r="G214" s="68"/>
      <c r="AU214" s="1"/>
    </row>
    <row r="215" spans="1:47" customFormat="1" x14ac:dyDescent="0.25">
      <c r="A215" s="8"/>
      <c r="B215" s="8"/>
      <c r="C215" s="13"/>
      <c r="E215" s="14"/>
      <c r="F215" s="14"/>
      <c r="G215" s="68"/>
      <c r="AU215" s="1"/>
    </row>
    <row r="216" spans="1:47" customFormat="1" x14ac:dyDescent="0.25">
      <c r="A216" s="8"/>
      <c r="B216" s="8"/>
      <c r="C216" s="13"/>
      <c r="E216" s="14"/>
      <c r="F216" s="14"/>
      <c r="G216" s="68"/>
      <c r="AU216" s="1"/>
    </row>
    <row r="217" spans="1:47" customFormat="1" x14ac:dyDescent="0.25">
      <c r="A217" s="8"/>
      <c r="B217" s="8"/>
      <c r="C217" s="13"/>
      <c r="E217" s="14"/>
      <c r="F217" s="14"/>
      <c r="G217" s="68"/>
      <c r="AU217" s="1"/>
    </row>
    <row r="218" spans="1:47" customFormat="1" x14ac:dyDescent="0.25">
      <c r="A218" s="8"/>
      <c r="B218" s="8"/>
      <c r="C218" s="13"/>
      <c r="E218" s="14"/>
      <c r="F218" s="14"/>
      <c r="G218" s="68"/>
      <c r="AU218" s="1"/>
    </row>
    <row r="219" spans="1:47" customFormat="1" x14ac:dyDescent="0.25">
      <c r="A219" s="8"/>
      <c r="B219" s="8"/>
      <c r="C219" s="13"/>
      <c r="E219" s="14"/>
      <c r="F219" s="14"/>
      <c r="G219" s="68"/>
      <c r="AU219" s="1"/>
    </row>
    <row r="220" spans="1:47" customFormat="1" x14ac:dyDescent="0.25">
      <c r="A220" s="8"/>
      <c r="B220" s="8"/>
      <c r="C220" s="13"/>
      <c r="E220" s="14"/>
      <c r="F220" s="14"/>
      <c r="G220" s="68"/>
      <c r="AU220" s="1"/>
    </row>
    <row r="221" spans="1:47" customFormat="1" x14ac:dyDescent="0.25">
      <c r="A221" s="8"/>
      <c r="B221" s="8"/>
      <c r="C221" s="13"/>
      <c r="E221" s="14"/>
      <c r="F221" s="14"/>
      <c r="G221" s="68"/>
      <c r="AU221" s="1"/>
    </row>
    <row r="222" spans="1:47" customFormat="1" x14ac:dyDescent="0.25">
      <c r="A222" s="8"/>
      <c r="B222" s="8"/>
      <c r="C222" s="13"/>
      <c r="E222" s="14"/>
      <c r="F222" s="14"/>
      <c r="G222" s="68"/>
      <c r="AU222" s="1"/>
    </row>
    <row r="223" spans="1:47" customFormat="1" x14ac:dyDescent="0.25">
      <c r="A223" s="8"/>
      <c r="B223" s="8"/>
      <c r="C223" s="13"/>
      <c r="E223" s="14"/>
      <c r="F223" s="14"/>
      <c r="G223" s="68"/>
      <c r="AU223" s="1"/>
    </row>
    <row r="224" spans="1:47" customFormat="1" x14ac:dyDescent="0.25">
      <c r="A224" s="8"/>
      <c r="B224" s="8"/>
      <c r="C224" s="13"/>
      <c r="E224" s="14"/>
      <c r="F224" s="14"/>
      <c r="G224" s="68"/>
      <c r="AU224" s="1"/>
    </row>
    <row r="225" spans="1:47" customFormat="1" x14ac:dyDescent="0.25">
      <c r="A225" s="8"/>
      <c r="B225" s="8"/>
      <c r="C225" s="13"/>
      <c r="E225" s="14"/>
      <c r="F225" s="14"/>
      <c r="G225" s="68"/>
      <c r="AU225" s="1"/>
    </row>
    <row r="226" spans="1:47" customFormat="1" x14ac:dyDescent="0.25">
      <c r="A226" s="8"/>
      <c r="B226" s="8"/>
      <c r="C226" s="13"/>
      <c r="E226" s="14"/>
      <c r="F226" s="14"/>
      <c r="G226" s="68"/>
      <c r="AU226" s="1"/>
    </row>
    <row r="227" spans="1:47" customFormat="1" x14ac:dyDescent="0.25">
      <c r="A227" s="8"/>
      <c r="B227" s="8"/>
      <c r="C227" s="13"/>
      <c r="E227" s="14"/>
      <c r="F227" s="14"/>
      <c r="G227" s="68"/>
      <c r="AU227" s="1"/>
    </row>
    <row r="228" spans="1:47" customFormat="1" x14ac:dyDescent="0.25">
      <c r="A228" s="8"/>
      <c r="B228" s="8"/>
      <c r="C228" s="13"/>
      <c r="E228" s="14"/>
      <c r="F228" s="14"/>
      <c r="G228" s="68"/>
      <c r="AU228" s="1"/>
    </row>
    <row r="229" spans="1:47" customFormat="1" x14ac:dyDescent="0.25">
      <c r="A229" s="8"/>
      <c r="B229" s="8"/>
      <c r="C229" s="13"/>
      <c r="E229" s="14"/>
      <c r="F229" s="14"/>
      <c r="G229" s="68"/>
      <c r="AU229" s="1"/>
    </row>
    <row r="230" spans="1:47" customFormat="1" x14ac:dyDescent="0.25">
      <c r="A230" s="8"/>
      <c r="B230" s="8"/>
      <c r="C230" s="13"/>
      <c r="E230" s="14"/>
      <c r="F230" s="14"/>
      <c r="G230" s="68"/>
      <c r="AU230" s="1"/>
    </row>
    <row r="231" spans="1:47" customFormat="1" x14ac:dyDescent="0.25">
      <c r="A231" s="8"/>
      <c r="B231" s="8"/>
      <c r="C231" s="13"/>
      <c r="E231" s="14"/>
      <c r="F231" s="14"/>
      <c r="G231" s="68"/>
      <c r="AU231" s="1"/>
    </row>
    <row r="232" spans="1:47" customFormat="1" x14ac:dyDescent="0.25">
      <c r="A232" s="8"/>
      <c r="B232" s="8"/>
      <c r="C232" s="13"/>
      <c r="E232" s="14"/>
      <c r="F232" s="14"/>
      <c r="G232" s="68"/>
      <c r="AU232" s="1"/>
    </row>
    <row r="233" spans="1:47" customFormat="1" x14ac:dyDescent="0.25">
      <c r="A233" s="8"/>
      <c r="B233" s="8"/>
      <c r="C233" s="13"/>
      <c r="E233" s="14"/>
      <c r="F233" s="14"/>
      <c r="G233" s="68"/>
      <c r="AU233" s="1"/>
    </row>
    <row r="234" spans="1:47" customFormat="1" x14ac:dyDescent="0.25">
      <c r="A234" s="8"/>
      <c r="B234" s="8"/>
      <c r="C234" s="13"/>
      <c r="E234" s="14"/>
      <c r="F234" s="14"/>
      <c r="G234" s="68"/>
      <c r="AU234" s="1"/>
    </row>
    <row r="235" spans="1:47" customFormat="1" x14ac:dyDescent="0.25">
      <c r="A235" s="8"/>
      <c r="B235" s="8"/>
      <c r="C235" s="13"/>
      <c r="E235" s="14"/>
      <c r="F235" s="14"/>
      <c r="G235" s="68"/>
      <c r="AU235" s="1"/>
    </row>
    <row r="236" spans="1:47" customFormat="1" x14ac:dyDescent="0.25">
      <c r="A236" s="8"/>
      <c r="B236" s="8"/>
      <c r="C236" s="13"/>
      <c r="E236" s="14"/>
      <c r="F236" s="14"/>
      <c r="G236" s="68"/>
      <c r="AU236" s="1"/>
    </row>
    <row r="237" spans="1:47" customFormat="1" x14ac:dyDescent="0.25">
      <c r="A237" s="8"/>
      <c r="B237" s="8"/>
      <c r="C237" s="13"/>
      <c r="E237" s="14"/>
      <c r="F237" s="14"/>
      <c r="G237" s="68"/>
      <c r="AU237" s="1"/>
    </row>
    <row r="238" spans="1:47" customFormat="1" x14ac:dyDescent="0.25">
      <c r="A238" s="8"/>
      <c r="B238" s="8"/>
      <c r="C238" s="13"/>
      <c r="E238" s="14"/>
      <c r="F238" s="14"/>
      <c r="G238" s="68"/>
      <c r="AU238" s="1"/>
    </row>
    <row r="239" spans="1:47" customFormat="1" x14ac:dyDescent="0.25">
      <c r="A239" s="8"/>
      <c r="B239" s="8"/>
      <c r="C239" s="13"/>
      <c r="E239" s="14"/>
      <c r="F239" s="14"/>
      <c r="G239" s="68"/>
      <c r="AU239" s="1"/>
    </row>
    <row r="240" spans="1:47" customFormat="1" x14ac:dyDescent="0.25">
      <c r="A240" s="8"/>
      <c r="B240" s="8"/>
      <c r="C240" s="13"/>
      <c r="E240" s="14"/>
      <c r="F240" s="14"/>
      <c r="G240" s="68"/>
      <c r="AU240" s="1"/>
    </row>
    <row r="241" spans="1:47" customFormat="1" x14ac:dyDescent="0.25">
      <c r="A241" s="8"/>
      <c r="B241" s="8"/>
      <c r="C241" s="13"/>
      <c r="E241" s="14"/>
      <c r="F241" s="14"/>
      <c r="G241" s="68"/>
      <c r="AU241" s="1"/>
    </row>
    <row r="242" spans="1:47" customFormat="1" x14ac:dyDescent="0.25">
      <c r="A242" s="8"/>
      <c r="B242" s="8"/>
      <c r="C242" s="13"/>
      <c r="E242" s="14"/>
      <c r="F242" s="14"/>
      <c r="G242" s="68"/>
      <c r="AU242" s="1"/>
    </row>
    <row r="243" spans="1:47" customFormat="1" x14ac:dyDescent="0.25">
      <c r="A243" s="8"/>
      <c r="B243" s="8"/>
      <c r="C243" s="13"/>
      <c r="E243" s="14"/>
      <c r="F243" s="14"/>
      <c r="G243" s="68"/>
      <c r="AU243" s="1"/>
    </row>
    <row r="244" spans="1:47" customFormat="1" x14ac:dyDescent="0.25">
      <c r="A244" s="8"/>
      <c r="B244" s="8"/>
      <c r="C244" s="13"/>
      <c r="E244" s="14"/>
      <c r="F244" s="14"/>
      <c r="G244" s="68"/>
      <c r="AU244" s="1"/>
    </row>
    <row r="245" spans="1:47" customFormat="1" x14ac:dyDescent="0.25">
      <c r="A245" s="8"/>
      <c r="B245" s="8"/>
      <c r="C245" s="13"/>
      <c r="E245" s="14"/>
      <c r="F245" s="14"/>
      <c r="G245" s="68"/>
      <c r="AU245" s="1"/>
    </row>
    <row r="246" spans="1:47" customFormat="1" x14ac:dyDescent="0.25">
      <c r="A246" s="8"/>
      <c r="B246" s="8"/>
      <c r="C246" s="13"/>
      <c r="E246" s="14"/>
      <c r="F246" s="14"/>
      <c r="G246" s="68"/>
      <c r="AU246" s="1"/>
    </row>
    <row r="247" spans="1:47" customFormat="1" x14ac:dyDescent="0.25">
      <c r="A247" s="8"/>
      <c r="B247" s="8"/>
      <c r="C247" s="13"/>
      <c r="E247" s="14"/>
      <c r="F247" s="14"/>
      <c r="G247" s="68"/>
      <c r="AU247" s="1"/>
    </row>
    <row r="248" spans="1:47" customFormat="1" x14ac:dyDescent="0.25">
      <c r="A248" s="8"/>
      <c r="B248" s="8"/>
      <c r="C248" s="13"/>
      <c r="E248" s="14"/>
      <c r="F248" s="14"/>
      <c r="G248" s="68"/>
      <c r="AU248" s="1"/>
    </row>
    <row r="249" spans="1:47" customFormat="1" x14ac:dyDescent="0.25">
      <c r="A249" s="8"/>
      <c r="B249" s="8"/>
      <c r="C249" s="13"/>
      <c r="E249" s="14"/>
      <c r="F249" s="14"/>
      <c r="G249" s="68"/>
      <c r="AU249" s="1"/>
    </row>
    <row r="250" spans="1:47" customFormat="1" x14ac:dyDescent="0.25">
      <c r="A250" s="8"/>
      <c r="B250" s="8"/>
      <c r="C250" s="13"/>
      <c r="E250" s="14"/>
      <c r="F250" s="14"/>
      <c r="G250" s="68"/>
      <c r="AU250" s="1"/>
    </row>
    <row r="251" spans="1:47" customFormat="1" x14ac:dyDescent="0.25">
      <c r="A251" s="8"/>
      <c r="B251" s="8"/>
      <c r="C251" s="13"/>
      <c r="E251" s="14"/>
      <c r="F251" s="14"/>
      <c r="G251" s="68"/>
      <c r="AU251" s="1"/>
    </row>
    <row r="252" spans="1:47" customFormat="1" x14ac:dyDescent="0.25">
      <c r="A252" s="8"/>
      <c r="B252" s="8"/>
      <c r="C252" s="13"/>
      <c r="E252" s="14"/>
      <c r="F252" s="14"/>
      <c r="G252" s="68"/>
      <c r="AU252" s="1"/>
    </row>
    <row r="253" spans="1:47" customFormat="1" x14ac:dyDescent="0.25">
      <c r="A253" s="8"/>
      <c r="B253" s="8"/>
      <c r="C253" s="13"/>
      <c r="E253" s="14"/>
      <c r="F253" s="14"/>
      <c r="G253" s="68"/>
      <c r="AU253" s="1"/>
    </row>
    <row r="254" spans="1:47" customFormat="1" x14ac:dyDescent="0.25">
      <c r="A254" s="8"/>
      <c r="B254" s="8"/>
      <c r="C254" s="13"/>
      <c r="E254" s="14"/>
      <c r="F254" s="14"/>
      <c r="G254" s="68"/>
      <c r="AU254" s="1"/>
    </row>
    <row r="255" spans="1:47" customFormat="1" x14ac:dyDescent="0.25">
      <c r="A255" s="8"/>
      <c r="B255" s="8"/>
      <c r="C255" s="13"/>
      <c r="E255" s="14"/>
      <c r="F255" s="14"/>
      <c r="G255" s="68"/>
      <c r="AU255" s="1"/>
    </row>
    <row r="256" spans="1:47" customFormat="1" x14ac:dyDescent="0.25">
      <c r="A256" s="8"/>
      <c r="B256" s="8"/>
      <c r="C256" s="13"/>
      <c r="E256" s="14"/>
      <c r="F256" s="14"/>
      <c r="G256" s="68"/>
      <c r="AU256" s="1"/>
    </row>
    <row r="257" spans="1:47" customFormat="1" x14ac:dyDescent="0.25">
      <c r="A257" s="8"/>
      <c r="B257" s="8"/>
      <c r="C257" s="13"/>
      <c r="E257" s="14"/>
      <c r="F257" s="14"/>
      <c r="G257" s="68"/>
      <c r="AU257" s="1"/>
    </row>
    <row r="258" spans="1:47" customFormat="1" x14ac:dyDescent="0.25">
      <c r="A258" s="8"/>
      <c r="B258" s="8"/>
      <c r="C258" s="13"/>
      <c r="E258" s="14"/>
      <c r="F258" s="14"/>
      <c r="G258" s="68"/>
      <c r="AU258" s="1"/>
    </row>
    <row r="259" spans="1:47" customFormat="1" x14ac:dyDescent="0.25">
      <c r="A259" s="8"/>
      <c r="B259" s="8"/>
      <c r="C259" s="13"/>
      <c r="E259" s="14"/>
      <c r="F259" s="14"/>
      <c r="G259" s="68"/>
      <c r="AU259" s="1"/>
    </row>
    <row r="260" spans="1:47" customFormat="1" x14ac:dyDescent="0.25">
      <c r="A260" s="8"/>
      <c r="B260" s="8"/>
      <c r="C260" s="13"/>
      <c r="E260" s="14"/>
      <c r="F260" s="14"/>
      <c r="G260" s="68"/>
      <c r="AU260" s="1"/>
    </row>
    <row r="261" spans="1:47" customFormat="1" x14ac:dyDescent="0.25">
      <c r="A261" s="8"/>
      <c r="B261" s="8"/>
      <c r="C261" s="13"/>
      <c r="E261" s="14"/>
      <c r="F261" s="14"/>
      <c r="G261" s="68"/>
      <c r="AU261" s="1"/>
    </row>
    <row r="262" spans="1:47" customFormat="1" x14ac:dyDescent="0.25">
      <c r="A262" s="8"/>
      <c r="B262" s="8"/>
      <c r="C262" s="13"/>
      <c r="E262" s="14"/>
      <c r="F262" s="14"/>
      <c r="G262" s="68"/>
      <c r="AU262" s="1"/>
    </row>
    <row r="263" spans="1:47" customFormat="1" x14ac:dyDescent="0.25">
      <c r="A263" s="8"/>
      <c r="B263" s="8"/>
      <c r="C263" s="13"/>
      <c r="E263" s="14"/>
      <c r="F263" s="14"/>
      <c r="G263" s="68"/>
      <c r="AU263" s="1"/>
    </row>
    <row r="264" spans="1:47" customFormat="1" x14ac:dyDescent="0.25">
      <c r="A264" s="8"/>
      <c r="B264" s="8"/>
      <c r="C264" s="13"/>
      <c r="E264" s="14"/>
      <c r="F264" s="14"/>
      <c r="G264" s="68"/>
      <c r="AU264" s="1"/>
    </row>
    <row r="265" spans="1:47" customFormat="1" x14ac:dyDescent="0.25">
      <c r="A265" s="8"/>
      <c r="B265" s="8"/>
      <c r="C265" s="13"/>
      <c r="E265" s="14"/>
      <c r="F265" s="14"/>
      <c r="G265" s="68"/>
      <c r="AU265" s="1"/>
    </row>
    <row r="266" spans="1:47" customFormat="1" x14ac:dyDescent="0.25">
      <c r="A266" s="8"/>
      <c r="B266" s="8"/>
      <c r="C266" s="13"/>
      <c r="E266" s="14"/>
      <c r="F266" s="14"/>
      <c r="G266" s="68"/>
      <c r="AU266" s="1"/>
    </row>
    <row r="267" spans="1:47" customFormat="1" x14ac:dyDescent="0.25">
      <c r="A267" s="8"/>
      <c r="B267" s="8"/>
      <c r="C267" s="13"/>
      <c r="E267" s="14"/>
      <c r="F267" s="14"/>
      <c r="G267" s="68"/>
      <c r="AU267" s="1"/>
    </row>
    <row r="268" spans="1:47" customFormat="1" x14ac:dyDescent="0.25">
      <c r="A268" s="8"/>
      <c r="B268" s="8"/>
      <c r="C268" s="13"/>
      <c r="E268" s="14"/>
      <c r="F268" s="14"/>
      <c r="G268" s="68"/>
      <c r="AU268" s="1"/>
    </row>
    <row r="269" spans="1:47" customFormat="1" x14ac:dyDescent="0.25">
      <c r="A269" s="8"/>
      <c r="B269" s="8"/>
      <c r="C269" s="13"/>
      <c r="E269" s="14"/>
      <c r="F269" s="14"/>
      <c r="G269" s="68"/>
      <c r="AU269" s="1"/>
    </row>
    <row r="270" spans="1:47" customFormat="1" x14ac:dyDescent="0.25">
      <c r="A270" s="8"/>
      <c r="B270" s="8"/>
      <c r="C270" s="13"/>
      <c r="E270" s="14"/>
      <c r="F270" s="14"/>
      <c r="G270" s="68"/>
      <c r="AU270" s="1"/>
    </row>
    <row r="271" spans="1:47" customFormat="1" x14ac:dyDescent="0.25">
      <c r="A271" s="8"/>
      <c r="B271" s="8"/>
      <c r="C271" s="13"/>
      <c r="E271" s="14"/>
      <c r="F271" s="14"/>
      <c r="G271" s="68"/>
      <c r="AU271" s="1"/>
    </row>
    <row r="272" spans="1:47" customFormat="1" x14ac:dyDescent="0.25">
      <c r="A272" s="8"/>
      <c r="B272" s="8"/>
      <c r="C272" s="13"/>
      <c r="E272" s="14"/>
      <c r="F272" s="14"/>
      <c r="G272" s="68"/>
      <c r="AU272" s="1"/>
    </row>
    <row r="273" spans="1:47" customFormat="1" x14ac:dyDescent="0.25">
      <c r="A273" s="8"/>
      <c r="B273" s="8"/>
      <c r="C273" s="13"/>
      <c r="E273" s="14"/>
      <c r="F273" s="14"/>
      <c r="G273" s="68"/>
      <c r="AU273" s="1"/>
    </row>
    <row r="274" spans="1:47" customFormat="1" x14ac:dyDescent="0.25">
      <c r="A274" s="8"/>
      <c r="B274" s="8"/>
      <c r="C274" s="13"/>
      <c r="E274" s="14"/>
      <c r="F274" s="14"/>
      <c r="G274" s="68"/>
      <c r="AU274" s="1"/>
    </row>
    <row r="275" spans="1:47" customFormat="1" x14ac:dyDescent="0.25">
      <c r="A275" s="8"/>
      <c r="B275" s="8"/>
      <c r="C275" s="13"/>
      <c r="E275" s="14"/>
      <c r="F275" s="14"/>
      <c r="G275" s="68"/>
      <c r="AU275" s="1"/>
    </row>
    <row r="276" spans="1:47" customFormat="1" x14ac:dyDescent="0.25">
      <c r="A276" s="8"/>
      <c r="B276" s="8"/>
      <c r="C276" s="13"/>
      <c r="E276" s="14"/>
      <c r="F276" s="14"/>
      <c r="G276" s="68"/>
      <c r="AU276" s="1"/>
    </row>
    <row r="277" spans="1:47" customFormat="1" x14ac:dyDescent="0.25">
      <c r="A277" s="8"/>
      <c r="B277" s="8"/>
      <c r="C277" s="13"/>
      <c r="E277" s="14"/>
      <c r="F277" s="14"/>
      <c r="G277" s="68"/>
      <c r="AU277" s="1"/>
    </row>
    <row r="278" spans="1:47" customFormat="1" x14ac:dyDescent="0.25">
      <c r="A278" s="8"/>
      <c r="B278" s="8"/>
      <c r="C278" s="13"/>
      <c r="E278" s="14"/>
      <c r="F278" s="14"/>
      <c r="G278" s="68"/>
      <c r="AU278" s="1"/>
    </row>
    <row r="279" spans="1:47" customFormat="1" x14ac:dyDescent="0.25">
      <c r="A279" s="8"/>
      <c r="B279" s="8"/>
      <c r="C279" s="13"/>
      <c r="E279" s="14"/>
      <c r="F279" s="14"/>
      <c r="G279" s="68"/>
      <c r="AU279" s="1"/>
    </row>
    <row r="280" spans="1:47" customFormat="1" x14ac:dyDescent="0.25">
      <c r="A280" s="8"/>
      <c r="B280" s="8"/>
      <c r="C280" s="13"/>
      <c r="E280" s="14"/>
      <c r="F280" s="14"/>
      <c r="G280" s="68"/>
      <c r="AU280" s="1"/>
    </row>
    <row r="281" spans="1:47" customFormat="1" x14ac:dyDescent="0.25">
      <c r="A281" s="8"/>
      <c r="B281" s="8"/>
      <c r="C281" s="13"/>
      <c r="E281" s="14"/>
      <c r="F281" s="14"/>
      <c r="G281" s="68"/>
      <c r="AU281" s="1"/>
    </row>
    <row r="282" spans="1:47" customFormat="1" x14ac:dyDescent="0.25">
      <c r="A282" s="8"/>
      <c r="B282" s="8"/>
      <c r="C282" s="13"/>
      <c r="E282" s="14"/>
      <c r="F282" s="14"/>
      <c r="G282" s="68"/>
      <c r="AU282" s="1"/>
    </row>
    <row r="283" spans="1:47" customFormat="1" x14ac:dyDescent="0.25">
      <c r="A283" s="8"/>
      <c r="B283" s="8"/>
      <c r="C283" s="13"/>
      <c r="E283" s="14"/>
      <c r="F283" s="14"/>
      <c r="G283" s="68"/>
      <c r="AU283" s="1"/>
    </row>
    <row r="284" spans="1:47" customFormat="1" x14ac:dyDescent="0.25">
      <c r="A284" s="8"/>
      <c r="B284" s="8"/>
      <c r="C284" s="13"/>
      <c r="E284" s="14"/>
      <c r="F284" s="14"/>
      <c r="G284" s="68"/>
      <c r="AU284" s="1"/>
    </row>
    <row r="285" spans="1:47" customFormat="1" x14ac:dyDescent="0.25">
      <c r="A285" s="8"/>
      <c r="B285" s="8"/>
      <c r="C285" s="13"/>
      <c r="E285" s="14"/>
      <c r="F285" s="14"/>
      <c r="G285" s="68"/>
      <c r="AU285" s="1"/>
    </row>
    <row r="286" spans="1:47" customFormat="1" x14ac:dyDescent="0.25">
      <c r="A286" s="8"/>
      <c r="B286" s="8"/>
      <c r="C286" s="13"/>
      <c r="E286" s="14"/>
      <c r="F286" s="14"/>
      <c r="G286" s="68"/>
      <c r="AU286" s="1"/>
    </row>
    <row r="287" spans="1:47" customFormat="1" x14ac:dyDescent="0.25">
      <c r="A287" s="8"/>
      <c r="B287" s="8"/>
      <c r="C287" s="13"/>
      <c r="E287" s="14"/>
      <c r="F287" s="14"/>
      <c r="G287" s="68"/>
      <c r="AU287" s="1"/>
    </row>
    <row r="288" spans="1:47" customFormat="1" x14ac:dyDescent="0.25">
      <c r="A288" s="8"/>
      <c r="B288" s="8"/>
      <c r="C288" s="13"/>
      <c r="E288" s="14"/>
      <c r="F288" s="14"/>
      <c r="G288" s="68"/>
      <c r="AU288" s="1"/>
    </row>
    <row r="289" spans="1:47" customFormat="1" x14ac:dyDescent="0.25">
      <c r="A289" s="8"/>
      <c r="B289" s="8"/>
      <c r="C289" s="13"/>
      <c r="E289" s="14"/>
      <c r="F289" s="14"/>
      <c r="G289" s="68"/>
      <c r="AU289" s="1"/>
    </row>
    <row r="290" spans="1:47" customFormat="1" x14ac:dyDescent="0.25">
      <c r="A290" s="8"/>
      <c r="B290" s="8"/>
      <c r="C290" s="13"/>
      <c r="E290" s="14"/>
      <c r="F290" s="14"/>
      <c r="G290" s="68"/>
      <c r="AU290" s="1"/>
    </row>
    <row r="291" spans="1:47" customFormat="1" x14ac:dyDescent="0.25">
      <c r="A291" s="8"/>
      <c r="B291" s="8"/>
      <c r="C291" s="13"/>
      <c r="E291" s="14"/>
      <c r="F291" s="14"/>
      <c r="G291" s="68"/>
      <c r="AU291" s="1"/>
    </row>
    <row r="292" spans="1:47" customFormat="1" x14ac:dyDescent="0.25">
      <c r="A292" s="8"/>
      <c r="B292" s="8"/>
      <c r="C292" s="13"/>
      <c r="E292" s="14"/>
      <c r="F292" s="14"/>
      <c r="G292" s="68"/>
      <c r="AU292" s="1"/>
    </row>
    <row r="293" spans="1:47" customFormat="1" x14ac:dyDescent="0.25">
      <c r="A293" s="8"/>
      <c r="B293" s="8"/>
      <c r="C293" s="13"/>
      <c r="E293" s="14"/>
      <c r="F293" s="14"/>
      <c r="G293" s="68"/>
      <c r="AU293" s="1"/>
    </row>
    <row r="294" spans="1:47" customFormat="1" x14ac:dyDescent="0.25">
      <c r="A294" s="8"/>
      <c r="B294" s="8"/>
      <c r="C294" s="13"/>
      <c r="E294" s="14"/>
      <c r="F294" s="14"/>
      <c r="G294" s="68"/>
      <c r="AU294" s="1"/>
    </row>
    <row r="295" spans="1:47" customFormat="1" x14ac:dyDescent="0.25">
      <c r="A295" s="8"/>
      <c r="B295" s="8"/>
      <c r="C295" s="13"/>
      <c r="E295" s="14"/>
      <c r="F295" s="14"/>
      <c r="G295" s="68"/>
      <c r="AU295" s="1"/>
    </row>
    <row r="296" spans="1:47" customFormat="1" x14ac:dyDescent="0.25">
      <c r="A296" s="8"/>
      <c r="B296" s="8"/>
      <c r="C296" s="13"/>
      <c r="E296" s="14"/>
      <c r="F296" s="14"/>
      <c r="G296" s="68"/>
      <c r="AU296" s="1"/>
    </row>
    <row r="297" spans="1:47" customFormat="1" x14ac:dyDescent="0.25">
      <c r="A297" s="8"/>
      <c r="B297" s="8"/>
      <c r="C297" s="13"/>
      <c r="E297" s="14"/>
      <c r="F297" s="14"/>
      <c r="G297" s="68"/>
      <c r="AU297" s="1"/>
    </row>
    <row r="298" spans="1:47" customFormat="1" x14ac:dyDescent="0.25">
      <c r="A298" s="8"/>
      <c r="B298" s="8"/>
      <c r="C298" s="13"/>
      <c r="E298" s="14"/>
      <c r="F298" s="14"/>
      <c r="G298" s="68"/>
      <c r="AU298" s="1"/>
    </row>
    <row r="299" spans="1:47" customFormat="1" x14ac:dyDescent="0.25">
      <c r="A299" s="8"/>
      <c r="B299" s="8"/>
      <c r="C299" s="13"/>
      <c r="E299" s="14"/>
      <c r="F299" s="14"/>
      <c r="G299" s="68"/>
      <c r="AU299" s="1"/>
    </row>
    <row r="300" spans="1:47" customFormat="1" x14ac:dyDescent="0.25">
      <c r="A300" s="8"/>
      <c r="B300" s="8"/>
      <c r="C300" s="13"/>
      <c r="E300" s="14"/>
      <c r="F300" s="14"/>
      <c r="G300" s="68"/>
      <c r="AU300" s="1"/>
    </row>
    <row r="301" spans="1:47" customFormat="1" x14ac:dyDescent="0.25">
      <c r="A301" s="8"/>
      <c r="B301" s="8"/>
      <c r="C301" s="13"/>
      <c r="E301" s="14"/>
      <c r="F301" s="14"/>
      <c r="G301" s="68"/>
      <c r="AU301" s="1"/>
    </row>
    <row r="302" spans="1:47" customFormat="1" x14ac:dyDescent="0.25">
      <c r="A302" s="8"/>
      <c r="B302" s="8"/>
      <c r="C302" s="13"/>
      <c r="E302" s="14"/>
      <c r="F302" s="14"/>
      <c r="G302" s="68"/>
      <c r="AU302" s="1"/>
    </row>
    <row r="303" spans="1:47" customFormat="1" x14ac:dyDescent="0.25">
      <c r="A303" s="8"/>
      <c r="B303" s="8"/>
      <c r="C303" s="13"/>
      <c r="E303" s="14"/>
      <c r="F303" s="14"/>
      <c r="G303" s="68"/>
      <c r="AU303" s="1"/>
    </row>
    <row r="304" spans="1:47" customFormat="1" x14ac:dyDescent="0.25">
      <c r="A304" s="8"/>
      <c r="B304" s="8"/>
      <c r="C304" s="13"/>
      <c r="E304" s="14"/>
      <c r="F304" s="14"/>
      <c r="G304" s="68"/>
      <c r="AU304" s="1"/>
    </row>
    <row r="305" spans="1:47" customFormat="1" x14ac:dyDescent="0.25">
      <c r="A305" s="8"/>
      <c r="B305" s="8"/>
      <c r="C305" s="13"/>
      <c r="E305" s="14"/>
      <c r="F305" s="14"/>
      <c r="G305" s="68"/>
      <c r="AU305" s="1"/>
    </row>
    <row r="306" spans="1:47" customFormat="1" x14ac:dyDescent="0.25">
      <c r="A306" s="8"/>
      <c r="B306" s="8"/>
      <c r="C306" s="13"/>
      <c r="E306" s="14"/>
      <c r="F306" s="14"/>
      <c r="G306" s="68"/>
      <c r="AU306" s="1"/>
    </row>
    <row r="307" spans="1:47" customFormat="1" x14ac:dyDescent="0.25">
      <c r="A307" s="8"/>
      <c r="B307" s="8"/>
      <c r="C307" s="13"/>
      <c r="E307" s="14"/>
      <c r="F307" s="14"/>
      <c r="G307" s="68"/>
      <c r="AU307" s="1"/>
    </row>
    <row r="308" spans="1:47" customFormat="1" x14ac:dyDescent="0.25">
      <c r="A308" s="8"/>
      <c r="B308" s="8"/>
      <c r="C308" s="13"/>
      <c r="E308" s="14"/>
      <c r="F308" s="14"/>
      <c r="G308" s="68"/>
      <c r="AU308" s="1"/>
    </row>
    <row r="309" spans="1:47" customFormat="1" x14ac:dyDescent="0.25">
      <c r="A309" s="8"/>
      <c r="B309" s="8"/>
      <c r="C309" s="13"/>
      <c r="E309" s="14"/>
      <c r="F309" s="14"/>
      <c r="G309" s="68"/>
      <c r="AU309" s="1"/>
    </row>
    <row r="310" spans="1:47" customFormat="1" x14ac:dyDescent="0.25">
      <c r="A310" s="8"/>
      <c r="B310" s="8"/>
      <c r="C310" s="13"/>
      <c r="E310" s="14"/>
      <c r="F310" s="14"/>
      <c r="G310" s="68"/>
      <c r="AU310" s="1"/>
    </row>
    <row r="311" spans="1:47" customFormat="1" x14ac:dyDescent="0.25">
      <c r="A311" s="8"/>
      <c r="B311" s="8"/>
      <c r="C311" s="13"/>
      <c r="E311" s="14"/>
      <c r="F311" s="14"/>
      <c r="G311" s="68"/>
      <c r="AU311" s="1"/>
    </row>
    <row r="312" spans="1:47" customFormat="1" x14ac:dyDescent="0.25">
      <c r="A312" s="8"/>
      <c r="B312" s="8"/>
      <c r="C312" s="13"/>
      <c r="E312" s="14"/>
      <c r="F312" s="14"/>
      <c r="G312" s="68"/>
      <c r="AU312" s="1"/>
    </row>
    <row r="313" spans="1:47" customFormat="1" x14ac:dyDescent="0.25">
      <c r="A313" s="8"/>
      <c r="B313" s="8"/>
      <c r="C313" s="13"/>
      <c r="E313" s="14"/>
      <c r="F313" s="14"/>
      <c r="G313" s="68"/>
      <c r="AU313" s="1"/>
    </row>
    <row r="314" spans="1:47" customFormat="1" x14ac:dyDescent="0.25">
      <c r="A314" s="8"/>
      <c r="B314" s="8"/>
      <c r="C314" s="13"/>
      <c r="E314" s="14"/>
      <c r="F314" s="14"/>
      <c r="G314" s="68"/>
      <c r="AU314" s="1"/>
    </row>
    <row r="315" spans="1:47" customFormat="1" x14ac:dyDescent="0.25">
      <c r="A315" s="8"/>
      <c r="B315" s="8"/>
      <c r="C315" s="13"/>
      <c r="E315" s="14"/>
      <c r="F315" s="14"/>
      <c r="G315" s="68"/>
      <c r="AU315" s="1"/>
    </row>
    <row r="316" spans="1:47" customFormat="1" x14ac:dyDescent="0.25">
      <c r="A316" s="8"/>
      <c r="B316" s="8"/>
      <c r="C316" s="13"/>
      <c r="E316" s="14"/>
      <c r="F316" s="14"/>
      <c r="G316" s="68"/>
      <c r="AU316" s="1"/>
    </row>
    <row r="317" spans="1:47" customFormat="1" x14ac:dyDescent="0.25">
      <c r="A317" s="8"/>
      <c r="B317" s="8"/>
      <c r="C317" s="13"/>
      <c r="E317" s="14"/>
      <c r="F317" s="14"/>
      <c r="G317" s="68"/>
      <c r="AU317" s="1"/>
    </row>
    <row r="318" spans="1:47" customFormat="1" x14ac:dyDescent="0.25">
      <c r="A318" s="8"/>
      <c r="B318" s="8"/>
      <c r="C318" s="13"/>
      <c r="E318" s="14"/>
      <c r="F318" s="14"/>
      <c r="G318" s="68"/>
      <c r="AU318" s="1"/>
    </row>
    <row r="319" spans="1:47" customFormat="1" x14ac:dyDescent="0.25">
      <c r="A319" s="8"/>
      <c r="B319" s="8"/>
      <c r="C319" s="13"/>
      <c r="E319" s="14"/>
      <c r="F319" s="14"/>
      <c r="G319" s="68"/>
      <c r="AU319" s="1"/>
    </row>
    <row r="320" spans="1:47" customFormat="1" x14ac:dyDescent="0.25">
      <c r="A320" s="8"/>
      <c r="B320" s="8"/>
      <c r="C320" s="13"/>
      <c r="E320" s="14"/>
      <c r="F320" s="14"/>
      <c r="G320" s="68"/>
      <c r="AU320" s="1"/>
    </row>
    <row r="321" spans="1:47" customFormat="1" x14ac:dyDescent="0.25">
      <c r="A321" s="8"/>
      <c r="B321" s="8"/>
      <c r="C321" s="13"/>
      <c r="E321" s="14"/>
      <c r="F321" s="14"/>
      <c r="G321" s="68"/>
      <c r="AU321" s="1"/>
    </row>
    <row r="322" spans="1:47" customFormat="1" x14ac:dyDescent="0.25">
      <c r="A322" s="8"/>
      <c r="B322" s="8"/>
      <c r="C322" s="13"/>
      <c r="E322" s="14"/>
      <c r="F322" s="14"/>
      <c r="G322" s="68"/>
      <c r="AU322" s="1"/>
    </row>
    <row r="323" spans="1:47" customFormat="1" x14ac:dyDescent="0.25">
      <c r="A323" s="8"/>
      <c r="B323" s="8"/>
      <c r="C323" s="13"/>
      <c r="E323" s="14"/>
      <c r="F323" s="14"/>
      <c r="G323" s="68"/>
      <c r="AU323" s="1"/>
    </row>
    <row r="324" spans="1:47" customFormat="1" x14ac:dyDescent="0.25">
      <c r="A324" s="8"/>
      <c r="B324" s="8"/>
      <c r="C324" s="13"/>
      <c r="E324" s="14"/>
      <c r="F324" s="14"/>
      <c r="G324" s="68"/>
      <c r="AU324" s="1"/>
    </row>
    <row r="325" spans="1:47" customFormat="1" x14ac:dyDescent="0.25">
      <c r="A325" s="8"/>
      <c r="B325" s="8"/>
      <c r="C325" s="13"/>
      <c r="E325" s="14"/>
      <c r="F325" s="14"/>
      <c r="G325" s="68"/>
      <c r="AU325" s="1"/>
    </row>
    <row r="326" spans="1:47" customFormat="1" x14ac:dyDescent="0.25">
      <c r="A326" s="8"/>
      <c r="B326" s="8"/>
      <c r="C326" s="13"/>
      <c r="E326" s="14"/>
      <c r="F326" s="14"/>
      <c r="G326" s="68"/>
      <c r="AU326" s="1"/>
    </row>
    <row r="327" spans="1:47" customFormat="1" x14ac:dyDescent="0.25">
      <c r="A327" s="8"/>
      <c r="B327" s="8"/>
      <c r="C327" s="13"/>
      <c r="E327" s="14"/>
      <c r="F327" s="14"/>
      <c r="G327" s="68"/>
      <c r="AU327" s="1"/>
    </row>
    <row r="328" spans="1:47" customFormat="1" x14ac:dyDescent="0.25">
      <c r="A328" s="8"/>
      <c r="B328" s="8"/>
      <c r="C328" s="13"/>
      <c r="E328" s="14"/>
      <c r="F328" s="14"/>
      <c r="G328" s="68"/>
      <c r="AU328" s="1"/>
    </row>
    <row r="329" spans="1:47" customFormat="1" x14ac:dyDescent="0.25">
      <c r="A329" s="8"/>
      <c r="B329" s="8"/>
      <c r="C329" s="13"/>
      <c r="E329" s="14"/>
      <c r="F329" s="14"/>
      <c r="G329" s="68"/>
      <c r="AU329" s="1"/>
    </row>
    <row r="330" spans="1:47" customFormat="1" x14ac:dyDescent="0.25">
      <c r="A330" s="8"/>
      <c r="B330" s="8"/>
      <c r="C330" s="13"/>
      <c r="E330" s="14"/>
      <c r="F330" s="14"/>
      <c r="G330" s="68"/>
      <c r="AU330" s="1"/>
    </row>
    <row r="331" spans="1:47" customFormat="1" x14ac:dyDescent="0.25">
      <c r="A331" s="8"/>
      <c r="B331" s="8"/>
      <c r="C331" s="13"/>
      <c r="E331" s="14"/>
      <c r="F331" s="14"/>
      <c r="G331" s="68"/>
      <c r="AU331" s="1"/>
    </row>
    <row r="332" spans="1:47" customFormat="1" x14ac:dyDescent="0.25">
      <c r="A332" s="8"/>
      <c r="B332" s="8"/>
      <c r="C332" s="13"/>
      <c r="E332" s="14"/>
      <c r="F332" s="14"/>
      <c r="G332" s="68"/>
      <c r="AU332" s="1"/>
    </row>
    <row r="333" spans="1:47" customFormat="1" x14ac:dyDescent="0.25">
      <c r="A333" s="8"/>
      <c r="B333" s="8"/>
      <c r="C333" s="13"/>
      <c r="E333" s="14"/>
      <c r="F333" s="14"/>
      <c r="G333" s="68"/>
      <c r="AU333" s="1"/>
    </row>
    <row r="334" spans="1:47" customFormat="1" x14ac:dyDescent="0.25">
      <c r="A334" s="8"/>
      <c r="B334" s="8"/>
      <c r="C334" s="13"/>
      <c r="E334" s="14"/>
      <c r="F334" s="14"/>
      <c r="G334" s="68"/>
      <c r="AU334" s="1"/>
    </row>
    <row r="335" spans="1:47" customFormat="1" x14ac:dyDescent="0.25">
      <c r="A335" s="8"/>
      <c r="B335" s="8"/>
      <c r="C335" s="13"/>
      <c r="E335" s="14"/>
      <c r="F335" s="14"/>
      <c r="G335" s="68"/>
      <c r="AU335" s="1"/>
    </row>
    <row r="336" spans="1:47" customFormat="1" x14ac:dyDescent="0.25">
      <c r="A336" s="8"/>
      <c r="B336" s="8"/>
      <c r="C336" s="13"/>
      <c r="E336" s="14"/>
      <c r="F336" s="14"/>
      <c r="G336" s="68"/>
      <c r="AU336" s="1"/>
    </row>
    <row r="337" spans="1:47" customFormat="1" x14ac:dyDescent="0.25">
      <c r="A337" s="8"/>
      <c r="B337" s="8"/>
      <c r="C337" s="13"/>
      <c r="E337" s="14"/>
      <c r="F337" s="14"/>
      <c r="G337" s="68"/>
      <c r="AU337" s="1"/>
    </row>
    <row r="338" spans="1:47" customFormat="1" x14ac:dyDescent="0.25">
      <c r="A338" s="8"/>
      <c r="B338" s="8"/>
      <c r="C338" s="13"/>
      <c r="E338" s="14"/>
      <c r="F338" s="14"/>
      <c r="G338" s="68"/>
      <c r="AU338" s="1"/>
    </row>
    <row r="339" spans="1:47" customFormat="1" x14ac:dyDescent="0.25">
      <c r="A339" s="8"/>
      <c r="B339" s="8"/>
      <c r="C339" s="13"/>
      <c r="E339" s="14"/>
      <c r="F339" s="14"/>
      <c r="G339" s="68"/>
      <c r="AU339" s="1"/>
    </row>
    <row r="340" spans="1:47" customFormat="1" x14ac:dyDescent="0.25">
      <c r="A340" s="8"/>
      <c r="B340" s="8"/>
      <c r="C340" s="13"/>
      <c r="E340" s="14"/>
      <c r="F340" s="14"/>
      <c r="G340" s="68"/>
      <c r="AU340" s="1"/>
    </row>
    <row r="341" spans="1:47" customFormat="1" x14ac:dyDescent="0.25">
      <c r="A341" s="8"/>
      <c r="B341" s="8"/>
      <c r="C341" s="13"/>
      <c r="E341" s="14"/>
      <c r="F341" s="14"/>
      <c r="G341" s="68"/>
      <c r="AU341" s="1"/>
    </row>
    <row r="342" spans="1:47" customFormat="1" x14ac:dyDescent="0.25">
      <c r="A342" s="8"/>
      <c r="B342" s="8"/>
      <c r="C342" s="13"/>
      <c r="E342" s="14"/>
      <c r="F342" s="14"/>
      <c r="G342" s="68"/>
      <c r="AU342" s="1"/>
    </row>
    <row r="343" spans="1:47" customFormat="1" x14ac:dyDescent="0.25">
      <c r="A343" s="8"/>
      <c r="B343" s="8"/>
      <c r="C343" s="13"/>
      <c r="E343" s="14"/>
      <c r="F343" s="14"/>
      <c r="G343" s="68"/>
      <c r="AU343" s="1"/>
    </row>
    <row r="344" spans="1:47" customFormat="1" x14ac:dyDescent="0.25">
      <c r="A344" s="8"/>
      <c r="B344" s="8"/>
      <c r="C344" s="13"/>
      <c r="E344" s="14"/>
      <c r="F344" s="14"/>
      <c r="G344" s="68"/>
      <c r="AU344" s="1"/>
    </row>
    <row r="345" spans="1:47" customFormat="1" x14ac:dyDescent="0.25">
      <c r="A345" s="8"/>
      <c r="B345" s="8"/>
      <c r="C345" s="13"/>
      <c r="E345" s="14"/>
      <c r="F345" s="14"/>
      <c r="G345" s="68"/>
      <c r="AU345" s="1"/>
    </row>
    <row r="346" spans="1:47" customFormat="1" x14ac:dyDescent="0.25">
      <c r="A346" s="8"/>
      <c r="B346" s="8"/>
      <c r="C346" s="13"/>
      <c r="E346" s="14"/>
      <c r="F346" s="14"/>
      <c r="G346" s="68"/>
      <c r="AU346" s="1"/>
    </row>
    <row r="347" spans="1:47" customFormat="1" x14ac:dyDescent="0.25">
      <c r="A347" s="8"/>
      <c r="B347" s="8"/>
      <c r="C347" s="13"/>
      <c r="E347" s="14"/>
      <c r="F347" s="14"/>
      <c r="G347" s="68"/>
      <c r="AU347" s="1"/>
    </row>
    <row r="348" spans="1:47" customFormat="1" x14ac:dyDescent="0.25">
      <c r="A348" s="8"/>
      <c r="B348" s="8"/>
      <c r="C348" s="13"/>
      <c r="E348" s="14"/>
      <c r="F348" s="14"/>
      <c r="G348" s="68"/>
      <c r="AU348" s="1"/>
    </row>
    <row r="349" spans="1:47" customFormat="1" x14ac:dyDescent="0.25">
      <c r="A349" s="8"/>
      <c r="B349" s="8"/>
      <c r="C349" s="13"/>
      <c r="E349" s="14"/>
      <c r="F349" s="14"/>
      <c r="G349" s="68"/>
      <c r="AU349" s="1"/>
    </row>
    <row r="350" spans="1:47" customFormat="1" x14ac:dyDescent="0.25">
      <c r="A350" s="8"/>
      <c r="B350" s="8"/>
      <c r="C350" s="13"/>
      <c r="E350" s="14"/>
      <c r="F350" s="14"/>
      <c r="G350" s="68"/>
      <c r="AU350" s="1"/>
    </row>
    <row r="351" spans="1:47" customFormat="1" x14ac:dyDescent="0.25">
      <c r="A351" s="8"/>
      <c r="B351" s="8"/>
      <c r="C351" s="13"/>
      <c r="E351" s="14"/>
      <c r="F351" s="14"/>
      <c r="G351" s="68"/>
      <c r="AU351" s="1"/>
    </row>
    <row r="352" spans="1:47" customFormat="1" x14ac:dyDescent="0.25">
      <c r="A352" s="8"/>
      <c r="B352" s="8"/>
      <c r="C352" s="13"/>
      <c r="E352" s="14"/>
      <c r="F352" s="14"/>
      <c r="G352" s="68"/>
      <c r="AU352" s="1"/>
    </row>
    <row r="353" spans="1:47" customFormat="1" x14ac:dyDescent="0.25">
      <c r="A353" s="8"/>
      <c r="B353" s="8"/>
      <c r="C353" s="13"/>
      <c r="E353" s="14"/>
      <c r="F353" s="14"/>
      <c r="G353" s="68"/>
      <c r="AU353" s="1"/>
    </row>
    <row r="354" spans="1:47" customFormat="1" x14ac:dyDescent="0.25">
      <c r="A354" s="8"/>
      <c r="B354" s="8"/>
      <c r="C354" s="13"/>
      <c r="E354" s="14"/>
      <c r="F354" s="14"/>
      <c r="G354" s="68"/>
      <c r="AU354" s="1"/>
    </row>
    <row r="355" spans="1:47" customFormat="1" x14ac:dyDescent="0.25">
      <c r="A355" s="8"/>
      <c r="B355" s="8"/>
      <c r="C355" s="13"/>
      <c r="E355" s="14"/>
      <c r="F355" s="14"/>
      <c r="G355" s="68"/>
      <c r="AU355" s="1"/>
    </row>
    <row r="356" spans="1:47" customFormat="1" x14ac:dyDescent="0.25">
      <c r="A356" s="8"/>
      <c r="B356" s="8"/>
      <c r="C356" s="13"/>
      <c r="E356" s="14"/>
      <c r="F356" s="14"/>
      <c r="G356" s="68"/>
      <c r="AU356" s="1"/>
    </row>
    <row r="357" spans="1:47" customFormat="1" x14ac:dyDescent="0.25">
      <c r="A357" s="8"/>
      <c r="B357" s="8"/>
      <c r="C357" s="13"/>
      <c r="E357" s="14"/>
      <c r="F357" s="14"/>
      <c r="G357" s="68"/>
      <c r="AU357" s="1"/>
    </row>
    <row r="358" spans="1:47" customFormat="1" x14ac:dyDescent="0.25">
      <c r="A358" s="8"/>
      <c r="B358" s="8"/>
      <c r="C358" s="13"/>
      <c r="E358" s="14"/>
      <c r="F358" s="14"/>
      <c r="G358" s="68"/>
      <c r="AU358" s="1"/>
    </row>
    <row r="359" spans="1:47" customFormat="1" x14ac:dyDescent="0.25">
      <c r="A359" s="8"/>
      <c r="B359" s="8"/>
      <c r="C359" s="13"/>
      <c r="E359" s="14"/>
      <c r="F359" s="14"/>
      <c r="G359" s="68"/>
      <c r="AU359" s="1"/>
    </row>
    <row r="360" spans="1:47" customFormat="1" x14ac:dyDescent="0.25">
      <c r="A360" s="8"/>
      <c r="B360" s="8"/>
      <c r="C360" s="13"/>
      <c r="E360" s="14"/>
      <c r="F360" s="14"/>
      <c r="G360" s="68"/>
      <c r="AU360" s="1"/>
    </row>
    <row r="361" spans="1:47" customFormat="1" x14ac:dyDescent="0.25">
      <c r="A361" s="8"/>
      <c r="B361" s="8"/>
      <c r="C361" s="13"/>
      <c r="E361" s="14"/>
      <c r="F361" s="14"/>
      <c r="G361" s="68"/>
      <c r="AU361" s="1"/>
    </row>
    <row r="362" spans="1:47" customFormat="1" x14ac:dyDescent="0.25">
      <c r="A362" s="8"/>
      <c r="B362" s="8"/>
      <c r="C362" s="13"/>
      <c r="E362" s="14"/>
      <c r="F362" s="14"/>
      <c r="G362" s="68"/>
      <c r="AU362" s="1"/>
    </row>
    <row r="363" spans="1:47" customFormat="1" x14ac:dyDescent="0.25">
      <c r="A363" s="8"/>
      <c r="B363" s="8"/>
      <c r="C363" s="13"/>
      <c r="E363" s="14"/>
      <c r="F363" s="14"/>
      <c r="G363" s="68"/>
      <c r="AU363" s="1"/>
    </row>
    <row r="364" spans="1:47" customFormat="1" x14ac:dyDescent="0.25">
      <c r="A364" s="8"/>
      <c r="B364" s="8"/>
      <c r="C364" s="13"/>
      <c r="E364" s="14"/>
      <c r="F364" s="14"/>
      <c r="G364" s="68"/>
      <c r="AU364" s="1"/>
    </row>
    <row r="365" spans="1:47" customFormat="1" x14ac:dyDescent="0.25">
      <c r="A365" s="8"/>
      <c r="B365" s="8"/>
      <c r="C365" s="13"/>
      <c r="E365" s="14"/>
      <c r="F365" s="14"/>
      <c r="G365" s="68"/>
      <c r="AU365" s="1"/>
    </row>
    <row r="366" spans="1:47" customFormat="1" x14ac:dyDescent="0.25">
      <c r="A366" s="8"/>
      <c r="B366" s="8"/>
      <c r="C366" s="13"/>
      <c r="E366" s="14"/>
      <c r="F366" s="14"/>
      <c r="G366" s="68"/>
      <c r="AU366" s="1"/>
    </row>
    <row r="367" spans="1:47" customFormat="1" x14ac:dyDescent="0.25">
      <c r="A367" s="8"/>
      <c r="B367" s="8"/>
      <c r="C367" s="13"/>
      <c r="E367" s="14"/>
      <c r="F367" s="14"/>
      <c r="G367" s="68"/>
      <c r="AU367" s="1"/>
    </row>
    <row r="368" spans="1:47" customFormat="1" x14ac:dyDescent="0.25">
      <c r="A368" s="8"/>
      <c r="B368" s="8"/>
      <c r="C368" s="13"/>
      <c r="E368" s="14"/>
      <c r="F368" s="14"/>
      <c r="G368" s="68"/>
      <c r="AU368" s="1"/>
    </row>
    <row r="369" spans="1:47" customFormat="1" x14ac:dyDescent="0.25">
      <c r="A369" s="8"/>
      <c r="B369" s="8"/>
      <c r="C369" s="13"/>
      <c r="E369" s="14"/>
      <c r="F369" s="14"/>
      <c r="G369" s="68"/>
      <c r="AU369" s="1"/>
    </row>
    <row r="370" spans="1:47" customFormat="1" x14ac:dyDescent="0.25">
      <c r="A370" s="8"/>
      <c r="B370" s="8"/>
      <c r="C370" s="13"/>
      <c r="E370" s="14"/>
      <c r="F370" s="14"/>
      <c r="G370" s="68"/>
      <c r="AU370" s="1"/>
    </row>
    <row r="371" spans="1:47" customFormat="1" x14ac:dyDescent="0.25">
      <c r="A371" s="8"/>
      <c r="B371" s="8"/>
      <c r="C371" s="13"/>
      <c r="E371" s="14"/>
      <c r="F371" s="14"/>
      <c r="G371" s="68"/>
      <c r="AU371" s="1"/>
    </row>
    <row r="372" spans="1:47" customFormat="1" x14ac:dyDescent="0.25">
      <c r="A372" s="8"/>
      <c r="B372" s="8"/>
      <c r="C372" s="13"/>
      <c r="E372" s="14"/>
      <c r="F372" s="14"/>
      <c r="G372" s="68"/>
      <c r="AU372" s="1"/>
    </row>
    <row r="373" spans="1:47" customFormat="1" x14ac:dyDescent="0.25">
      <c r="A373" s="8"/>
      <c r="B373" s="8"/>
      <c r="C373" s="13"/>
      <c r="E373" s="14"/>
      <c r="F373" s="14"/>
      <c r="G373" s="68"/>
      <c r="AU373" s="1"/>
    </row>
    <row r="374" spans="1:47" customFormat="1" x14ac:dyDescent="0.25">
      <c r="A374" s="8"/>
      <c r="B374" s="8"/>
      <c r="C374" s="13"/>
      <c r="E374" s="14"/>
      <c r="F374" s="14"/>
      <c r="G374" s="68"/>
      <c r="AU374" s="1"/>
    </row>
    <row r="375" spans="1:47" customFormat="1" x14ac:dyDescent="0.25">
      <c r="A375" s="8"/>
      <c r="B375" s="8"/>
      <c r="C375" s="13"/>
      <c r="E375" s="14"/>
      <c r="F375" s="14"/>
      <c r="G375" s="68"/>
      <c r="AU375" s="1"/>
    </row>
    <row r="376" spans="1:47" customFormat="1" x14ac:dyDescent="0.25">
      <c r="A376" s="8"/>
      <c r="B376" s="8"/>
      <c r="C376" s="13"/>
      <c r="E376" s="14"/>
      <c r="F376" s="14"/>
      <c r="G376" s="68"/>
      <c r="AU376" s="1"/>
    </row>
    <row r="377" spans="1:47" customFormat="1" x14ac:dyDescent="0.25">
      <c r="A377" s="8"/>
      <c r="B377" s="8"/>
      <c r="C377" s="13"/>
      <c r="E377" s="14"/>
      <c r="F377" s="14"/>
      <c r="G377" s="68"/>
      <c r="AU377" s="1"/>
    </row>
    <row r="378" spans="1:47" customFormat="1" x14ac:dyDescent="0.25">
      <c r="A378" s="8"/>
      <c r="B378" s="8"/>
      <c r="C378" s="13"/>
      <c r="E378" s="14"/>
      <c r="F378" s="14"/>
      <c r="G378" s="68"/>
      <c r="AU378" s="1"/>
    </row>
    <row r="379" spans="1:47" customFormat="1" x14ac:dyDescent="0.25">
      <c r="A379" s="8"/>
      <c r="B379" s="8"/>
      <c r="C379" s="13"/>
      <c r="E379" s="14"/>
      <c r="F379" s="14"/>
      <c r="G379" s="68"/>
      <c r="AU379" s="1"/>
    </row>
    <row r="380" spans="1:47" customFormat="1" x14ac:dyDescent="0.25">
      <c r="A380" s="8"/>
      <c r="B380" s="8"/>
      <c r="C380" s="13"/>
      <c r="E380" s="14"/>
      <c r="F380" s="14"/>
      <c r="G380" s="68"/>
      <c r="AU380" s="1"/>
    </row>
    <row r="381" spans="1:47" customFormat="1" x14ac:dyDescent="0.25">
      <c r="A381" s="8"/>
      <c r="B381" s="8"/>
      <c r="C381" s="13"/>
      <c r="E381" s="14"/>
      <c r="F381" s="14"/>
      <c r="G381" s="68"/>
      <c r="AU381" s="1"/>
    </row>
    <row r="382" spans="1:47" customFormat="1" x14ac:dyDescent="0.25">
      <c r="A382" s="8"/>
      <c r="B382" s="8"/>
      <c r="C382" s="13"/>
      <c r="E382" s="14"/>
      <c r="F382" s="14"/>
      <c r="G382" s="68"/>
      <c r="AU382" s="1"/>
    </row>
    <row r="383" spans="1:47" customFormat="1" x14ac:dyDescent="0.25">
      <c r="A383" s="8"/>
      <c r="B383" s="8"/>
      <c r="C383" s="13"/>
      <c r="E383" s="14"/>
      <c r="F383" s="14"/>
      <c r="G383" s="68"/>
      <c r="AU383" s="1"/>
    </row>
    <row r="384" spans="1:47" customFormat="1" x14ac:dyDescent="0.25">
      <c r="A384" s="8"/>
      <c r="B384" s="8"/>
      <c r="C384" s="13"/>
      <c r="E384" s="14"/>
      <c r="F384" s="14"/>
      <c r="G384" s="68"/>
      <c r="AU384" s="1"/>
    </row>
    <row r="385" spans="1:47" customFormat="1" x14ac:dyDescent="0.25">
      <c r="A385" s="8"/>
      <c r="B385" s="8"/>
      <c r="C385" s="13"/>
      <c r="E385" s="14"/>
      <c r="F385" s="14"/>
      <c r="G385" s="68"/>
      <c r="AU385" s="1"/>
    </row>
    <row r="386" spans="1:47" customFormat="1" x14ac:dyDescent="0.25">
      <c r="A386" s="8"/>
      <c r="B386" s="8"/>
      <c r="C386" s="13"/>
      <c r="E386" s="14"/>
      <c r="F386" s="14"/>
      <c r="G386" s="68"/>
      <c r="AU386" s="1"/>
    </row>
    <row r="387" spans="1:47" customFormat="1" x14ac:dyDescent="0.25">
      <c r="A387" s="8"/>
      <c r="B387" s="8"/>
      <c r="C387" s="13"/>
      <c r="E387" s="14"/>
      <c r="F387" s="14"/>
      <c r="G387" s="68"/>
      <c r="AU387" s="1"/>
    </row>
    <row r="388" spans="1:47" customFormat="1" x14ac:dyDescent="0.25">
      <c r="A388" s="8"/>
      <c r="B388" s="8"/>
      <c r="C388" s="13"/>
      <c r="E388" s="14"/>
      <c r="F388" s="14"/>
      <c r="G388" s="68"/>
      <c r="AU388" s="1"/>
    </row>
    <row r="389" spans="1:47" customFormat="1" x14ac:dyDescent="0.25">
      <c r="A389" s="8"/>
      <c r="B389" s="8"/>
      <c r="C389" s="13"/>
      <c r="E389" s="14"/>
      <c r="F389" s="14"/>
      <c r="G389" s="68"/>
      <c r="AU389" s="1"/>
    </row>
    <row r="390" spans="1:47" customFormat="1" x14ac:dyDescent="0.25">
      <c r="A390" s="8"/>
      <c r="B390" s="8"/>
      <c r="C390" s="13"/>
      <c r="E390" s="14"/>
      <c r="F390" s="14"/>
      <c r="G390" s="68"/>
      <c r="AU390" s="1"/>
    </row>
    <row r="391" spans="1:47" customFormat="1" x14ac:dyDescent="0.25">
      <c r="A391" s="8"/>
      <c r="B391" s="8"/>
      <c r="C391" s="13"/>
      <c r="E391" s="14"/>
      <c r="F391" s="14"/>
      <c r="G391" s="68"/>
      <c r="AU391" s="1"/>
    </row>
    <row r="392" spans="1:47" customFormat="1" x14ac:dyDescent="0.25">
      <c r="A392" s="8"/>
      <c r="B392" s="8"/>
      <c r="C392" s="13"/>
      <c r="E392" s="14"/>
      <c r="F392" s="14"/>
      <c r="G392" s="68"/>
      <c r="AU392" s="1"/>
    </row>
    <row r="393" spans="1:47" customFormat="1" x14ac:dyDescent="0.25">
      <c r="A393" s="8"/>
      <c r="B393" s="8"/>
      <c r="C393" s="13"/>
      <c r="E393" s="14"/>
      <c r="F393" s="14"/>
      <c r="G393" s="68"/>
      <c r="AU393" s="1"/>
    </row>
    <row r="394" spans="1:47" customFormat="1" x14ac:dyDescent="0.25">
      <c r="A394" s="8"/>
      <c r="B394" s="8"/>
      <c r="C394" s="13"/>
      <c r="E394" s="14"/>
      <c r="F394" s="14"/>
      <c r="G394" s="68"/>
      <c r="AU394" s="1"/>
    </row>
    <row r="395" spans="1:47" customFormat="1" x14ac:dyDescent="0.25">
      <c r="A395" s="8"/>
      <c r="B395" s="8"/>
      <c r="C395" s="13"/>
      <c r="E395" s="14"/>
      <c r="F395" s="14"/>
      <c r="G395" s="68"/>
      <c r="AU395" s="1"/>
    </row>
    <row r="396" spans="1:47" customFormat="1" x14ac:dyDescent="0.25">
      <c r="A396" s="8"/>
      <c r="B396" s="8"/>
      <c r="C396" s="13"/>
      <c r="E396" s="14"/>
      <c r="F396" s="14"/>
      <c r="G396" s="68"/>
      <c r="AU396" s="1"/>
    </row>
    <row r="397" spans="1:47" customFormat="1" x14ac:dyDescent="0.25">
      <c r="A397" s="8"/>
      <c r="B397" s="8"/>
      <c r="C397" s="13"/>
      <c r="E397" s="14"/>
      <c r="F397" s="14"/>
      <c r="G397" s="68"/>
      <c r="AU397" s="1"/>
    </row>
    <row r="398" spans="1:47" customFormat="1" x14ac:dyDescent="0.25">
      <c r="A398" s="8"/>
      <c r="B398" s="8"/>
      <c r="C398" s="13"/>
      <c r="E398" s="14"/>
      <c r="F398" s="14"/>
      <c r="G398" s="68"/>
      <c r="AU398" s="1"/>
    </row>
    <row r="399" spans="1:47" customFormat="1" x14ac:dyDescent="0.25">
      <c r="A399" s="8"/>
      <c r="B399" s="8"/>
      <c r="C399" s="13"/>
      <c r="E399" s="14"/>
      <c r="F399" s="14"/>
      <c r="G399" s="68"/>
      <c r="AU399" s="1"/>
    </row>
    <row r="400" spans="1:47" customFormat="1" x14ac:dyDescent="0.25">
      <c r="A400" s="8"/>
      <c r="B400" s="8"/>
      <c r="C400" s="13"/>
      <c r="E400" s="14"/>
      <c r="F400" s="14"/>
      <c r="G400" s="68"/>
      <c r="AU400" s="1"/>
    </row>
    <row r="401" spans="1:47" customFormat="1" x14ac:dyDescent="0.25">
      <c r="A401" s="8"/>
      <c r="B401" s="8"/>
      <c r="C401" s="13"/>
      <c r="E401" s="14"/>
      <c r="F401" s="14"/>
      <c r="G401" s="68"/>
      <c r="AU401" s="1"/>
    </row>
    <row r="402" spans="1:47" customFormat="1" x14ac:dyDescent="0.25">
      <c r="A402" s="8"/>
      <c r="B402" s="8"/>
      <c r="C402" s="13"/>
      <c r="E402" s="14"/>
      <c r="F402" s="14"/>
      <c r="G402" s="68"/>
      <c r="AU402" s="1"/>
    </row>
    <row r="403" spans="1:47" customFormat="1" x14ac:dyDescent="0.25">
      <c r="A403" s="8"/>
      <c r="B403" s="8"/>
      <c r="C403" s="13"/>
      <c r="E403" s="14"/>
      <c r="F403" s="14"/>
      <c r="G403" s="68"/>
      <c r="AU403" s="1"/>
    </row>
    <row r="404" spans="1:47" customFormat="1" x14ac:dyDescent="0.25">
      <c r="A404" s="8"/>
      <c r="B404" s="8"/>
      <c r="C404" s="13"/>
      <c r="E404" s="14"/>
      <c r="F404" s="14"/>
      <c r="G404" s="68"/>
      <c r="AU404" s="1"/>
    </row>
    <row r="405" spans="1:47" customFormat="1" x14ac:dyDescent="0.25">
      <c r="A405" s="8"/>
      <c r="B405" s="8"/>
      <c r="C405" s="13"/>
      <c r="E405" s="14"/>
      <c r="F405" s="14"/>
      <c r="G405" s="68"/>
      <c r="AU405" s="1"/>
    </row>
    <row r="406" spans="1:47" customFormat="1" x14ac:dyDescent="0.25">
      <c r="A406" s="8"/>
      <c r="B406" s="8"/>
      <c r="C406" s="13"/>
      <c r="E406" s="14"/>
      <c r="F406" s="14"/>
      <c r="G406" s="68"/>
      <c r="AU406" s="1"/>
    </row>
    <row r="407" spans="1:47" customFormat="1" x14ac:dyDescent="0.25">
      <c r="A407" s="8"/>
      <c r="B407" s="8"/>
      <c r="C407" s="13"/>
      <c r="E407" s="14"/>
      <c r="F407" s="14"/>
      <c r="G407" s="68"/>
      <c r="AU407" s="1"/>
    </row>
    <row r="408" spans="1:47" customFormat="1" x14ac:dyDescent="0.25">
      <c r="A408" s="8"/>
      <c r="B408" s="8"/>
      <c r="C408" s="13"/>
      <c r="E408" s="14"/>
      <c r="F408" s="14"/>
      <c r="G408" s="68"/>
      <c r="AU408" s="1"/>
    </row>
    <row r="409" spans="1:47" customFormat="1" x14ac:dyDescent="0.25">
      <c r="A409" s="8"/>
      <c r="B409" s="8"/>
      <c r="C409" s="13"/>
      <c r="E409" s="14"/>
      <c r="F409" s="14"/>
      <c r="G409" s="68"/>
      <c r="AU409" s="1"/>
    </row>
    <row r="410" spans="1:47" customFormat="1" x14ac:dyDescent="0.25">
      <c r="A410" s="8"/>
      <c r="B410" s="8"/>
      <c r="C410" s="13"/>
      <c r="E410" s="14"/>
      <c r="F410" s="14"/>
      <c r="G410" s="68"/>
      <c r="AU410" s="1"/>
    </row>
    <row r="411" spans="1:47" customFormat="1" x14ac:dyDescent="0.25">
      <c r="A411" s="8"/>
      <c r="B411" s="8"/>
      <c r="C411" s="13"/>
      <c r="E411" s="14"/>
      <c r="F411" s="14"/>
      <c r="G411" s="68"/>
      <c r="AU411" s="1"/>
    </row>
    <row r="412" spans="1:47" customFormat="1" x14ac:dyDescent="0.25">
      <c r="A412" s="8"/>
      <c r="B412" s="8"/>
      <c r="C412" s="13"/>
      <c r="E412" s="14"/>
      <c r="F412" s="14"/>
      <c r="G412" s="68"/>
      <c r="AU412" s="1"/>
    </row>
    <row r="413" spans="1:47" customFormat="1" x14ac:dyDescent="0.25">
      <c r="A413" s="8"/>
      <c r="B413" s="8"/>
      <c r="C413" s="13"/>
      <c r="E413" s="14"/>
      <c r="F413" s="14"/>
      <c r="G413" s="68"/>
      <c r="AU413" s="1"/>
    </row>
    <row r="414" spans="1:47" customFormat="1" x14ac:dyDescent="0.25">
      <c r="A414" s="8"/>
      <c r="B414" s="8"/>
      <c r="C414" s="13"/>
      <c r="E414" s="14"/>
      <c r="F414" s="14"/>
      <c r="G414" s="68"/>
      <c r="AU414" s="1"/>
    </row>
    <row r="415" spans="1:47" customFormat="1" x14ac:dyDescent="0.25">
      <c r="A415" s="8"/>
      <c r="B415" s="8"/>
      <c r="C415" s="13"/>
      <c r="E415" s="14"/>
      <c r="F415" s="14"/>
      <c r="G415" s="68"/>
      <c r="AU415" s="1"/>
    </row>
    <row r="416" spans="1:47" customFormat="1" x14ac:dyDescent="0.25">
      <c r="A416" s="8"/>
      <c r="B416" s="8"/>
      <c r="C416" s="13"/>
      <c r="E416" s="14"/>
      <c r="F416" s="14"/>
      <c r="G416" s="68"/>
      <c r="AU416" s="1"/>
    </row>
    <row r="417" spans="1:47" customFormat="1" x14ac:dyDescent="0.25">
      <c r="A417" s="8"/>
      <c r="B417" s="8"/>
      <c r="C417" s="13"/>
      <c r="E417" s="14"/>
      <c r="F417" s="14"/>
      <c r="G417" s="68"/>
      <c r="AU417" s="1"/>
    </row>
    <row r="418" spans="1:47" customFormat="1" x14ac:dyDescent="0.25">
      <c r="A418" s="8"/>
      <c r="B418" s="8"/>
      <c r="C418" s="13"/>
      <c r="E418" s="14"/>
      <c r="F418" s="14"/>
      <c r="G418" s="68"/>
      <c r="AU418" s="1"/>
    </row>
    <row r="419" spans="1:47" customFormat="1" x14ac:dyDescent="0.25">
      <c r="A419" s="8"/>
      <c r="B419" s="8"/>
      <c r="C419" s="13"/>
      <c r="E419" s="14"/>
      <c r="F419" s="14"/>
      <c r="G419" s="68"/>
      <c r="AU419" s="1"/>
    </row>
    <row r="420" spans="1:47" customFormat="1" x14ac:dyDescent="0.25">
      <c r="A420" s="8"/>
      <c r="B420" s="8"/>
      <c r="C420" s="13"/>
      <c r="E420" s="14"/>
      <c r="F420" s="14"/>
      <c r="G420" s="68"/>
      <c r="AU420" s="1"/>
    </row>
    <row r="421" spans="1:47" customFormat="1" x14ac:dyDescent="0.25">
      <c r="A421" s="8"/>
      <c r="B421" s="8"/>
      <c r="C421" s="13"/>
      <c r="E421" s="14"/>
      <c r="F421" s="14"/>
      <c r="G421" s="68"/>
      <c r="AU421" s="1"/>
    </row>
    <row r="422" spans="1:47" customFormat="1" x14ac:dyDescent="0.25">
      <c r="A422" s="8"/>
      <c r="B422" s="8"/>
      <c r="C422" s="13"/>
      <c r="E422" s="14"/>
      <c r="F422" s="14"/>
      <c r="G422" s="68"/>
      <c r="AU422" s="1"/>
    </row>
    <row r="423" spans="1:47" customFormat="1" x14ac:dyDescent="0.25">
      <c r="A423" s="8"/>
      <c r="B423" s="8"/>
      <c r="C423" s="13"/>
      <c r="E423" s="14"/>
      <c r="F423" s="14"/>
      <c r="G423" s="68"/>
      <c r="AU423" s="1"/>
    </row>
    <row r="424" spans="1:47" customFormat="1" x14ac:dyDescent="0.25">
      <c r="A424" s="8"/>
      <c r="B424" s="8"/>
      <c r="C424" s="13"/>
      <c r="E424" s="14"/>
      <c r="F424" s="14"/>
      <c r="G424" s="68"/>
      <c r="AU424" s="1"/>
    </row>
    <row r="425" spans="1:47" customFormat="1" x14ac:dyDescent="0.25">
      <c r="A425" s="8"/>
      <c r="B425" s="8"/>
      <c r="C425" s="13"/>
      <c r="E425" s="14"/>
      <c r="F425" s="14"/>
      <c r="G425" s="68"/>
      <c r="AU425" s="1"/>
    </row>
    <row r="426" spans="1:47" customFormat="1" x14ac:dyDescent="0.25">
      <c r="A426" s="8"/>
      <c r="B426" s="8"/>
      <c r="C426" s="13"/>
      <c r="E426" s="14"/>
      <c r="F426" s="14"/>
      <c r="G426" s="68"/>
      <c r="AU426" s="1"/>
    </row>
    <row r="427" spans="1:47" customFormat="1" x14ac:dyDescent="0.25">
      <c r="A427" s="8"/>
      <c r="B427" s="8"/>
      <c r="C427" s="13"/>
      <c r="E427" s="14"/>
      <c r="F427" s="14"/>
      <c r="G427" s="68"/>
      <c r="AU427" s="1"/>
    </row>
    <row r="428" spans="1:47" customFormat="1" x14ac:dyDescent="0.25">
      <c r="A428" s="8"/>
      <c r="B428" s="8"/>
      <c r="C428" s="13"/>
      <c r="E428" s="14"/>
      <c r="F428" s="14"/>
      <c r="G428" s="68"/>
      <c r="AU428" s="1"/>
    </row>
    <row r="429" spans="1:47" customFormat="1" x14ac:dyDescent="0.25">
      <c r="A429" s="8"/>
      <c r="B429" s="8"/>
      <c r="C429" s="13"/>
      <c r="E429" s="14"/>
      <c r="F429" s="14"/>
      <c r="G429" s="68"/>
      <c r="AU429" s="1"/>
    </row>
    <row r="430" spans="1:47" customFormat="1" x14ac:dyDescent="0.25">
      <c r="A430" s="8"/>
      <c r="B430" s="8"/>
      <c r="C430" s="13"/>
      <c r="E430" s="14"/>
      <c r="F430" s="14"/>
      <c r="G430" s="68"/>
      <c r="AU430" s="1"/>
    </row>
    <row r="431" spans="1:47" customFormat="1" x14ac:dyDescent="0.25">
      <c r="A431" s="8"/>
      <c r="B431" s="8"/>
      <c r="C431" s="13"/>
      <c r="E431" s="14"/>
      <c r="F431" s="14"/>
      <c r="G431" s="68"/>
      <c r="AU431" s="1"/>
    </row>
    <row r="432" spans="1:47" customFormat="1" x14ac:dyDescent="0.25">
      <c r="A432" s="8"/>
      <c r="B432" s="8"/>
      <c r="C432" s="13"/>
      <c r="E432" s="14"/>
      <c r="F432" s="14"/>
      <c r="G432" s="68"/>
      <c r="AU432" s="1"/>
    </row>
    <row r="433" spans="1:47" customFormat="1" x14ac:dyDescent="0.25">
      <c r="A433" s="8"/>
      <c r="B433" s="8"/>
      <c r="C433" s="13"/>
      <c r="E433" s="14"/>
      <c r="F433" s="14"/>
      <c r="G433" s="68"/>
      <c r="AU433" s="1"/>
    </row>
    <row r="434" spans="1:47" customFormat="1" x14ac:dyDescent="0.25">
      <c r="A434" s="8"/>
      <c r="B434" s="8"/>
      <c r="C434" s="13"/>
      <c r="E434" s="14"/>
      <c r="F434" s="14"/>
      <c r="G434" s="68"/>
      <c r="AU434" s="1"/>
    </row>
    <row r="435" spans="1:47" customFormat="1" x14ac:dyDescent="0.25">
      <c r="A435" s="8"/>
      <c r="B435" s="8"/>
      <c r="C435" s="13"/>
      <c r="E435" s="14"/>
      <c r="F435" s="14"/>
      <c r="G435" s="68"/>
      <c r="AU435" s="1"/>
    </row>
    <row r="436" spans="1:47" customFormat="1" x14ac:dyDescent="0.25">
      <c r="A436" s="8"/>
      <c r="B436" s="8"/>
      <c r="C436" s="13"/>
      <c r="E436" s="14"/>
      <c r="F436" s="14"/>
      <c r="G436" s="68"/>
      <c r="AU436" s="1"/>
    </row>
    <row r="437" spans="1:47" customFormat="1" x14ac:dyDescent="0.25">
      <c r="A437" s="8"/>
      <c r="B437" s="8"/>
      <c r="C437" s="13"/>
      <c r="E437" s="14"/>
      <c r="F437" s="14"/>
      <c r="G437" s="68"/>
      <c r="AU437" s="1"/>
    </row>
    <row r="438" spans="1:47" customFormat="1" x14ac:dyDescent="0.25">
      <c r="A438" s="8"/>
      <c r="B438" s="8"/>
      <c r="C438" s="13"/>
      <c r="E438" s="14"/>
      <c r="F438" s="14"/>
      <c r="G438" s="68"/>
      <c r="AU438" s="1"/>
    </row>
    <row r="439" spans="1:47" customFormat="1" x14ac:dyDescent="0.25">
      <c r="A439" s="8"/>
      <c r="B439" s="8"/>
      <c r="C439" s="13"/>
      <c r="E439" s="14"/>
      <c r="F439" s="14"/>
      <c r="G439" s="68"/>
      <c r="AU439" s="1"/>
    </row>
    <row r="440" spans="1:47" customFormat="1" x14ac:dyDescent="0.25">
      <c r="A440" s="8"/>
      <c r="B440" s="8"/>
      <c r="C440" s="13"/>
      <c r="E440" s="14"/>
      <c r="F440" s="14"/>
      <c r="G440" s="68"/>
      <c r="AU440" s="1"/>
    </row>
    <row r="441" spans="1:47" customFormat="1" x14ac:dyDescent="0.25">
      <c r="A441" s="8"/>
      <c r="B441" s="8"/>
      <c r="C441" s="13"/>
      <c r="E441" s="14"/>
      <c r="F441" s="14"/>
      <c r="G441" s="68"/>
      <c r="AU441" s="1"/>
    </row>
    <row r="442" spans="1:47" customFormat="1" x14ac:dyDescent="0.25">
      <c r="A442" s="8"/>
      <c r="B442" s="8"/>
      <c r="C442" s="13"/>
      <c r="E442" s="14"/>
      <c r="F442" s="14"/>
      <c r="G442" s="68"/>
      <c r="AU442" s="1"/>
    </row>
    <row r="443" spans="1:47" customFormat="1" x14ac:dyDescent="0.25">
      <c r="A443" s="8"/>
      <c r="B443" s="8"/>
      <c r="C443" s="13"/>
      <c r="E443" s="14"/>
      <c r="F443" s="14"/>
      <c r="G443" s="68"/>
      <c r="AU443" s="1"/>
    </row>
    <row r="444" spans="1:47" customFormat="1" x14ac:dyDescent="0.25">
      <c r="A444" s="8"/>
      <c r="B444" s="8"/>
      <c r="C444" s="13"/>
      <c r="E444" s="14"/>
      <c r="F444" s="14"/>
      <c r="G444" s="68"/>
      <c r="AU444" s="1"/>
    </row>
    <row r="445" spans="1:47" customFormat="1" x14ac:dyDescent="0.25">
      <c r="A445" s="8"/>
      <c r="B445" s="8"/>
      <c r="C445" s="13"/>
      <c r="E445" s="14"/>
      <c r="F445" s="14"/>
      <c r="G445" s="68"/>
      <c r="AU445" s="1"/>
    </row>
    <row r="446" spans="1:47" customFormat="1" x14ac:dyDescent="0.25">
      <c r="A446" s="8"/>
      <c r="B446" s="8"/>
      <c r="C446" s="13"/>
      <c r="E446" s="14"/>
      <c r="F446" s="14"/>
      <c r="G446" s="68"/>
      <c r="AU446" s="1"/>
    </row>
    <row r="447" spans="1:47" customFormat="1" x14ac:dyDescent="0.25">
      <c r="A447" s="8"/>
      <c r="B447" s="8"/>
      <c r="C447" s="13"/>
      <c r="E447" s="14"/>
      <c r="F447" s="14"/>
      <c r="G447" s="68"/>
      <c r="AU447" s="1"/>
    </row>
    <row r="448" spans="1:47" customFormat="1" x14ac:dyDescent="0.25">
      <c r="A448" s="8"/>
      <c r="B448" s="8"/>
      <c r="C448" s="13"/>
      <c r="E448" s="14"/>
      <c r="F448" s="14"/>
      <c r="G448" s="68"/>
      <c r="AU448" s="1"/>
    </row>
    <row r="449" spans="1:47" customFormat="1" x14ac:dyDescent="0.25">
      <c r="A449" s="8"/>
      <c r="B449" s="8"/>
      <c r="C449" s="13"/>
      <c r="E449" s="14"/>
      <c r="F449" s="14"/>
      <c r="G449" s="68"/>
      <c r="AU449" s="1"/>
    </row>
    <row r="450" spans="1:47" customFormat="1" x14ac:dyDescent="0.25">
      <c r="A450" s="8"/>
      <c r="B450" s="8"/>
      <c r="C450" s="13"/>
      <c r="E450" s="14"/>
      <c r="F450" s="14"/>
      <c r="G450" s="68"/>
      <c r="AU450" s="1"/>
    </row>
    <row r="451" spans="1:47" customFormat="1" x14ac:dyDescent="0.25">
      <c r="A451" s="8"/>
      <c r="B451" s="8"/>
      <c r="C451" s="13"/>
      <c r="E451" s="14"/>
      <c r="F451" s="14"/>
      <c r="G451" s="68"/>
      <c r="AU451" s="1"/>
    </row>
    <row r="452" spans="1:47" customFormat="1" x14ac:dyDescent="0.25">
      <c r="A452" s="8"/>
      <c r="B452" s="8"/>
      <c r="C452" s="13"/>
      <c r="E452" s="14"/>
      <c r="F452" s="14"/>
      <c r="G452" s="68"/>
      <c r="AU452" s="1"/>
    </row>
    <row r="453" spans="1:47" customFormat="1" x14ac:dyDescent="0.25">
      <c r="A453" s="8"/>
      <c r="B453" s="8"/>
      <c r="C453" s="13"/>
      <c r="E453" s="14"/>
      <c r="F453" s="14"/>
      <c r="G453" s="68"/>
      <c r="AU453" s="1"/>
    </row>
    <row r="454" spans="1:47" customFormat="1" x14ac:dyDescent="0.25">
      <c r="A454" s="8"/>
      <c r="B454" s="8"/>
      <c r="C454" s="13"/>
      <c r="E454" s="14"/>
      <c r="F454" s="14"/>
      <c r="G454" s="68"/>
      <c r="AU454" s="1"/>
    </row>
    <row r="455" spans="1:47" customFormat="1" x14ac:dyDescent="0.25">
      <c r="A455" s="8"/>
      <c r="B455" s="8"/>
      <c r="C455" s="13"/>
      <c r="E455" s="14"/>
      <c r="F455" s="14"/>
      <c r="G455" s="68"/>
      <c r="AU455" s="1"/>
    </row>
    <row r="456" spans="1:47" customFormat="1" x14ac:dyDescent="0.25">
      <c r="A456" s="8"/>
      <c r="B456" s="8"/>
      <c r="C456" s="13"/>
      <c r="E456" s="14"/>
      <c r="F456" s="14"/>
      <c r="G456" s="68"/>
      <c r="AU456" s="1"/>
    </row>
    <row r="457" spans="1:47" customFormat="1" x14ac:dyDescent="0.25">
      <c r="A457" s="8"/>
      <c r="B457" s="8"/>
      <c r="C457" s="13"/>
      <c r="E457" s="14"/>
      <c r="F457" s="14"/>
      <c r="G457" s="68"/>
      <c r="AU457" s="1"/>
    </row>
    <row r="458" spans="1:47" customFormat="1" x14ac:dyDescent="0.25">
      <c r="A458" s="8"/>
      <c r="B458" s="8"/>
      <c r="C458" s="13"/>
      <c r="E458" s="14"/>
      <c r="F458" s="14"/>
      <c r="G458" s="68"/>
      <c r="AU458" s="1"/>
    </row>
    <row r="459" spans="1:47" customFormat="1" x14ac:dyDescent="0.25">
      <c r="A459" s="8"/>
      <c r="B459" s="8"/>
      <c r="C459" s="13"/>
      <c r="E459" s="14"/>
      <c r="F459" s="14"/>
      <c r="G459" s="68"/>
      <c r="AU459" s="1"/>
    </row>
    <row r="460" spans="1:47" customFormat="1" x14ac:dyDescent="0.25">
      <c r="A460" s="8"/>
      <c r="B460" s="8"/>
      <c r="C460" s="13"/>
      <c r="E460" s="14"/>
      <c r="F460" s="14"/>
      <c r="G460" s="68"/>
      <c r="AU460" s="1"/>
    </row>
    <row r="461" spans="1:47" customFormat="1" x14ac:dyDescent="0.25">
      <c r="A461" s="8"/>
      <c r="B461" s="8"/>
      <c r="C461" s="13"/>
      <c r="E461" s="14"/>
      <c r="F461" s="14"/>
      <c r="G461" s="68"/>
      <c r="AU461" s="1"/>
    </row>
    <row r="462" spans="1:47" customFormat="1" x14ac:dyDescent="0.25">
      <c r="A462" s="8"/>
      <c r="B462" s="8"/>
      <c r="C462" s="13"/>
      <c r="E462" s="14"/>
      <c r="F462" s="14"/>
      <c r="G462" s="68"/>
      <c r="AU462" s="1"/>
    </row>
    <row r="463" spans="1:47" customFormat="1" x14ac:dyDescent="0.25">
      <c r="A463" s="8"/>
      <c r="B463" s="8"/>
      <c r="C463" s="13"/>
      <c r="E463" s="14"/>
      <c r="F463" s="14"/>
      <c r="G463" s="68"/>
      <c r="AU463" s="1"/>
    </row>
    <row r="464" spans="1:47" customFormat="1" x14ac:dyDescent="0.25">
      <c r="A464" s="8"/>
      <c r="B464" s="8"/>
      <c r="C464" s="13"/>
      <c r="E464" s="14"/>
      <c r="F464" s="14"/>
      <c r="G464" s="68"/>
      <c r="AU464" s="1"/>
    </row>
    <row r="465" spans="1:47" customFormat="1" x14ac:dyDescent="0.25">
      <c r="A465" s="8"/>
      <c r="B465" s="8"/>
      <c r="C465" s="13"/>
      <c r="E465" s="14"/>
      <c r="F465" s="14"/>
      <c r="G465" s="68"/>
      <c r="AU465" s="1"/>
    </row>
    <row r="466" spans="1:47" customFormat="1" x14ac:dyDescent="0.25">
      <c r="A466" s="8"/>
      <c r="B466" s="8"/>
      <c r="C466" s="13"/>
      <c r="E466" s="14"/>
      <c r="F466" s="14"/>
      <c r="G466" s="68"/>
      <c r="AU466" s="1"/>
    </row>
    <row r="467" spans="1:47" customFormat="1" x14ac:dyDescent="0.25">
      <c r="A467" s="8"/>
      <c r="B467" s="8"/>
      <c r="C467" s="13"/>
      <c r="E467" s="14"/>
      <c r="F467" s="14"/>
      <c r="G467" s="68"/>
      <c r="AU467" s="1"/>
    </row>
    <row r="468" spans="1:47" customFormat="1" x14ac:dyDescent="0.25">
      <c r="A468" s="8"/>
      <c r="B468" s="8"/>
      <c r="C468" s="13"/>
      <c r="E468" s="14"/>
      <c r="F468" s="14"/>
      <c r="G468" s="68"/>
      <c r="AU468" s="1"/>
    </row>
    <row r="469" spans="1:47" customFormat="1" x14ac:dyDescent="0.25">
      <c r="A469" s="8"/>
      <c r="B469" s="8"/>
      <c r="C469" s="13"/>
      <c r="E469" s="14"/>
      <c r="F469" s="14"/>
      <c r="G469" s="68"/>
      <c r="AU469" s="1"/>
    </row>
    <row r="470" spans="1:47" customFormat="1" x14ac:dyDescent="0.25">
      <c r="A470" s="8"/>
      <c r="B470" s="8"/>
      <c r="C470" s="13"/>
      <c r="E470" s="14"/>
      <c r="F470" s="14"/>
      <c r="G470" s="68"/>
      <c r="AU470" s="1"/>
    </row>
    <row r="471" spans="1:47" customFormat="1" x14ac:dyDescent="0.25">
      <c r="A471" s="8"/>
      <c r="B471" s="8"/>
      <c r="C471" s="13"/>
      <c r="E471" s="14"/>
      <c r="F471" s="14"/>
      <c r="G471" s="68"/>
      <c r="AU471" s="1"/>
    </row>
    <row r="472" spans="1:47" customFormat="1" x14ac:dyDescent="0.25">
      <c r="A472" s="8"/>
      <c r="B472" s="8"/>
      <c r="C472" s="13"/>
      <c r="E472" s="14"/>
      <c r="F472" s="14"/>
      <c r="G472" s="68"/>
      <c r="AU472" s="1"/>
    </row>
    <row r="473" spans="1:47" customFormat="1" x14ac:dyDescent="0.25">
      <c r="A473" s="8"/>
      <c r="B473" s="8"/>
      <c r="C473" s="13"/>
      <c r="E473" s="14"/>
      <c r="F473" s="14"/>
      <c r="G473" s="68"/>
      <c r="AU473" s="1"/>
    </row>
    <row r="474" spans="1:47" customFormat="1" x14ac:dyDescent="0.25">
      <c r="A474" s="8"/>
      <c r="B474" s="8"/>
      <c r="C474" s="13"/>
      <c r="E474" s="14"/>
      <c r="F474" s="14"/>
      <c r="G474" s="68"/>
      <c r="AU474" s="1"/>
    </row>
    <row r="475" spans="1:47" customFormat="1" x14ac:dyDescent="0.25">
      <c r="A475" s="8"/>
      <c r="B475" s="8"/>
      <c r="C475" s="13"/>
      <c r="E475" s="14"/>
      <c r="F475" s="14"/>
      <c r="G475" s="68"/>
      <c r="AU475" s="1"/>
    </row>
    <row r="476" spans="1:47" customFormat="1" x14ac:dyDescent="0.25">
      <c r="A476" s="8"/>
      <c r="B476" s="8"/>
      <c r="C476" s="13"/>
      <c r="E476" s="14"/>
      <c r="F476" s="14"/>
      <c r="G476" s="68"/>
      <c r="AU476" s="1"/>
    </row>
    <row r="477" spans="1:47" customFormat="1" x14ac:dyDescent="0.25">
      <c r="A477" s="8"/>
      <c r="B477" s="8"/>
      <c r="C477" s="13"/>
      <c r="E477" s="14"/>
      <c r="F477" s="14"/>
      <c r="G477" s="68"/>
      <c r="AU477" s="1"/>
    </row>
    <row r="478" spans="1:47" customFormat="1" x14ac:dyDescent="0.25">
      <c r="A478" s="8"/>
      <c r="B478" s="8"/>
      <c r="C478" s="13"/>
      <c r="E478" s="14"/>
      <c r="F478" s="14"/>
      <c r="G478" s="68"/>
      <c r="AU478" s="1"/>
    </row>
    <row r="479" spans="1:47" customFormat="1" x14ac:dyDescent="0.25">
      <c r="A479" s="8"/>
      <c r="B479" s="8"/>
      <c r="C479" s="13"/>
      <c r="E479" s="14"/>
      <c r="F479" s="14"/>
      <c r="G479" s="68"/>
      <c r="AU479" s="1"/>
    </row>
    <row r="480" spans="1:47" customFormat="1" x14ac:dyDescent="0.25">
      <c r="A480" s="8"/>
      <c r="B480" s="8"/>
      <c r="C480" s="13"/>
      <c r="E480" s="14"/>
      <c r="F480" s="14"/>
      <c r="G480" s="68"/>
      <c r="AU480" s="1"/>
    </row>
    <row r="481" spans="1:47" customFormat="1" x14ac:dyDescent="0.25">
      <c r="A481" s="8"/>
      <c r="B481" s="8"/>
      <c r="C481" s="13"/>
      <c r="E481" s="14"/>
      <c r="F481" s="14"/>
      <c r="G481" s="68"/>
      <c r="AU481" s="1"/>
    </row>
    <row r="482" spans="1:47" customFormat="1" x14ac:dyDescent="0.25">
      <c r="A482" s="8"/>
      <c r="B482" s="8"/>
      <c r="C482" s="13"/>
      <c r="E482" s="14"/>
      <c r="F482" s="14"/>
      <c r="G482" s="68"/>
      <c r="AU482" s="1"/>
    </row>
    <row r="483" spans="1:47" customFormat="1" x14ac:dyDescent="0.25">
      <c r="A483" s="8"/>
      <c r="B483" s="8"/>
      <c r="C483" s="13"/>
      <c r="E483" s="14"/>
      <c r="F483" s="14"/>
      <c r="G483" s="68"/>
      <c r="AU483" s="1"/>
    </row>
    <row r="484" spans="1:47" customFormat="1" x14ac:dyDescent="0.25">
      <c r="A484" s="8"/>
      <c r="B484" s="8"/>
      <c r="C484" s="13"/>
      <c r="E484" s="14"/>
      <c r="F484" s="14"/>
      <c r="G484" s="68"/>
      <c r="AU484" s="1"/>
    </row>
    <row r="485" spans="1:47" customFormat="1" x14ac:dyDescent="0.25">
      <c r="A485" s="8"/>
      <c r="B485" s="8"/>
      <c r="C485" s="13"/>
      <c r="E485" s="14"/>
      <c r="F485" s="14"/>
      <c r="G485" s="68"/>
      <c r="AU485" s="1"/>
    </row>
    <row r="486" spans="1:47" customFormat="1" x14ac:dyDescent="0.25">
      <c r="A486" s="8"/>
      <c r="B486" s="8"/>
      <c r="C486" s="13"/>
      <c r="E486" s="14"/>
      <c r="F486" s="14"/>
      <c r="G486" s="68"/>
      <c r="AU486" s="1"/>
    </row>
    <row r="487" spans="1:47" customFormat="1" x14ac:dyDescent="0.25">
      <c r="A487" s="8"/>
      <c r="B487" s="8"/>
      <c r="C487" s="13"/>
      <c r="E487" s="14"/>
      <c r="F487" s="14"/>
      <c r="G487" s="68"/>
      <c r="AU487" s="1"/>
    </row>
    <row r="488" spans="1:47" customFormat="1" x14ac:dyDescent="0.25">
      <c r="A488" s="8"/>
      <c r="B488" s="8"/>
      <c r="C488" s="13"/>
      <c r="E488" s="14"/>
      <c r="F488" s="14"/>
      <c r="G488" s="68"/>
      <c r="AU488" s="1"/>
    </row>
    <row r="489" spans="1:47" customFormat="1" x14ac:dyDescent="0.25">
      <c r="A489" s="8"/>
      <c r="B489" s="8"/>
      <c r="C489" s="13"/>
      <c r="E489" s="14"/>
      <c r="F489" s="14"/>
      <c r="G489" s="68"/>
      <c r="AU489" s="1"/>
    </row>
    <row r="490" spans="1:47" customFormat="1" x14ac:dyDescent="0.25">
      <c r="A490" s="8"/>
      <c r="B490" s="8"/>
      <c r="C490" s="13"/>
      <c r="E490" s="14"/>
      <c r="F490" s="14"/>
      <c r="G490" s="68"/>
      <c r="AU490" s="1"/>
    </row>
    <row r="491" spans="1:47" customFormat="1" x14ac:dyDescent="0.25">
      <c r="A491" s="8"/>
      <c r="B491" s="8"/>
      <c r="C491" s="13"/>
      <c r="E491" s="14"/>
      <c r="F491" s="14"/>
      <c r="G491" s="68"/>
      <c r="AU491" s="1"/>
    </row>
    <row r="492" spans="1:47" customFormat="1" x14ac:dyDescent="0.25">
      <c r="A492" s="8"/>
      <c r="B492" s="8"/>
      <c r="C492" s="13"/>
      <c r="E492" s="14"/>
      <c r="F492" s="14"/>
      <c r="G492" s="68"/>
      <c r="AU492" s="1"/>
    </row>
    <row r="493" spans="1:47" customFormat="1" x14ac:dyDescent="0.25">
      <c r="A493" s="8"/>
      <c r="B493" s="8"/>
      <c r="C493" s="13"/>
      <c r="E493" s="14"/>
      <c r="F493" s="14"/>
      <c r="G493" s="68"/>
      <c r="AU493" s="1"/>
    </row>
    <row r="494" spans="1:47" customFormat="1" x14ac:dyDescent="0.25">
      <c r="A494" s="8"/>
      <c r="B494" s="8"/>
      <c r="C494" s="13"/>
      <c r="E494" s="14"/>
      <c r="F494" s="14"/>
      <c r="G494" s="68"/>
      <c r="AU494" s="1"/>
    </row>
    <row r="495" spans="1:47" customFormat="1" x14ac:dyDescent="0.25">
      <c r="A495" s="8"/>
      <c r="B495" s="8"/>
      <c r="C495" s="13"/>
      <c r="E495" s="14"/>
      <c r="F495" s="14"/>
      <c r="G495" s="68"/>
      <c r="AU495" s="1"/>
    </row>
    <row r="496" spans="1:47" customFormat="1" x14ac:dyDescent="0.25">
      <c r="A496" s="8"/>
      <c r="B496" s="8"/>
      <c r="C496" s="13"/>
      <c r="E496" s="14"/>
      <c r="F496" s="14"/>
      <c r="G496" s="68"/>
      <c r="AU496" s="1"/>
    </row>
    <row r="497" spans="1:47" customFormat="1" x14ac:dyDescent="0.25">
      <c r="A497" s="8"/>
      <c r="B497" s="8"/>
      <c r="C497" s="13"/>
      <c r="E497" s="14"/>
      <c r="F497" s="14"/>
      <c r="G497" s="68"/>
      <c r="AU497" s="1"/>
    </row>
    <row r="498" spans="1:47" customFormat="1" x14ac:dyDescent="0.25">
      <c r="A498" s="8"/>
      <c r="B498" s="8"/>
      <c r="C498" s="13"/>
      <c r="E498" s="14"/>
      <c r="F498" s="14"/>
      <c r="G498" s="68"/>
      <c r="AU498" s="1"/>
    </row>
    <row r="499" spans="1:47" customFormat="1" x14ac:dyDescent="0.25">
      <c r="A499" s="8"/>
      <c r="B499" s="8"/>
      <c r="C499" s="13"/>
      <c r="E499" s="14"/>
      <c r="F499" s="14"/>
      <c r="G499" s="68"/>
      <c r="AU499" s="1"/>
    </row>
    <row r="500" spans="1:47" customFormat="1" x14ac:dyDescent="0.25">
      <c r="A500" s="8"/>
      <c r="B500" s="8"/>
      <c r="C500" s="13"/>
      <c r="E500" s="14"/>
      <c r="F500" s="14"/>
      <c r="G500" s="68"/>
      <c r="AU500" s="1"/>
    </row>
    <row r="501" spans="1:47" customFormat="1" x14ac:dyDescent="0.25">
      <c r="A501" s="8"/>
      <c r="B501" s="8"/>
      <c r="C501" s="13"/>
      <c r="E501" s="14"/>
      <c r="F501" s="14"/>
      <c r="G501" s="68"/>
      <c r="AU501" s="1"/>
    </row>
    <row r="502" spans="1:47" customFormat="1" x14ac:dyDescent="0.25">
      <c r="A502" s="8"/>
      <c r="B502" s="8"/>
      <c r="C502" s="13"/>
      <c r="E502" s="14"/>
      <c r="F502" s="14"/>
      <c r="G502" s="68"/>
      <c r="AU502" s="1"/>
    </row>
    <row r="503" spans="1:47" customFormat="1" x14ac:dyDescent="0.25">
      <c r="A503" s="8"/>
      <c r="B503" s="8"/>
      <c r="C503" s="13"/>
      <c r="E503" s="14"/>
      <c r="F503" s="14"/>
      <c r="G503" s="68"/>
      <c r="AU503" s="1"/>
    </row>
    <row r="504" spans="1:47" customFormat="1" x14ac:dyDescent="0.25">
      <c r="A504" s="8"/>
      <c r="B504" s="8"/>
      <c r="C504" s="13"/>
      <c r="E504" s="14"/>
      <c r="F504" s="14"/>
      <c r="G504" s="68"/>
      <c r="AU504" s="1"/>
    </row>
    <row r="505" spans="1:47" customFormat="1" x14ac:dyDescent="0.25">
      <c r="A505" s="8"/>
      <c r="B505" s="8"/>
      <c r="C505" s="13"/>
      <c r="E505" s="14"/>
      <c r="F505" s="14"/>
      <c r="G505" s="68"/>
      <c r="AU505" s="1"/>
    </row>
    <row r="506" spans="1:47" customFormat="1" x14ac:dyDescent="0.25">
      <c r="A506" s="8"/>
      <c r="B506" s="8"/>
      <c r="C506" s="13"/>
      <c r="E506" s="14"/>
      <c r="F506" s="14"/>
      <c r="G506" s="68"/>
      <c r="AU506" s="1"/>
    </row>
    <row r="507" spans="1:47" customFormat="1" x14ac:dyDescent="0.25">
      <c r="A507" s="8"/>
      <c r="B507" s="8"/>
      <c r="C507" s="13"/>
      <c r="E507" s="14"/>
      <c r="F507" s="14"/>
      <c r="G507" s="68"/>
      <c r="AU507" s="1"/>
    </row>
    <row r="508" spans="1:47" customFormat="1" x14ac:dyDescent="0.25">
      <c r="A508" s="8"/>
      <c r="B508" s="8"/>
      <c r="C508" s="13"/>
      <c r="E508" s="14"/>
      <c r="F508" s="14"/>
      <c r="G508" s="68"/>
      <c r="AU508" s="1"/>
    </row>
    <row r="509" spans="1:47" customFormat="1" x14ac:dyDescent="0.25">
      <c r="A509" s="8"/>
      <c r="B509" s="8"/>
      <c r="C509" s="13"/>
      <c r="E509" s="14"/>
      <c r="F509" s="14"/>
      <c r="G509" s="68"/>
      <c r="AU509" s="1"/>
    </row>
    <row r="510" spans="1:47" customFormat="1" x14ac:dyDescent="0.25">
      <c r="A510" s="8"/>
      <c r="B510" s="8"/>
      <c r="C510" s="13"/>
      <c r="E510" s="14"/>
      <c r="F510" s="14"/>
      <c r="G510" s="68"/>
      <c r="AU510" s="1"/>
    </row>
    <row r="511" spans="1:47" customFormat="1" x14ac:dyDescent="0.25">
      <c r="A511" s="8"/>
      <c r="B511" s="8"/>
      <c r="C511" s="13"/>
      <c r="E511" s="14"/>
      <c r="F511" s="14"/>
      <c r="G511" s="68"/>
      <c r="AU511" s="1"/>
    </row>
    <row r="512" spans="1:47" customFormat="1" x14ac:dyDescent="0.25">
      <c r="A512" s="8"/>
      <c r="B512" s="8"/>
      <c r="C512" s="13"/>
      <c r="E512" s="14"/>
      <c r="F512" s="14"/>
      <c r="G512" s="68"/>
      <c r="AU512" s="1"/>
    </row>
    <row r="513" spans="1:47" customFormat="1" x14ac:dyDescent="0.25">
      <c r="A513" s="8"/>
      <c r="B513" s="8"/>
      <c r="C513" s="13"/>
      <c r="E513" s="14"/>
      <c r="F513" s="14"/>
      <c r="G513" s="68"/>
      <c r="AU513" s="1"/>
    </row>
    <row r="514" spans="1:47" customFormat="1" x14ac:dyDescent="0.25">
      <c r="A514" s="8"/>
      <c r="B514" s="8"/>
      <c r="C514" s="13"/>
      <c r="E514" s="14"/>
      <c r="F514" s="14"/>
      <c r="G514" s="68"/>
      <c r="AU514" s="1"/>
    </row>
    <row r="515" spans="1:47" customFormat="1" x14ac:dyDescent="0.25">
      <c r="A515" s="8"/>
      <c r="B515" s="8"/>
      <c r="C515" s="13"/>
      <c r="E515" s="14"/>
      <c r="F515" s="14"/>
      <c r="G515" s="68"/>
      <c r="AU515" s="1"/>
    </row>
    <row r="516" spans="1:47" customFormat="1" x14ac:dyDescent="0.25">
      <c r="A516" s="8"/>
      <c r="B516" s="8"/>
      <c r="C516" s="13"/>
      <c r="E516" s="14"/>
      <c r="F516" s="14"/>
      <c r="G516" s="68"/>
      <c r="AU516" s="1"/>
    </row>
    <row r="517" spans="1:47" customFormat="1" x14ac:dyDescent="0.25">
      <c r="A517" s="8"/>
      <c r="B517" s="8"/>
      <c r="C517" s="13"/>
      <c r="E517" s="14"/>
      <c r="F517" s="14"/>
      <c r="G517" s="68"/>
      <c r="AU517" s="1"/>
    </row>
    <row r="518" spans="1:47" customFormat="1" x14ac:dyDescent="0.25">
      <c r="A518" s="8"/>
      <c r="B518" s="8"/>
      <c r="C518" s="13"/>
      <c r="E518" s="14"/>
      <c r="F518" s="14"/>
      <c r="G518" s="68"/>
      <c r="AU518" s="1"/>
    </row>
    <row r="519" spans="1:47" customFormat="1" x14ac:dyDescent="0.25">
      <c r="A519" s="8"/>
      <c r="B519" s="8"/>
      <c r="C519" s="13"/>
      <c r="E519" s="14"/>
      <c r="F519" s="14"/>
      <c r="G519" s="68"/>
      <c r="AU519" s="1"/>
    </row>
    <row r="520" spans="1:47" customFormat="1" x14ac:dyDescent="0.25">
      <c r="A520" s="8"/>
      <c r="B520" s="8"/>
      <c r="C520" s="13"/>
      <c r="E520" s="14"/>
      <c r="F520" s="14"/>
      <c r="G520" s="68"/>
      <c r="AU520" s="1"/>
    </row>
    <row r="521" spans="1:47" customFormat="1" x14ac:dyDescent="0.25">
      <c r="A521" s="8"/>
      <c r="B521" s="8"/>
      <c r="C521" s="13"/>
      <c r="E521" s="14"/>
      <c r="F521" s="14"/>
      <c r="G521" s="68"/>
      <c r="AU521" s="1"/>
    </row>
    <row r="522" spans="1:47" customFormat="1" x14ac:dyDescent="0.25">
      <c r="A522" s="8"/>
      <c r="B522" s="8"/>
      <c r="C522" s="13"/>
      <c r="E522" s="14"/>
      <c r="F522" s="14"/>
      <c r="G522" s="68"/>
      <c r="AU522" s="1"/>
    </row>
    <row r="523" spans="1:47" customFormat="1" x14ac:dyDescent="0.25">
      <c r="A523" s="8"/>
      <c r="B523" s="8"/>
      <c r="C523" s="13"/>
      <c r="E523" s="14"/>
      <c r="F523" s="14"/>
      <c r="G523" s="68"/>
      <c r="AU523" s="1"/>
    </row>
    <row r="524" spans="1:47" customFormat="1" x14ac:dyDescent="0.25">
      <c r="A524" s="8"/>
      <c r="B524" s="8"/>
      <c r="C524" s="13"/>
      <c r="E524" s="14"/>
      <c r="F524" s="14"/>
      <c r="G524" s="68"/>
      <c r="AU524" s="1"/>
    </row>
    <row r="525" spans="1:47" customFormat="1" x14ac:dyDescent="0.25">
      <c r="A525" s="8"/>
      <c r="B525" s="8"/>
      <c r="C525" s="13"/>
      <c r="E525" s="14"/>
      <c r="F525" s="14"/>
      <c r="G525" s="68"/>
      <c r="AU525" s="1"/>
    </row>
    <row r="526" spans="1:47" customFormat="1" x14ac:dyDescent="0.25">
      <c r="A526" s="8"/>
      <c r="B526" s="8"/>
      <c r="C526" s="13"/>
      <c r="E526" s="14"/>
      <c r="F526" s="14"/>
      <c r="G526" s="68"/>
      <c r="AU526" s="1"/>
    </row>
    <row r="527" spans="1:47" customFormat="1" x14ac:dyDescent="0.25">
      <c r="A527" s="8"/>
      <c r="B527" s="8"/>
      <c r="C527" s="13"/>
      <c r="E527" s="14"/>
      <c r="F527" s="14"/>
      <c r="G527" s="68"/>
      <c r="AU527" s="1"/>
    </row>
    <row r="528" spans="1:47" customFormat="1" x14ac:dyDescent="0.25">
      <c r="A528" s="8"/>
      <c r="B528" s="8"/>
      <c r="C528" s="13"/>
      <c r="E528" s="14"/>
      <c r="F528" s="14"/>
      <c r="G528" s="68"/>
      <c r="AU528" s="1"/>
    </row>
    <row r="529" spans="1:47" customFormat="1" x14ac:dyDescent="0.25">
      <c r="A529" s="8"/>
      <c r="B529" s="8"/>
      <c r="C529" s="13"/>
      <c r="E529" s="14"/>
      <c r="F529" s="14"/>
      <c r="G529" s="68"/>
      <c r="AU529" s="1"/>
    </row>
    <row r="530" spans="1:47" customFormat="1" x14ac:dyDescent="0.25">
      <c r="A530" s="8"/>
      <c r="B530" s="8"/>
      <c r="C530" s="13"/>
      <c r="E530" s="14"/>
      <c r="F530" s="14"/>
      <c r="G530" s="68"/>
      <c r="AU530" s="1"/>
    </row>
    <row r="531" spans="1:47" customFormat="1" x14ac:dyDescent="0.25">
      <c r="A531" s="8"/>
      <c r="B531" s="8"/>
      <c r="C531" s="13"/>
      <c r="E531" s="14"/>
      <c r="F531" s="14"/>
      <c r="G531" s="68"/>
      <c r="AU531" s="1"/>
    </row>
    <row r="532" spans="1:47" customFormat="1" x14ac:dyDescent="0.25">
      <c r="A532" s="8"/>
      <c r="B532" s="8"/>
      <c r="C532" s="13"/>
      <c r="E532" s="14"/>
      <c r="F532" s="14"/>
      <c r="G532" s="68"/>
      <c r="AU532" s="1"/>
    </row>
    <row r="533" spans="1:47" customFormat="1" x14ac:dyDescent="0.25">
      <c r="A533" s="8"/>
      <c r="B533" s="8"/>
      <c r="C533" s="13"/>
      <c r="E533" s="14"/>
      <c r="F533" s="14"/>
      <c r="G533" s="68"/>
      <c r="AU533" s="1"/>
    </row>
    <row r="534" spans="1:47" customFormat="1" x14ac:dyDescent="0.25">
      <c r="A534" s="8"/>
      <c r="B534" s="8"/>
      <c r="C534" s="13"/>
      <c r="E534" s="14"/>
      <c r="F534" s="14"/>
      <c r="G534" s="68"/>
      <c r="AU534" s="1"/>
    </row>
    <row r="535" spans="1:47" customFormat="1" x14ac:dyDescent="0.25">
      <c r="A535" s="8"/>
      <c r="B535" s="8"/>
      <c r="C535" s="13"/>
      <c r="E535" s="14"/>
      <c r="F535" s="14"/>
      <c r="G535" s="68"/>
      <c r="AU535" s="1"/>
    </row>
    <row r="536" spans="1:47" customFormat="1" x14ac:dyDescent="0.25">
      <c r="A536" s="8"/>
      <c r="B536" s="8"/>
      <c r="C536" s="13"/>
      <c r="E536" s="14"/>
      <c r="F536" s="14"/>
      <c r="G536" s="68"/>
      <c r="AU536" s="1"/>
    </row>
    <row r="537" spans="1:47" customFormat="1" x14ac:dyDescent="0.25">
      <c r="A537" s="8"/>
      <c r="B537" s="8"/>
      <c r="C537" s="13"/>
      <c r="E537" s="14"/>
      <c r="F537" s="14"/>
      <c r="G537" s="68"/>
      <c r="AU537" s="1"/>
    </row>
    <row r="538" spans="1:47" customFormat="1" x14ac:dyDescent="0.25">
      <c r="A538" s="8"/>
      <c r="B538" s="8"/>
      <c r="C538" s="13"/>
      <c r="E538" s="14"/>
      <c r="F538" s="14"/>
      <c r="G538" s="68"/>
      <c r="AU538" s="1"/>
    </row>
    <row r="539" spans="1:47" customFormat="1" x14ac:dyDescent="0.25">
      <c r="A539" s="8"/>
      <c r="B539" s="8"/>
      <c r="C539" s="13"/>
      <c r="E539" s="14"/>
      <c r="F539" s="14"/>
      <c r="G539" s="68"/>
      <c r="AU539" s="1"/>
    </row>
    <row r="540" spans="1:47" customFormat="1" x14ac:dyDescent="0.25">
      <c r="A540" s="8"/>
      <c r="B540" s="8"/>
      <c r="C540" s="13"/>
      <c r="E540" s="14"/>
      <c r="F540" s="14"/>
      <c r="G540" s="68"/>
      <c r="AU540" s="1"/>
    </row>
    <row r="541" spans="1:47" customFormat="1" x14ac:dyDescent="0.25">
      <c r="A541" s="8"/>
      <c r="B541" s="8"/>
      <c r="C541" s="13"/>
      <c r="E541" s="14"/>
      <c r="F541" s="14"/>
      <c r="G541" s="68"/>
      <c r="AU541" s="1"/>
    </row>
    <row r="542" spans="1:47" customFormat="1" x14ac:dyDescent="0.25">
      <c r="A542" s="8"/>
      <c r="B542" s="8"/>
      <c r="C542" s="13"/>
      <c r="E542" s="14"/>
      <c r="F542" s="14"/>
      <c r="G542" s="68"/>
      <c r="AU542" s="1"/>
    </row>
    <row r="543" spans="1:47" customFormat="1" x14ac:dyDescent="0.25">
      <c r="A543" s="8"/>
      <c r="B543" s="8"/>
      <c r="C543" s="13"/>
      <c r="E543" s="14"/>
      <c r="F543" s="14"/>
      <c r="G543" s="68"/>
      <c r="AU543" s="1"/>
    </row>
    <row r="544" spans="1:47" customFormat="1" x14ac:dyDescent="0.25">
      <c r="A544" s="8"/>
      <c r="B544" s="8"/>
      <c r="C544" s="13"/>
      <c r="E544" s="14"/>
      <c r="F544" s="14"/>
      <c r="G544" s="68"/>
      <c r="AU544" s="1"/>
    </row>
    <row r="545" spans="1:47" customFormat="1" x14ac:dyDescent="0.25">
      <c r="A545" s="8"/>
      <c r="B545" s="8"/>
      <c r="C545" s="13"/>
      <c r="E545" s="14"/>
      <c r="F545" s="14"/>
      <c r="G545" s="68"/>
      <c r="AU545" s="1"/>
    </row>
    <row r="546" spans="1:47" customFormat="1" x14ac:dyDescent="0.25">
      <c r="A546" s="8"/>
      <c r="B546" s="8"/>
      <c r="C546" s="13"/>
      <c r="E546" s="14"/>
      <c r="F546" s="14"/>
      <c r="G546" s="68"/>
      <c r="AU546" s="1"/>
    </row>
    <row r="547" spans="1:47" customFormat="1" x14ac:dyDescent="0.25">
      <c r="A547" s="8"/>
      <c r="B547" s="8"/>
      <c r="C547" s="13"/>
      <c r="E547" s="14"/>
      <c r="F547" s="14"/>
      <c r="G547" s="68"/>
      <c r="AU547" s="1"/>
    </row>
    <row r="548" spans="1:47" customFormat="1" x14ac:dyDescent="0.25">
      <c r="A548" s="8"/>
      <c r="B548" s="8"/>
      <c r="C548" s="13"/>
      <c r="E548" s="14"/>
      <c r="F548" s="14"/>
      <c r="G548" s="68"/>
      <c r="AU548" s="1"/>
    </row>
    <row r="549" spans="1:47" customFormat="1" x14ac:dyDescent="0.25">
      <c r="A549" s="8"/>
      <c r="B549" s="8"/>
      <c r="C549" s="13"/>
      <c r="E549" s="14"/>
      <c r="F549" s="14"/>
      <c r="G549" s="68"/>
      <c r="AU549" s="1"/>
    </row>
    <row r="550" spans="1:47" customFormat="1" x14ac:dyDescent="0.25">
      <c r="A550" s="8"/>
      <c r="B550" s="8"/>
      <c r="C550" s="13"/>
      <c r="E550" s="14"/>
      <c r="F550" s="14"/>
      <c r="G550" s="68"/>
      <c r="AU550" s="1"/>
    </row>
    <row r="551" spans="1:47" customFormat="1" x14ac:dyDescent="0.25">
      <c r="A551" s="8"/>
      <c r="B551" s="8"/>
      <c r="C551" s="13"/>
      <c r="E551" s="14"/>
      <c r="F551" s="14"/>
      <c r="G551" s="68"/>
      <c r="AU551" s="1"/>
    </row>
    <row r="552" spans="1:47" customFormat="1" x14ac:dyDescent="0.25">
      <c r="A552" s="8"/>
      <c r="B552" s="8"/>
      <c r="C552" s="13"/>
      <c r="E552" s="14"/>
      <c r="F552" s="14"/>
      <c r="G552" s="68"/>
      <c r="AU552" s="1"/>
    </row>
    <row r="553" spans="1:47" customFormat="1" x14ac:dyDescent="0.25">
      <c r="A553" s="8"/>
      <c r="B553" s="8"/>
      <c r="C553" s="13"/>
      <c r="E553" s="14"/>
      <c r="F553" s="14"/>
      <c r="G553" s="68"/>
      <c r="AU553" s="1"/>
    </row>
    <row r="554" spans="1:47" customFormat="1" x14ac:dyDescent="0.25">
      <c r="A554" s="8"/>
      <c r="B554" s="8"/>
      <c r="C554" s="13"/>
      <c r="E554" s="14"/>
      <c r="F554" s="14"/>
      <c r="G554" s="68"/>
      <c r="AU554" s="1"/>
    </row>
    <row r="555" spans="1:47" customFormat="1" x14ac:dyDescent="0.25">
      <c r="A555" s="8"/>
      <c r="B555" s="8"/>
      <c r="C555" s="13"/>
      <c r="E555" s="14"/>
      <c r="F555" s="14"/>
      <c r="G555" s="68"/>
      <c r="AU555" s="1"/>
    </row>
    <row r="556" spans="1:47" customFormat="1" x14ac:dyDescent="0.25">
      <c r="A556" s="8"/>
      <c r="B556" s="8"/>
      <c r="C556" s="13"/>
      <c r="E556" s="14"/>
      <c r="F556" s="14"/>
      <c r="G556" s="68"/>
      <c r="AU556" s="1"/>
    </row>
    <row r="557" spans="1:47" customFormat="1" x14ac:dyDescent="0.25">
      <c r="A557" s="8"/>
      <c r="B557" s="8"/>
      <c r="C557" s="13"/>
      <c r="E557" s="14"/>
      <c r="F557" s="14"/>
      <c r="G557" s="68"/>
      <c r="AU557" s="1"/>
    </row>
    <row r="558" spans="1:47" customFormat="1" x14ac:dyDescent="0.25">
      <c r="A558" s="8"/>
      <c r="B558" s="8"/>
      <c r="C558" s="13"/>
      <c r="E558" s="14"/>
      <c r="F558" s="14"/>
      <c r="G558" s="68"/>
      <c r="AU558" s="1"/>
    </row>
    <row r="559" spans="1:47" customFormat="1" x14ac:dyDescent="0.25">
      <c r="A559" s="8"/>
      <c r="B559" s="8"/>
      <c r="C559" s="13"/>
      <c r="E559" s="14"/>
      <c r="F559" s="14"/>
      <c r="G559" s="68"/>
      <c r="AU559" s="1"/>
    </row>
    <row r="560" spans="1:47" customFormat="1" x14ac:dyDescent="0.25">
      <c r="A560" s="8"/>
      <c r="B560" s="8"/>
      <c r="C560" s="13"/>
      <c r="E560" s="14"/>
      <c r="F560" s="14"/>
      <c r="G560" s="68"/>
      <c r="AU560" s="1"/>
    </row>
    <row r="561" spans="1:47" customFormat="1" x14ac:dyDescent="0.25">
      <c r="A561" s="8"/>
      <c r="B561" s="8"/>
      <c r="C561" s="13"/>
      <c r="E561" s="14"/>
      <c r="F561" s="14"/>
      <c r="G561" s="68"/>
      <c r="AU561" s="1"/>
    </row>
    <row r="562" spans="1:47" customFormat="1" x14ac:dyDescent="0.25">
      <c r="A562" s="8"/>
      <c r="B562" s="8"/>
      <c r="C562" s="13"/>
      <c r="E562" s="14"/>
      <c r="F562" s="14"/>
      <c r="G562" s="68"/>
      <c r="AU562" s="1"/>
    </row>
    <row r="563" spans="1:47" customFormat="1" x14ac:dyDescent="0.25">
      <c r="A563" s="8"/>
      <c r="B563" s="8"/>
      <c r="C563" s="13"/>
      <c r="E563" s="14"/>
      <c r="F563" s="14"/>
      <c r="G563" s="68"/>
      <c r="AU563" s="1"/>
    </row>
    <row r="564" spans="1:47" customFormat="1" x14ac:dyDescent="0.25">
      <c r="A564" s="8"/>
      <c r="B564" s="8"/>
      <c r="C564" s="13"/>
      <c r="E564" s="14"/>
      <c r="F564" s="14"/>
      <c r="G564" s="68"/>
      <c r="AU564" s="1"/>
    </row>
    <row r="565" spans="1:47" customFormat="1" x14ac:dyDescent="0.25">
      <c r="A565" s="8"/>
      <c r="B565" s="8"/>
      <c r="C565" s="13"/>
      <c r="E565" s="14"/>
      <c r="F565" s="14"/>
      <c r="G565" s="68"/>
      <c r="AU565" s="1"/>
    </row>
    <row r="566" spans="1:47" customFormat="1" x14ac:dyDescent="0.25">
      <c r="A566" s="8"/>
      <c r="B566" s="8"/>
      <c r="C566" s="13"/>
      <c r="E566" s="14"/>
      <c r="F566" s="14"/>
      <c r="G566" s="68"/>
      <c r="AU566" s="1"/>
    </row>
    <row r="567" spans="1:47" customFormat="1" x14ac:dyDescent="0.25">
      <c r="A567" s="8"/>
      <c r="B567" s="8"/>
      <c r="C567" s="13"/>
      <c r="E567" s="14"/>
      <c r="F567" s="14"/>
      <c r="G567" s="68"/>
      <c r="AU567" s="1"/>
    </row>
    <row r="568" spans="1:47" customFormat="1" x14ac:dyDescent="0.25">
      <c r="A568" s="8"/>
      <c r="B568" s="8"/>
      <c r="C568" s="13"/>
      <c r="E568" s="14"/>
      <c r="F568" s="14"/>
      <c r="G568" s="68"/>
      <c r="AU568" s="1"/>
    </row>
    <row r="569" spans="1:47" customFormat="1" x14ac:dyDescent="0.25">
      <c r="A569" s="8"/>
      <c r="B569" s="8"/>
      <c r="C569" s="13"/>
      <c r="E569" s="14"/>
      <c r="F569" s="14"/>
      <c r="G569" s="68"/>
      <c r="AU569" s="1"/>
    </row>
    <row r="570" spans="1:47" customFormat="1" x14ac:dyDescent="0.25">
      <c r="A570" s="8"/>
      <c r="B570" s="8"/>
      <c r="C570" s="13"/>
      <c r="E570" s="14"/>
      <c r="F570" s="14"/>
      <c r="G570" s="68"/>
      <c r="AU570" s="1"/>
    </row>
    <row r="571" spans="1:47" customFormat="1" x14ac:dyDescent="0.25">
      <c r="A571" s="8"/>
      <c r="B571" s="8"/>
      <c r="C571" s="13"/>
      <c r="E571" s="14"/>
      <c r="F571" s="14"/>
      <c r="G571" s="68"/>
      <c r="AU571" s="1"/>
    </row>
    <row r="572" spans="1:47" customFormat="1" x14ac:dyDescent="0.25">
      <c r="A572" s="8"/>
      <c r="B572" s="8"/>
      <c r="C572" s="13"/>
      <c r="E572" s="14"/>
      <c r="F572" s="14"/>
      <c r="G572" s="68"/>
      <c r="AU572" s="1"/>
    </row>
    <row r="573" spans="1:47" customFormat="1" x14ac:dyDescent="0.25">
      <c r="A573" s="8"/>
      <c r="B573" s="8"/>
      <c r="C573" s="13"/>
      <c r="E573" s="14"/>
      <c r="F573" s="14"/>
      <c r="G573" s="68"/>
      <c r="AU573" s="1"/>
    </row>
    <row r="574" spans="1:47" customFormat="1" x14ac:dyDescent="0.25">
      <c r="A574" s="8"/>
      <c r="B574" s="8"/>
      <c r="C574" s="13"/>
      <c r="E574" s="14"/>
      <c r="F574" s="14"/>
      <c r="G574" s="68"/>
      <c r="AU574" s="1"/>
    </row>
    <row r="575" spans="1:47" customFormat="1" x14ac:dyDescent="0.25">
      <c r="A575" s="8"/>
      <c r="B575" s="8"/>
      <c r="C575" s="13"/>
      <c r="E575" s="14"/>
      <c r="F575" s="14"/>
      <c r="G575" s="68"/>
      <c r="AU575" s="1"/>
    </row>
    <row r="576" spans="1:47" customFormat="1" x14ac:dyDescent="0.25">
      <c r="A576" s="8"/>
      <c r="B576" s="8"/>
      <c r="C576" s="13"/>
      <c r="E576" s="14"/>
      <c r="F576" s="14"/>
      <c r="G576" s="68"/>
      <c r="AU576" s="1"/>
    </row>
    <row r="577" spans="1:47" customFormat="1" x14ac:dyDescent="0.25">
      <c r="A577" s="8"/>
      <c r="B577" s="8"/>
      <c r="C577" s="13"/>
      <c r="E577" s="14"/>
      <c r="F577" s="14"/>
      <c r="G577" s="68"/>
      <c r="AU577" s="1"/>
    </row>
    <row r="578" spans="1:47" customFormat="1" x14ac:dyDescent="0.25">
      <c r="A578" s="8"/>
      <c r="B578" s="8"/>
      <c r="C578" s="13"/>
      <c r="E578" s="14"/>
      <c r="F578" s="14"/>
      <c r="G578" s="68"/>
      <c r="AU578" s="1"/>
    </row>
    <row r="579" spans="1:47" customFormat="1" x14ac:dyDescent="0.25">
      <c r="A579" s="8"/>
      <c r="B579" s="8"/>
      <c r="C579" s="13"/>
      <c r="E579" s="14"/>
      <c r="F579" s="14"/>
      <c r="G579" s="68"/>
      <c r="AU579" s="1"/>
    </row>
    <row r="580" spans="1:47" customFormat="1" x14ac:dyDescent="0.25">
      <c r="A580" s="8"/>
      <c r="B580" s="8"/>
      <c r="C580" s="13"/>
      <c r="E580" s="14"/>
      <c r="F580" s="14"/>
      <c r="G580" s="68"/>
      <c r="AU580" s="1"/>
    </row>
    <row r="581" spans="1:47" customFormat="1" x14ac:dyDescent="0.25">
      <c r="A581" s="8"/>
      <c r="B581" s="8"/>
      <c r="C581" s="13"/>
      <c r="E581" s="14"/>
      <c r="F581" s="14"/>
      <c r="G581" s="68"/>
      <c r="AU581" s="1"/>
    </row>
    <row r="582" spans="1:47" customFormat="1" x14ac:dyDescent="0.25">
      <c r="A582" s="8"/>
      <c r="B582" s="8"/>
      <c r="C582" s="13"/>
      <c r="E582" s="14"/>
      <c r="F582" s="14"/>
      <c r="G582" s="68"/>
      <c r="AU582" s="1"/>
    </row>
    <row r="583" spans="1:47" customFormat="1" x14ac:dyDescent="0.25">
      <c r="A583" s="8"/>
      <c r="B583" s="8"/>
      <c r="C583" s="13"/>
      <c r="E583" s="14"/>
      <c r="F583" s="14"/>
      <c r="G583" s="68"/>
      <c r="AU583" s="1"/>
    </row>
    <row r="584" spans="1:47" customFormat="1" x14ac:dyDescent="0.25">
      <c r="A584" s="8"/>
      <c r="B584" s="8"/>
      <c r="C584" s="13"/>
      <c r="E584" s="14"/>
      <c r="F584" s="14"/>
      <c r="G584" s="68"/>
      <c r="AU584" s="1"/>
    </row>
    <row r="585" spans="1:47" customFormat="1" x14ac:dyDescent="0.25">
      <c r="A585" s="8"/>
      <c r="B585" s="8"/>
      <c r="C585" s="13"/>
      <c r="E585" s="14"/>
      <c r="F585" s="14"/>
      <c r="G585" s="68"/>
      <c r="AU585" s="1"/>
    </row>
    <row r="586" spans="1:47" customFormat="1" x14ac:dyDescent="0.25">
      <c r="A586" s="8"/>
      <c r="B586" s="8"/>
      <c r="C586" s="13"/>
      <c r="E586" s="14"/>
      <c r="F586" s="14"/>
      <c r="G586" s="68"/>
      <c r="AU586" s="1"/>
    </row>
    <row r="587" spans="1:47" customFormat="1" x14ac:dyDescent="0.25">
      <c r="A587" s="8"/>
      <c r="B587" s="8"/>
      <c r="C587" s="13"/>
      <c r="E587" s="14"/>
      <c r="F587" s="14"/>
      <c r="G587" s="68"/>
      <c r="AU587" s="1"/>
    </row>
    <row r="588" spans="1:47" customFormat="1" x14ac:dyDescent="0.25">
      <c r="A588" s="8"/>
      <c r="B588" s="8"/>
      <c r="C588" s="13"/>
      <c r="E588" s="14"/>
      <c r="F588" s="14"/>
      <c r="G588" s="68"/>
      <c r="AU588" s="1"/>
    </row>
    <row r="589" spans="1:47" customFormat="1" x14ac:dyDescent="0.25">
      <c r="A589" s="8"/>
      <c r="B589" s="8"/>
      <c r="C589" s="13"/>
      <c r="E589" s="14"/>
      <c r="F589" s="14"/>
      <c r="G589" s="68"/>
      <c r="AU589" s="1"/>
    </row>
    <row r="590" spans="1:47" customFormat="1" x14ac:dyDescent="0.25">
      <c r="A590" s="8"/>
      <c r="B590" s="8"/>
      <c r="C590" s="13"/>
      <c r="E590" s="14"/>
      <c r="F590" s="14"/>
      <c r="G590" s="68"/>
      <c r="AU590" s="1"/>
    </row>
    <row r="591" spans="1:47" customFormat="1" x14ac:dyDescent="0.25">
      <c r="A591" s="8"/>
      <c r="B591" s="8"/>
      <c r="C591" s="13"/>
      <c r="E591" s="14"/>
      <c r="F591" s="14"/>
      <c r="G591" s="68"/>
      <c r="AU591" s="1"/>
    </row>
    <row r="592" spans="1:47" customFormat="1" x14ac:dyDescent="0.25">
      <c r="A592" s="8"/>
      <c r="B592" s="8"/>
      <c r="C592" s="13"/>
      <c r="E592" s="14"/>
      <c r="F592" s="14"/>
      <c r="G592" s="68"/>
      <c r="AU592" s="1"/>
    </row>
    <row r="593" spans="1:47" customFormat="1" x14ac:dyDescent="0.25">
      <c r="A593" s="8"/>
      <c r="B593" s="8"/>
      <c r="C593" s="13"/>
      <c r="E593" s="14"/>
      <c r="F593" s="14"/>
      <c r="G593" s="68"/>
      <c r="AU593" s="1"/>
    </row>
    <row r="594" spans="1:47" customFormat="1" x14ac:dyDescent="0.25">
      <c r="A594" s="8"/>
      <c r="B594" s="8"/>
      <c r="C594" s="13"/>
      <c r="E594" s="14"/>
      <c r="F594" s="14"/>
      <c r="G594" s="68"/>
      <c r="AU594" s="1"/>
    </row>
    <row r="595" spans="1:47" customFormat="1" x14ac:dyDescent="0.25">
      <c r="A595" s="8"/>
      <c r="B595" s="8"/>
      <c r="C595" s="13"/>
      <c r="E595" s="14"/>
      <c r="F595" s="14"/>
      <c r="G595" s="68"/>
      <c r="AU595" s="1"/>
    </row>
    <row r="596" spans="1:47" customFormat="1" x14ac:dyDescent="0.25">
      <c r="A596" s="8"/>
      <c r="B596" s="8"/>
      <c r="C596" s="13"/>
      <c r="E596" s="14"/>
      <c r="F596" s="14"/>
      <c r="G596" s="68"/>
      <c r="AU596" s="1"/>
    </row>
    <row r="597" spans="1:47" customFormat="1" x14ac:dyDescent="0.25">
      <c r="A597" s="8"/>
      <c r="B597" s="8"/>
      <c r="C597" s="13"/>
      <c r="E597" s="14"/>
      <c r="F597" s="14"/>
      <c r="G597" s="68"/>
      <c r="AU597" s="1"/>
    </row>
    <row r="598" spans="1:47" customFormat="1" x14ac:dyDescent="0.25">
      <c r="A598" s="8"/>
      <c r="B598" s="8"/>
      <c r="C598" s="13"/>
      <c r="E598" s="14"/>
      <c r="F598" s="14"/>
      <c r="G598" s="68"/>
      <c r="AU598" s="1"/>
    </row>
    <row r="599" spans="1:47" customFormat="1" x14ac:dyDescent="0.25">
      <c r="A599" s="8"/>
      <c r="B599" s="8"/>
      <c r="C599" s="13"/>
      <c r="E599" s="14"/>
      <c r="F599" s="14"/>
      <c r="G599" s="68"/>
      <c r="AU599" s="1"/>
    </row>
    <row r="600" spans="1:47" customFormat="1" x14ac:dyDescent="0.25">
      <c r="A600" s="8"/>
      <c r="B600" s="8"/>
      <c r="C600" s="13"/>
      <c r="E600" s="14"/>
      <c r="F600" s="14"/>
      <c r="G600" s="68"/>
      <c r="AU600" s="1"/>
    </row>
    <row r="601" spans="1:47" customFormat="1" x14ac:dyDescent="0.25">
      <c r="A601" s="8"/>
      <c r="B601" s="8"/>
      <c r="C601" s="13"/>
      <c r="E601" s="14"/>
      <c r="F601" s="14"/>
      <c r="G601" s="68"/>
      <c r="AU601" s="1"/>
    </row>
    <row r="602" spans="1:47" customFormat="1" x14ac:dyDescent="0.25">
      <c r="A602" s="8"/>
      <c r="B602" s="8"/>
      <c r="C602" s="13"/>
      <c r="E602" s="14"/>
      <c r="F602" s="14"/>
      <c r="G602" s="68"/>
      <c r="AU602" s="1"/>
    </row>
    <row r="603" spans="1:47" customFormat="1" x14ac:dyDescent="0.25">
      <c r="A603" s="8"/>
      <c r="B603" s="8"/>
      <c r="C603" s="13"/>
      <c r="E603" s="14"/>
      <c r="F603" s="14"/>
      <c r="G603" s="68"/>
      <c r="AU603" s="1"/>
    </row>
    <row r="604" spans="1:47" customFormat="1" x14ac:dyDescent="0.25">
      <c r="A604" s="8"/>
      <c r="B604" s="8"/>
      <c r="C604" s="13"/>
      <c r="E604" s="14"/>
      <c r="F604" s="14"/>
      <c r="G604" s="68"/>
      <c r="AU604" s="1"/>
    </row>
    <row r="605" spans="1:47" customFormat="1" x14ac:dyDescent="0.25">
      <c r="A605" s="8"/>
      <c r="B605" s="8"/>
      <c r="C605" s="13"/>
      <c r="E605" s="14"/>
      <c r="F605" s="14"/>
      <c r="G605" s="68"/>
      <c r="AU605" s="1"/>
    </row>
    <row r="606" spans="1:47" customFormat="1" x14ac:dyDescent="0.25">
      <c r="A606" s="8"/>
      <c r="B606" s="8"/>
      <c r="C606" s="13"/>
      <c r="E606" s="14"/>
      <c r="F606" s="14"/>
      <c r="G606" s="68"/>
      <c r="AU606" s="1"/>
    </row>
    <row r="607" spans="1:47" customFormat="1" x14ac:dyDescent="0.25">
      <c r="A607" s="8"/>
      <c r="B607" s="8"/>
      <c r="C607" s="13"/>
      <c r="E607" s="14"/>
      <c r="F607" s="14"/>
      <c r="G607" s="68"/>
      <c r="AU607" s="1"/>
    </row>
    <row r="608" spans="1:47" customFormat="1" x14ac:dyDescent="0.25">
      <c r="A608" s="8"/>
      <c r="B608" s="8"/>
      <c r="C608" s="13"/>
      <c r="E608" s="14"/>
      <c r="F608" s="14"/>
      <c r="G608" s="68"/>
      <c r="AU608" s="1"/>
    </row>
    <row r="609" spans="1:47" customFormat="1" x14ac:dyDescent="0.25">
      <c r="A609" s="8"/>
      <c r="B609" s="8"/>
      <c r="C609" s="13"/>
      <c r="E609" s="14"/>
      <c r="F609" s="14"/>
      <c r="G609" s="68"/>
      <c r="AU609" s="1"/>
    </row>
    <row r="610" spans="1:47" customFormat="1" x14ac:dyDescent="0.25">
      <c r="A610" s="8"/>
      <c r="B610" s="8"/>
      <c r="C610" s="13"/>
      <c r="E610" s="14"/>
      <c r="F610" s="14"/>
      <c r="G610" s="68"/>
      <c r="AU610" s="1"/>
    </row>
    <row r="611" spans="1:47" customFormat="1" x14ac:dyDescent="0.25">
      <c r="A611" s="8"/>
      <c r="B611" s="8"/>
      <c r="C611" s="13"/>
      <c r="E611" s="14"/>
      <c r="F611" s="14"/>
      <c r="G611" s="68"/>
      <c r="AU611" s="1"/>
    </row>
    <row r="612" spans="1:47" customFormat="1" x14ac:dyDescent="0.25">
      <c r="A612" s="8"/>
      <c r="B612" s="8"/>
      <c r="C612" s="13"/>
      <c r="E612" s="14"/>
      <c r="F612" s="14"/>
      <c r="G612" s="68"/>
      <c r="AU612" s="1"/>
    </row>
    <row r="613" spans="1:47" customFormat="1" x14ac:dyDescent="0.25">
      <c r="A613" s="8"/>
      <c r="B613" s="8"/>
      <c r="C613" s="13"/>
      <c r="E613" s="14"/>
      <c r="F613" s="14"/>
      <c r="G613" s="68"/>
      <c r="AU613" s="1"/>
    </row>
    <row r="614" spans="1:47" customFormat="1" x14ac:dyDescent="0.25">
      <c r="A614" s="8"/>
      <c r="B614" s="8"/>
      <c r="C614" s="13"/>
      <c r="E614" s="14"/>
      <c r="F614" s="14"/>
      <c r="G614" s="68"/>
      <c r="AU614" s="1"/>
    </row>
    <row r="615" spans="1:47" customFormat="1" x14ac:dyDescent="0.25">
      <c r="A615" s="8"/>
      <c r="B615" s="8"/>
      <c r="C615" s="13"/>
      <c r="E615" s="14"/>
      <c r="F615" s="14"/>
      <c r="G615" s="68"/>
      <c r="AU615" s="1"/>
    </row>
    <row r="616" spans="1:47" customFormat="1" x14ac:dyDescent="0.25">
      <c r="A616" s="8"/>
      <c r="B616" s="8"/>
      <c r="C616" s="13"/>
      <c r="E616" s="14"/>
      <c r="F616" s="14"/>
      <c r="G616" s="68"/>
      <c r="AU616" s="1"/>
    </row>
    <row r="617" spans="1:47" customFormat="1" x14ac:dyDescent="0.25">
      <c r="A617" s="8"/>
      <c r="B617" s="8"/>
      <c r="C617" s="13"/>
      <c r="E617" s="14"/>
      <c r="F617" s="14"/>
      <c r="G617" s="68"/>
      <c r="AU617" s="1"/>
    </row>
    <row r="618" spans="1:47" customFormat="1" x14ac:dyDescent="0.25">
      <c r="A618" s="8"/>
      <c r="B618" s="8"/>
      <c r="C618" s="13"/>
      <c r="E618" s="14"/>
      <c r="F618" s="14"/>
      <c r="G618" s="68"/>
      <c r="AU618" s="1"/>
    </row>
    <row r="619" spans="1:47" customFormat="1" x14ac:dyDescent="0.25">
      <c r="A619" s="8"/>
      <c r="B619" s="8"/>
      <c r="C619" s="13"/>
      <c r="E619" s="14"/>
      <c r="F619" s="14"/>
      <c r="G619" s="68"/>
      <c r="AU619" s="1"/>
    </row>
    <row r="620" spans="1:47" customFormat="1" x14ac:dyDescent="0.25">
      <c r="A620" s="8"/>
      <c r="B620" s="8"/>
      <c r="C620" s="13"/>
      <c r="E620" s="14"/>
      <c r="F620" s="14"/>
      <c r="G620" s="68"/>
      <c r="AU620" s="1"/>
    </row>
    <row r="621" spans="1:47" customFormat="1" x14ac:dyDescent="0.25">
      <c r="A621" s="8"/>
      <c r="B621" s="8"/>
      <c r="C621" s="13"/>
      <c r="E621" s="14"/>
      <c r="F621" s="14"/>
      <c r="G621" s="68"/>
      <c r="AU621" s="1"/>
    </row>
    <row r="622" spans="1:47" customFormat="1" x14ac:dyDescent="0.25">
      <c r="A622" s="8"/>
      <c r="B622" s="8"/>
      <c r="C622" s="13"/>
      <c r="E622" s="14"/>
      <c r="F622" s="14"/>
      <c r="G622" s="68"/>
      <c r="AU622" s="1"/>
    </row>
    <row r="623" spans="1:47" customFormat="1" x14ac:dyDescent="0.25">
      <c r="A623" s="8"/>
      <c r="B623" s="8"/>
      <c r="C623" s="13"/>
      <c r="E623" s="14"/>
      <c r="F623" s="14"/>
      <c r="G623" s="68"/>
      <c r="AU623" s="1"/>
    </row>
    <row r="624" spans="1:47" customFormat="1" x14ac:dyDescent="0.25">
      <c r="A624" s="8"/>
      <c r="B624" s="8"/>
      <c r="C624" s="13"/>
      <c r="E624" s="14"/>
      <c r="F624" s="14"/>
      <c r="G624" s="68"/>
      <c r="AU624" s="1"/>
    </row>
    <row r="625" spans="1:47" customFormat="1" x14ac:dyDescent="0.25">
      <c r="A625" s="8"/>
      <c r="B625" s="8"/>
      <c r="C625" s="13"/>
      <c r="E625" s="14"/>
      <c r="F625" s="14"/>
      <c r="G625" s="68"/>
      <c r="AU625" s="1"/>
    </row>
    <row r="626" spans="1:47" customFormat="1" x14ac:dyDescent="0.25">
      <c r="A626" s="8"/>
      <c r="B626" s="8"/>
      <c r="C626" s="13"/>
      <c r="E626" s="14"/>
      <c r="F626" s="14"/>
      <c r="G626" s="68"/>
      <c r="AU626" s="1"/>
    </row>
    <row r="627" spans="1:47" customFormat="1" x14ac:dyDescent="0.25">
      <c r="A627" s="8"/>
      <c r="B627" s="8"/>
      <c r="C627" s="15"/>
      <c r="E627" s="14"/>
      <c r="F627" s="14"/>
      <c r="G627" s="68"/>
      <c r="AU627" s="1"/>
    </row>
    <row r="628" spans="1:47" customFormat="1" x14ac:dyDescent="0.25">
      <c r="C628" s="6"/>
      <c r="E628" s="4"/>
      <c r="F628" s="4"/>
      <c r="G628" s="69"/>
      <c r="AU628" s="1"/>
    </row>
    <row r="629" spans="1:47" customFormat="1" x14ac:dyDescent="0.25">
      <c r="C629" s="6"/>
      <c r="E629" s="4"/>
      <c r="F629" s="4"/>
      <c r="G629" s="69"/>
      <c r="AU629" s="1"/>
    </row>
    <row r="630" spans="1:47" customFormat="1" x14ac:dyDescent="0.25">
      <c r="C630" s="6"/>
      <c r="E630" s="4"/>
      <c r="F630" s="4"/>
      <c r="G630" s="69"/>
      <c r="AU630" s="1"/>
    </row>
    <row r="631" spans="1:47" customFormat="1" x14ac:dyDescent="0.25">
      <c r="C631" s="6"/>
      <c r="E631" s="4"/>
      <c r="F631" s="4"/>
      <c r="G631" s="69"/>
      <c r="AU631" s="1"/>
    </row>
    <row r="632" spans="1:47" customFormat="1" x14ac:dyDescent="0.25">
      <c r="C632" s="6"/>
      <c r="E632" s="4"/>
      <c r="F632" s="4"/>
      <c r="G632" s="69"/>
      <c r="AU632" s="1"/>
    </row>
    <row r="633" spans="1:47" customFormat="1" x14ac:dyDescent="0.25">
      <c r="C633" s="6"/>
      <c r="E633" s="4"/>
      <c r="F633" s="4"/>
      <c r="G633" s="69"/>
      <c r="AU633" s="1"/>
    </row>
    <row r="634" spans="1:47" customFormat="1" x14ac:dyDescent="0.25">
      <c r="C634" s="6"/>
      <c r="E634" s="4"/>
      <c r="F634" s="4"/>
      <c r="G634" s="69"/>
      <c r="AU634" s="1"/>
    </row>
    <row r="635" spans="1:47" customFormat="1" x14ac:dyDescent="0.25">
      <c r="C635" s="6"/>
      <c r="E635" s="4"/>
      <c r="F635" s="4"/>
      <c r="G635" s="69"/>
      <c r="AU635" s="1"/>
    </row>
    <row r="636" spans="1:47" customFormat="1" x14ac:dyDescent="0.25">
      <c r="A636" s="2" t="s">
        <v>1</v>
      </c>
      <c r="C636" s="6"/>
      <c r="E636" s="4"/>
      <c r="F636" s="4"/>
      <c r="G636" s="69"/>
      <c r="AU636" s="1"/>
    </row>
    <row r="637" spans="1:47" customFormat="1" x14ac:dyDescent="0.25">
      <c r="C637" s="6"/>
      <c r="E637" s="4"/>
      <c r="F637" s="4"/>
      <c r="G637" s="69"/>
      <c r="AU637" s="1"/>
    </row>
    <row r="638" spans="1:47" customFormat="1" x14ac:dyDescent="0.25">
      <c r="C638" s="6"/>
      <c r="E638" s="4"/>
      <c r="F638" s="4"/>
      <c r="G638" s="69"/>
      <c r="AU638" s="1"/>
    </row>
    <row r="639" spans="1:47" customFormat="1" x14ac:dyDescent="0.25">
      <c r="C639" s="6"/>
      <c r="E639" s="4"/>
      <c r="F639" s="4"/>
      <c r="G639" s="69"/>
      <c r="AU639" s="1"/>
    </row>
    <row r="640" spans="1:47" customFormat="1" x14ac:dyDescent="0.25">
      <c r="C640" s="6"/>
      <c r="E640" s="4"/>
      <c r="F640" s="4"/>
      <c r="G640" s="69"/>
      <c r="AU640" s="1"/>
    </row>
    <row r="641" spans="1:6" x14ac:dyDescent="0.25">
      <c r="A641"/>
      <c r="B641"/>
      <c r="C641" s="6"/>
      <c r="E641" s="4"/>
      <c r="F641" s="4"/>
    </row>
    <row r="642" spans="1:6" x14ac:dyDescent="0.25">
      <c r="A642"/>
      <c r="B642"/>
      <c r="C642" s="6"/>
      <c r="E642" s="4"/>
      <c r="F642" s="4"/>
    </row>
  </sheetData>
  <mergeCells count="21">
    <mergeCell ref="W2:Y2"/>
    <mergeCell ref="E3:I4"/>
    <mergeCell ref="N3:U4"/>
    <mergeCell ref="T5:T6"/>
    <mergeCell ref="U5:U6"/>
    <mergeCell ref="E2:I2"/>
    <mergeCell ref="J2:L2"/>
    <mergeCell ref="N2:U2"/>
    <mergeCell ref="A48:C48"/>
    <mergeCell ref="P5:P6"/>
    <mergeCell ref="Q5:Q6"/>
    <mergeCell ref="R5:R6"/>
    <mergeCell ref="S5:S6"/>
    <mergeCell ref="Z2:AE2"/>
    <mergeCell ref="Z3:AE4"/>
    <mergeCell ref="Z5:Z7"/>
    <mergeCell ref="AA5:AA7"/>
    <mergeCell ref="AB5:AB7"/>
    <mergeCell ref="AC5:AC7"/>
    <mergeCell ref="AD5:AD7"/>
    <mergeCell ref="AE5:AE7"/>
  </mergeCells>
  <conditionalFormatting sqref="AE12:AE18">
    <cfRule type="cellIs" dxfId="13" priority="3" operator="lessThan">
      <formula>0</formula>
    </cfRule>
    <cfRule type="cellIs" dxfId="12" priority="4" operator="greaterThan">
      <formula>0</formula>
    </cfRule>
  </conditionalFormatting>
  <conditionalFormatting sqref="AE20:AE28">
    <cfRule type="cellIs" dxfId="11" priority="1" operator="lessThan">
      <formula>0</formula>
    </cfRule>
    <cfRule type="cellIs" dxfId="10" priority="2" operator="greaterThan">
      <formula>0</formula>
    </cfRule>
  </conditionalFormatting>
  <printOptions horizontalCentered="1"/>
  <pageMargins left="0.23622047244094491" right="0.23622047244094491" top="0.74803149606299213" bottom="0.74803149606299213" header="0.31496062992125984" footer="0.31496062992125984"/>
  <pageSetup paperSize="8"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74"/>
  <sheetViews>
    <sheetView workbookViewId="0">
      <pane ySplit="1" topLeftCell="A2" activePane="bottomLeft" state="frozen"/>
      <selection activeCell="B74" sqref="B74"/>
      <selection pane="bottomLeft" activeCell="B74" sqref="B74"/>
    </sheetView>
  </sheetViews>
  <sheetFormatPr defaultColWidth="9.109375" defaultRowHeight="14.4" x14ac:dyDescent="0.3"/>
  <cols>
    <col min="1" max="1" width="13.33203125" style="50" customWidth="1"/>
    <col min="2" max="12" width="9.109375" style="50"/>
    <col min="13" max="13" width="9.109375" style="51"/>
    <col min="14" max="14" width="9.109375" style="50"/>
    <col min="15" max="20" width="9.109375" style="51"/>
    <col min="21" max="23" width="9.109375" style="50"/>
    <col min="24" max="24" width="9.109375" style="52"/>
    <col min="25" max="29" width="9.109375" style="50"/>
    <col min="30" max="16384" width="9.109375" style="48"/>
  </cols>
  <sheetData>
    <row r="1" spans="1:29" x14ac:dyDescent="0.3">
      <c r="A1" s="48" t="s">
        <v>559</v>
      </c>
      <c r="B1" s="48" t="s">
        <v>805</v>
      </c>
      <c r="C1" s="48" t="s">
        <v>806</v>
      </c>
      <c r="D1" s="48" t="s">
        <v>807</v>
      </c>
      <c r="E1" s="48" t="s">
        <v>808</v>
      </c>
      <c r="F1" s="48" t="s">
        <v>809</v>
      </c>
      <c r="G1" s="48" t="s">
        <v>810</v>
      </c>
      <c r="H1" s="48" t="s">
        <v>811</v>
      </c>
      <c r="I1" s="48" t="s">
        <v>812</v>
      </c>
      <c r="J1" s="48" t="s">
        <v>813</v>
      </c>
      <c r="K1" s="48" t="s">
        <v>814</v>
      </c>
      <c r="L1" s="48" t="s">
        <v>815</v>
      </c>
      <c r="M1" s="48" t="s">
        <v>816</v>
      </c>
      <c r="N1" s="48" t="s">
        <v>817</v>
      </c>
      <c r="O1" s="48" t="s">
        <v>818</v>
      </c>
      <c r="P1" s="48" t="s">
        <v>819</v>
      </c>
      <c r="Q1" s="48" t="s">
        <v>820</v>
      </c>
      <c r="R1" s="48" t="s">
        <v>821</v>
      </c>
      <c r="S1" s="48" t="s">
        <v>822</v>
      </c>
      <c r="T1" s="48" t="s">
        <v>823</v>
      </c>
      <c r="U1" s="48" t="s">
        <v>824</v>
      </c>
      <c r="V1" s="48" t="s">
        <v>825</v>
      </c>
      <c r="W1" s="48" t="s">
        <v>826</v>
      </c>
      <c r="X1" s="48" t="s">
        <v>827</v>
      </c>
      <c r="Y1" s="48" t="s">
        <v>828</v>
      </c>
      <c r="Z1" s="48" t="s">
        <v>829</v>
      </c>
      <c r="AA1" s="48" t="s">
        <v>830</v>
      </c>
      <c r="AB1" s="48" t="s">
        <v>831</v>
      </c>
      <c r="AC1" s="48" t="s">
        <v>832</v>
      </c>
    </row>
    <row r="2" spans="1:29" x14ac:dyDescent="0.3">
      <c r="A2" s="49" t="s">
        <v>687</v>
      </c>
      <c r="B2" s="49" t="s">
        <v>688</v>
      </c>
      <c r="D2" s="50" t="s">
        <v>833</v>
      </c>
      <c r="E2" s="50" t="s">
        <v>834</v>
      </c>
      <c r="H2" s="50" t="s">
        <v>835</v>
      </c>
      <c r="I2" s="50" t="s">
        <v>836</v>
      </c>
      <c r="J2" s="50" t="s">
        <v>837</v>
      </c>
      <c r="K2" s="50" t="s">
        <v>838</v>
      </c>
      <c r="M2" s="51">
        <v>1</v>
      </c>
      <c r="N2" s="50" t="s">
        <v>834</v>
      </c>
      <c r="O2" s="51">
        <v>1</v>
      </c>
      <c r="P2" s="51">
        <v>0.01</v>
      </c>
      <c r="Q2" s="51">
        <v>0</v>
      </c>
      <c r="R2" s="51">
        <v>1</v>
      </c>
      <c r="S2" s="51">
        <v>1</v>
      </c>
      <c r="T2" s="51">
        <v>1</v>
      </c>
      <c r="W2" s="50" t="s">
        <v>839</v>
      </c>
      <c r="Y2" s="50" t="s">
        <v>840</v>
      </c>
      <c r="Z2" s="50" t="s">
        <v>841</v>
      </c>
      <c r="AA2" s="50" t="s">
        <v>842</v>
      </c>
      <c r="AC2" s="50" t="s">
        <v>843</v>
      </c>
    </row>
    <row r="3" spans="1:29" x14ac:dyDescent="0.3">
      <c r="A3" s="49" t="s">
        <v>697</v>
      </c>
      <c r="B3" s="49" t="s">
        <v>698</v>
      </c>
      <c r="D3" s="50" t="s">
        <v>833</v>
      </c>
      <c r="E3" s="50" t="s">
        <v>834</v>
      </c>
      <c r="H3" s="50" t="s">
        <v>835</v>
      </c>
      <c r="I3" s="50" t="s">
        <v>836</v>
      </c>
      <c r="J3" s="50" t="s">
        <v>837</v>
      </c>
      <c r="K3" s="50" t="s">
        <v>838</v>
      </c>
      <c r="M3" s="51">
        <v>1</v>
      </c>
      <c r="N3" s="50" t="s">
        <v>834</v>
      </c>
      <c r="O3" s="51">
        <v>1</v>
      </c>
      <c r="P3" s="51">
        <v>0.01</v>
      </c>
      <c r="Q3" s="51">
        <v>0</v>
      </c>
      <c r="R3" s="51">
        <v>1</v>
      </c>
      <c r="S3" s="51">
        <v>1</v>
      </c>
      <c r="T3" s="51">
        <v>1</v>
      </c>
      <c r="W3" s="50" t="s">
        <v>844</v>
      </c>
      <c r="Y3" s="50" t="s">
        <v>840</v>
      </c>
      <c r="Z3" s="50" t="s">
        <v>841</v>
      </c>
      <c r="AA3" s="50" t="s">
        <v>842</v>
      </c>
      <c r="AC3" s="50" t="s">
        <v>843</v>
      </c>
    </row>
    <row r="4" spans="1:29" x14ac:dyDescent="0.3">
      <c r="A4" s="49" t="s">
        <v>689</v>
      </c>
      <c r="B4" s="49" t="s">
        <v>690</v>
      </c>
      <c r="D4" s="50" t="s">
        <v>833</v>
      </c>
      <c r="E4" s="50" t="s">
        <v>834</v>
      </c>
      <c r="H4" s="50" t="s">
        <v>835</v>
      </c>
      <c r="I4" s="50" t="s">
        <v>836</v>
      </c>
      <c r="J4" s="50" t="s">
        <v>837</v>
      </c>
      <c r="K4" s="50" t="s">
        <v>838</v>
      </c>
      <c r="M4" s="51">
        <v>1</v>
      </c>
      <c r="N4" s="50" t="s">
        <v>834</v>
      </c>
      <c r="O4" s="51">
        <v>1</v>
      </c>
      <c r="P4" s="51">
        <v>0.01</v>
      </c>
      <c r="Q4" s="51">
        <v>0</v>
      </c>
      <c r="R4" s="51">
        <v>1</v>
      </c>
      <c r="S4" s="51">
        <v>1</v>
      </c>
      <c r="T4" s="51">
        <v>1</v>
      </c>
      <c r="W4" s="50" t="s">
        <v>845</v>
      </c>
      <c r="Y4" s="50" t="s">
        <v>840</v>
      </c>
      <c r="Z4" s="50" t="s">
        <v>841</v>
      </c>
      <c r="AA4" s="50" t="s">
        <v>842</v>
      </c>
      <c r="AC4" s="50" t="s">
        <v>843</v>
      </c>
    </row>
    <row r="5" spans="1:29" x14ac:dyDescent="0.3">
      <c r="A5" s="49" t="s">
        <v>699</v>
      </c>
      <c r="B5" s="49" t="s">
        <v>700</v>
      </c>
      <c r="D5" s="50" t="s">
        <v>833</v>
      </c>
      <c r="E5" s="50" t="s">
        <v>834</v>
      </c>
      <c r="H5" s="50" t="s">
        <v>835</v>
      </c>
      <c r="I5" s="50" t="s">
        <v>836</v>
      </c>
      <c r="J5" s="50" t="s">
        <v>837</v>
      </c>
      <c r="K5" s="50" t="s">
        <v>838</v>
      </c>
      <c r="M5" s="51">
        <v>1</v>
      </c>
      <c r="N5" s="50" t="s">
        <v>834</v>
      </c>
      <c r="O5" s="51">
        <v>1</v>
      </c>
      <c r="P5" s="51">
        <v>0.01</v>
      </c>
      <c r="Q5" s="51">
        <v>0</v>
      </c>
      <c r="R5" s="51">
        <v>1</v>
      </c>
      <c r="S5" s="51">
        <v>1</v>
      </c>
      <c r="T5" s="51">
        <v>1</v>
      </c>
      <c r="W5" s="50" t="s">
        <v>846</v>
      </c>
      <c r="Y5" s="50" t="s">
        <v>840</v>
      </c>
      <c r="Z5" s="50" t="s">
        <v>841</v>
      </c>
      <c r="AA5" s="50" t="s">
        <v>842</v>
      </c>
      <c r="AC5" s="50" t="s">
        <v>843</v>
      </c>
    </row>
    <row r="6" spans="1:29" x14ac:dyDescent="0.3">
      <c r="A6" s="49" t="s">
        <v>705</v>
      </c>
      <c r="B6" s="49" t="s">
        <v>706</v>
      </c>
      <c r="D6" s="50" t="s">
        <v>833</v>
      </c>
      <c r="E6" s="50" t="s">
        <v>834</v>
      </c>
      <c r="H6" s="50" t="s">
        <v>835</v>
      </c>
      <c r="I6" s="50" t="s">
        <v>836</v>
      </c>
      <c r="J6" s="50" t="s">
        <v>847</v>
      </c>
      <c r="K6" s="50" t="s">
        <v>838</v>
      </c>
      <c r="M6" s="51">
        <v>1</v>
      </c>
      <c r="N6" s="50" t="s">
        <v>834</v>
      </c>
      <c r="O6" s="51">
        <v>1</v>
      </c>
      <c r="P6" s="51">
        <v>0.01</v>
      </c>
      <c r="Q6" s="51">
        <v>0</v>
      </c>
      <c r="R6" s="51">
        <v>1</v>
      </c>
      <c r="S6" s="51">
        <v>1</v>
      </c>
      <c r="T6" s="51">
        <v>1</v>
      </c>
      <c r="W6" s="50" t="s">
        <v>848</v>
      </c>
      <c r="Y6" s="50" t="s">
        <v>840</v>
      </c>
      <c r="Z6" s="50" t="s">
        <v>841</v>
      </c>
      <c r="AA6" s="50" t="s">
        <v>842</v>
      </c>
      <c r="AC6" s="50" t="s">
        <v>843</v>
      </c>
    </row>
    <row r="7" spans="1:29" x14ac:dyDescent="0.3">
      <c r="A7" s="49" t="s">
        <v>711</v>
      </c>
      <c r="B7" s="49" t="s">
        <v>712</v>
      </c>
      <c r="D7" s="50" t="s">
        <v>833</v>
      </c>
      <c r="E7" s="50" t="s">
        <v>834</v>
      </c>
      <c r="H7" s="50" t="s">
        <v>835</v>
      </c>
      <c r="I7" s="50" t="s">
        <v>836</v>
      </c>
      <c r="J7" s="50" t="s">
        <v>847</v>
      </c>
      <c r="K7" s="50" t="s">
        <v>838</v>
      </c>
      <c r="M7" s="51">
        <v>1</v>
      </c>
      <c r="N7" s="50" t="s">
        <v>834</v>
      </c>
      <c r="O7" s="51">
        <v>1</v>
      </c>
      <c r="P7" s="51">
        <v>0.01</v>
      </c>
      <c r="Q7" s="51">
        <v>0</v>
      </c>
      <c r="R7" s="51">
        <v>1</v>
      </c>
      <c r="S7" s="51">
        <v>1</v>
      </c>
      <c r="T7" s="51">
        <v>1</v>
      </c>
      <c r="W7" s="50" t="s">
        <v>849</v>
      </c>
      <c r="Y7" s="50" t="s">
        <v>840</v>
      </c>
      <c r="Z7" s="50" t="s">
        <v>841</v>
      </c>
      <c r="AA7" s="50" t="s">
        <v>842</v>
      </c>
      <c r="AC7" s="50" t="s">
        <v>843</v>
      </c>
    </row>
    <row r="8" spans="1:29" x14ac:dyDescent="0.3">
      <c r="A8" s="49" t="s">
        <v>691</v>
      </c>
      <c r="B8" s="49" t="s">
        <v>692</v>
      </c>
      <c r="D8" s="50" t="s">
        <v>833</v>
      </c>
      <c r="E8" s="50" t="s">
        <v>834</v>
      </c>
      <c r="H8" s="50" t="s">
        <v>835</v>
      </c>
      <c r="I8" s="50" t="s">
        <v>836</v>
      </c>
      <c r="J8" s="50" t="s">
        <v>837</v>
      </c>
      <c r="K8" s="50" t="s">
        <v>838</v>
      </c>
      <c r="M8" s="51">
        <v>1</v>
      </c>
      <c r="N8" s="50" t="s">
        <v>834</v>
      </c>
      <c r="O8" s="51">
        <v>1</v>
      </c>
      <c r="P8" s="51">
        <v>0.01</v>
      </c>
      <c r="Q8" s="51">
        <v>0</v>
      </c>
      <c r="R8" s="51">
        <v>1</v>
      </c>
      <c r="S8" s="51">
        <v>1</v>
      </c>
      <c r="T8" s="51">
        <v>1</v>
      </c>
      <c r="W8" s="50" t="s">
        <v>850</v>
      </c>
      <c r="Y8" s="50" t="s">
        <v>840</v>
      </c>
      <c r="Z8" s="50" t="s">
        <v>841</v>
      </c>
      <c r="AA8" s="50" t="s">
        <v>842</v>
      </c>
      <c r="AC8" s="50" t="s">
        <v>843</v>
      </c>
    </row>
    <row r="9" spans="1:29" x14ac:dyDescent="0.3">
      <c r="A9" s="49" t="s">
        <v>701</v>
      </c>
      <c r="B9" s="49" t="s">
        <v>702</v>
      </c>
      <c r="D9" s="50" t="s">
        <v>833</v>
      </c>
      <c r="E9" s="50" t="s">
        <v>834</v>
      </c>
      <c r="H9" s="50" t="s">
        <v>835</v>
      </c>
      <c r="I9" s="50" t="s">
        <v>836</v>
      </c>
      <c r="J9" s="50" t="s">
        <v>837</v>
      </c>
      <c r="K9" s="50" t="s">
        <v>838</v>
      </c>
      <c r="M9" s="51">
        <v>1</v>
      </c>
      <c r="N9" s="50" t="s">
        <v>834</v>
      </c>
      <c r="O9" s="51">
        <v>1</v>
      </c>
      <c r="P9" s="51">
        <v>0.01</v>
      </c>
      <c r="Q9" s="51">
        <v>0</v>
      </c>
      <c r="R9" s="51">
        <v>1</v>
      </c>
      <c r="S9" s="51">
        <v>1</v>
      </c>
      <c r="T9" s="51">
        <v>1</v>
      </c>
      <c r="W9" s="50" t="s">
        <v>851</v>
      </c>
      <c r="Y9" s="50" t="s">
        <v>840</v>
      </c>
      <c r="Z9" s="50" t="s">
        <v>841</v>
      </c>
      <c r="AA9" s="50" t="s">
        <v>842</v>
      </c>
      <c r="AC9" s="50" t="s">
        <v>843</v>
      </c>
    </row>
    <row r="10" spans="1:29" x14ac:dyDescent="0.3">
      <c r="A10" s="49" t="s">
        <v>707</v>
      </c>
      <c r="B10" s="49" t="s">
        <v>708</v>
      </c>
      <c r="D10" s="50" t="s">
        <v>833</v>
      </c>
      <c r="E10" s="50" t="s">
        <v>834</v>
      </c>
      <c r="H10" s="50" t="s">
        <v>835</v>
      </c>
      <c r="I10" s="50" t="s">
        <v>836</v>
      </c>
      <c r="J10" s="50" t="s">
        <v>847</v>
      </c>
      <c r="K10" s="50" t="s">
        <v>838</v>
      </c>
      <c r="M10" s="51">
        <v>1</v>
      </c>
      <c r="N10" s="50" t="s">
        <v>834</v>
      </c>
      <c r="O10" s="51">
        <v>1</v>
      </c>
      <c r="P10" s="51">
        <v>0.01</v>
      </c>
      <c r="Q10" s="51">
        <v>0</v>
      </c>
      <c r="R10" s="51">
        <v>1</v>
      </c>
      <c r="S10" s="51">
        <v>1</v>
      </c>
      <c r="T10" s="51">
        <v>1</v>
      </c>
      <c r="W10" s="50" t="s">
        <v>852</v>
      </c>
      <c r="Y10" s="50" t="s">
        <v>840</v>
      </c>
      <c r="Z10" s="50" t="s">
        <v>841</v>
      </c>
      <c r="AA10" s="50" t="s">
        <v>842</v>
      </c>
      <c r="AC10" s="50" t="s">
        <v>843</v>
      </c>
    </row>
    <row r="11" spans="1:29" x14ac:dyDescent="0.3">
      <c r="A11" s="49" t="s">
        <v>713</v>
      </c>
      <c r="B11" s="49" t="s">
        <v>714</v>
      </c>
      <c r="D11" s="50" t="s">
        <v>833</v>
      </c>
      <c r="E11" s="50" t="s">
        <v>834</v>
      </c>
      <c r="H11" s="50" t="s">
        <v>835</v>
      </c>
      <c r="I11" s="50" t="s">
        <v>836</v>
      </c>
      <c r="J11" s="50" t="s">
        <v>847</v>
      </c>
      <c r="K11" s="50" t="s">
        <v>838</v>
      </c>
      <c r="M11" s="51">
        <v>1</v>
      </c>
      <c r="N11" s="50" t="s">
        <v>834</v>
      </c>
      <c r="O11" s="51">
        <v>1</v>
      </c>
      <c r="P11" s="51">
        <v>0.01</v>
      </c>
      <c r="Q11" s="51">
        <v>0</v>
      </c>
      <c r="R11" s="51">
        <v>1</v>
      </c>
      <c r="S11" s="51">
        <v>1</v>
      </c>
      <c r="T11" s="51">
        <v>1</v>
      </c>
      <c r="W11" s="50" t="s">
        <v>853</v>
      </c>
      <c r="Y11" s="50" t="s">
        <v>840</v>
      </c>
      <c r="Z11" s="50" t="s">
        <v>841</v>
      </c>
      <c r="AA11" s="50" t="s">
        <v>842</v>
      </c>
      <c r="AC11" s="50" t="s">
        <v>843</v>
      </c>
    </row>
    <row r="12" spans="1:29" x14ac:dyDescent="0.3">
      <c r="A12" s="49" t="s">
        <v>693</v>
      </c>
      <c r="B12" s="49" t="s">
        <v>694</v>
      </c>
      <c r="D12" s="50" t="s">
        <v>833</v>
      </c>
      <c r="E12" s="50" t="s">
        <v>834</v>
      </c>
      <c r="H12" s="50" t="s">
        <v>835</v>
      </c>
      <c r="I12" s="50" t="s">
        <v>836</v>
      </c>
      <c r="J12" s="50" t="s">
        <v>837</v>
      </c>
      <c r="K12" s="50" t="s">
        <v>838</v>
      </c>
      <c r="M12" s="51">
        <v>1</v>
      </c>
      <c r="N12" s="50" t="s">
        <v>834</v>
      </c>
      <c r="O12" s="51">
        <v>1</v>
      </c>
      <c r="P12" s="51">
        <v>0.01</v>
      </c>
      <c r="Q12" s="51">
        <v>0</v>
      </c>
      <c r="R12" s="51">
        <v>1</v>
      </c>
      <c r="S12" s="51">
        <v>1</v>
      </c>
      <c r="T12" s="51">
        <v>1</v>
      </c>
      <c r="W12" s="50" t="s">
        <v>854</v>
      </c>
      <c r="Y12" s="50" t="s">
        <v>840</v>
      </c>
      <c r="Z12" s="50" t="s">
        <v>841</v>
      </c>
      <c r="AA12" s="50" t="s">
        <v>842</v>
      </c>
      <c r="AC12" s="50" t="s">
        <v>843</v>
      </c>
    </row>
    <row r="13" spans="1:29" x14ac:dyDescent="0.3">
      <c r="A13" s="49" t="s">
        <v>695</v>
      </c>
      <c r="B13" s="49" t="s">
        <v>696</v>
      </c>
      <c r="D13" s="50" t="s">
        <v>833</v>
      </c>
      <c r="E13" s="50" t="s">
        <v>834</v>
      </c>
      <c r="H13" s="50" t="s">
        <v>835</v>
      </c>
      <c r="I13" s="50" t="s">
        <v>836</v>
      </c>
      <c r="J13" s="50" t="s">
        <v>837</v>
      </c>
      <c r="K13" s="50" t="s">
        <v>838</v>
      </c>
      <c r="M13" s="51">
        <v>1</v>
      </c>
      <c r="N13" s="50" t="s">
        <v>834</v>
      </c>
      <c r="O13" s="51">
        <v>1</v>
      </c>
      <c r="P13" s="51">
        <v>0.01</v>
      </c>
      <c r="Q13" s="51">
        <v>0</v>
      </c>
      <c r="R13" s="51">
        <v>1</v>
      </c>
      <c r="S13" s="51">
        <v>1</v>
      </c>
      <c r="T13" s="51">
        <v>1</v>
      </c>
      <c r="W13" s="50" t="s">
        <v>855</v>
      </c>
      <c r="Y13" s="50" t="s">
        <v>840</v>
      </c>
      <c r="Z13" s="50" t="s">
        <v>841</v>
      </c>
      <c r="AA13" s="50" t="s">
        <v>842</v>
      </c>
      <c r="AC13" s="50" t="s">
        <v>843</v>
      </c>
    </row>
    <row r="14" spans="1:29" x14ac:dyDescent="0.3">
      <c r="A14" s="49" t="s">
        <v>703</v>
      </c>
      <c r="B14" s="49" t="s">
        <v>704</v>
      </c>
      <c r="D14" s="50" t="s">
        <v>833</v>
      </c>
      <c r="E14" s="50" t="s">
        <v>834</v>
      </c>
      <c r="H14" s="50" t="s">
        <v>835</v>
      </c>
      <c r="I14" s="50" t="s">
        <v>836</v>
      </c>
      <c r="J14" s="50" t="s">
        <v>837</v>
      </c>
      <c r="K14" s="50" t="s">
        <v>838</v>
      </c>
      <c r="M14" s="51">
        <v>1</v>
      </c>
      <c r="N14" s="50" t="s">
        <v>834</v>
      </c>
      <c r="O14" s="51">
        <v>1</v>
      </c>
      <c r="P14" s="51">
        <v>0.01</v>
      </c>
      <c r="Q14" s="51">
        <v>0</v>
      </c>
      <c r="R14" s="51">
        <v>1</v>
      </c>
      <c r="S14" s="51">
        <v>1</v>
      </c>
      <c r="T14" s="51">
        <v>1</v>
      </c>
      <c r="W14" s="50" t="s">
        <v>856</v>
      </c>
      <c r="Y14" s="50" t="s">
        <v>840</v>
      </c>
      <c r="Z14" s="50" t="s">
        <v>841</v>
      </c>
      <c r="AA14" s="50" t="s">
        <v>842</v>
      </c>
      <c r="AC14" s="50" t="s">
        <v>843</v>
      </c>
    </row>
    <row r="15" spans="1:29" x14ac:dyDescent="0.3">
      <c r="A15" s="49" t="s">
        <v>709</v>
      </c>
      <c r="B15" s="49" t="s">
        <v>710</v>
      </c>
      <c r="D15" s="50" t="s">
        <v>833</v>
      </c>
      <c r="E15" s="50" t="s">
        <v>834</v>
      </c>
      <c r="H15" s="50" t="s">
        <v>835</v>
      </c>
      <c r="I15" s="50" t="s">
        <v>836</v>
      </c>
      <c r="J15" s="50" t="s">
        <v>847</v>
      </c>
      <c r="K15" s="50" t="s">
        <v>838</v>
      </c>
      <c r="M15" s="51">
        <v>1</v>
      </c>
      <c r="N15" s="50" t="s">
        <v>834</v>
      </c>
      <c r="O15" s="51">
        <v>1</v>
      </c>
      <c r="P15" s="51">
        <v>0.01</v>
      </c>
      <c r="Q15" s="51">
        <v>0</v>
      </c>
      <c r="R15" s="51">
        <v>1</v>
      </c>
      <c r="S15" s="51">
        <v>1</v>
      </c>
      <c r="T15" s="51">
        <v>1</v>
      </c>
      <c r="W15" s="50" t="s">
        <v>857</v>
      </c>
      <c r="Y15" s="50" t="s">
        <v>840</v>
      </c>
      <c r="Z15" s="50" t="s">
        <v>841</v>
      </c>
      <c r="AA15" s="50" t="s">
        <v>842</v>
      </c>
      <c r="AC15" s="50" t="s">
        <v>843</v>
      </c>
    </row>
    <row r="16" spans="1:29" x14ac:dyDescent="0.3">
      <c r="A16" s="49" t="s">
        <v>715</v>
      </c>
      <c r="B16" s="49" t="s">
        <v>716</v>
      </c>
      <c r="D16" s="50" t="s">
        <v>833</v>
      </c>
      <c r="E16" s="50" t="s">
        <v>834</v>
      </c>
      <c r="H16" s="50" t="s">
        <v>835</v>
      </c>
      <c r="I16" s="50" t="s">
        <v>836</v>
      </c>
      <c r="J16" s="50" t="s">
        <v>847</v>
      </c>
      <c r="K16" s="50" t="s">
        <v>838</v>
      </c>
      <c r="M16" s="51">
        <v>1</v>
      </c>
      <c r="N16" s="50" t="s">
        <v>834</v>
      </c>
      <c r="O16" s="51">
        <v>1</v>
      </c>
      <c r="P16" s="51">
        <v>0.01</v>
      </c>
      <c r="Q16" s="51">
        <v>0</v>
      </c>
      <c r="R16" s="51">
        <v>1</v>
      </c>
      <c r="S16" s="51">
        <v>1</v>
      </c>
      <c r="T16" s="51">
        <v>1</v>
      </c>
      <c r="W16" s="50" t="s">
        <v>858</v>
      </c>
      <c r="Y16" s="50" t="s">
        <v>840</v>
      </c>
      <c r="Z16" s="50" t="s">
        <v>841</v>
      </c>
      <c r="AA16" s="50" t="s">
        <v>842</v>
      </c>
      <c r="AC16" s="50" t="s">
        <v>843</v>
      </c>
    </row>
    <row r="17" spans="1:29" x14ac:dyDescent="0.3">
      <c r="A17" s="49" t="s">
        <v>727</v>
      </c>
      <c r="B17" s="49" t="s">
        <v>728</v>
      </c>
      <c r="D17" s="50" t="s">
        <v>833</v>
      </c>
      <c r="E17" s="50" t="s">
        <v>834</v>
      </c>
      <c r="H17" s="50" t="s">
        <v>835</v>
      </c>
      <c r="I17" s="50" t="s">
        <v>836</v>
      </c>
      <c r="J17" s="50" t="s">
        <v>837</v>
      </c>
      <c r="K17" s="50" t="s">
        <v>838</v>
      </c>
      <c r="L17" s="50" t="s">
        <v>859</v>
      </c>
      <c r="M17" s="51">
        <v>6</v>
      </c>
      <c r="N17" s="50" t="s">
        <v>834</v>
      </c>
      <c r="O17" s="51">
        <v>1</v>
      </c>
      <c r="P17" s="51">
        <v>76.3</v>
      </c>
      <c r="Q17" s="51">
        <v>0</v>
      </c>
      <c r="R17" s="51">
        <v>1</v>
      </c>
      <c r="S17" s="51">
        <v>1</v>
      </c>
      <c r="T17" s="51">
        <v>1</v>
      </c>
      <c r="U17" s="50" t="s">
        <v>860</v>
      </c>
      <c r="W17" s="50" t="s">
        <v>861</v>
      </c>
      <c r="Y17" s="50" t="s">
        <v>840</v>
      </c>
      <c r="Z17" s="50" t="s">
        <v>841</v>
      </c>
      <c r="AA17" s="50" t="s">
        <v>842</v>
      </c>
      <c r="AC17" s="50" t="s">
        <v>843</v>
      </c>
    </row>
    <row r="18" spans="1:29" x14ac:dyDescent="0.3">
      <c r="A18" s="49" t="s">
        <v>717</v>
      </c>
      <c r="B18" s="49" t="s">
        <v>718</v>
      </c>
      <c r="D18" s="50" t="s">
        <v>833</v>
      </c>
      <c r="E18" s="50" t="s">
        <v>834</v>
      </c>
      <c r="H18" s="50" t="s">
        <v>835</v>
      </c>
      <c r="I18" s="50" t="s">
        <v>836</v>
      </c>
      <c r="J18" s="50" t="s">
        <v>837</v>
      </c>
      <c r="K18" s="50" t="s">
        <v>838</v>
      </c>
      <c r="L18" s="50" t="s">
        <v>859</v>
      </c>
      <c r="M18" s="51">
        <v>6</v>
      </c>
      <c r="N18" s="50" t="s">
        <v>834</v>
      </c>
      <c r="O18" s="51">
        <v>1</v>
      </c>
      <c r="P18" s="51">
        <v>69.3</v>
      </c>
      <c r="Q18" s="51">
        <v>0</v>
      </c>
      <c r="R18" s="51">
        <v>1</v>
      </c>
      <c r="S18" s="51">
        <v>1</v>
      </c>
      <c r="T18" s="51">
        <v>1</v>
      </c>
      <c r="U18" s="50" t="s">
        <v>860</v>
      </c>
      <c r="W18" s="50" t="s">
        <v>862</v>
      </c>
      <c r="Y18" s="50" t="s">
        <v>840</v>
      </c>
      <c r="Z18" s="50" t="s">
        <v>841</v>
      </c>
      <c r="AA18" s="50" t="s">
        <v>842</v>
      </c>
      <c r="AC18" s="50" t="s">
        <v>843</v>
      </c>
    </row>
    <row r="19" spans="1:29" x14ac:dyDescent="0.3">
      <c r="A19" s="49" t="s">
        <v>745</v>
      </c>
      <c r="B19" s="49" t="s">
        <v>746</v>
      </c>
      <c r="D19" s="50" t="s">
        <v>833</v>
      </c>
      <c r="E19" s="50" t="s">
        <v>834</v>
      </c>
      <c r="H19" s="50" t="s">
        <v>835</v>
      </c>
      <c r="I19" s="50" t="s">
        <v>836</v>
      </c>
      <c r="J19" s="50" t="s">
        <v>837</v>
      </c>
      <c r="K19" s="50" t="s">
        <v>838</v>
      </c>
      <c r="L19" s="50" t="s">
        <v>859</v>
      </c>
      <c r="M19" s="51">
        <v>6</v>
      </c>
      <c r="N19" s="50" t="s">
        <v>834</v>
      </c>
      <c r="O19" s="51">
        <v>1</v>
      </c>
      <c r="P19" s="51">
        <v>73.599999999999994</v>
      </c>
      <c r="Q19" s="51">
        <v>0</v>
      </c>
      <c r="R19" s="51">
        <v>1</v>
      </c>
      <c r="S19" s="51">
        <v>1</v>
      </c>
      <c r="T19" s="51">
        <v>1</v>
      </c>
      <c r="U19" s="50" t="s">
        <v>860</v>
      </c>
      <c r="W19" s="50" t="s">
        <v>863</v>
      </c>
      <c r="Y19" s="50" t="s">
        <v>840</v>
      </c>
      <c r="Z19" s="50" t="s">
        <v>841</v>
      </c>
      <c r="AA19" s="50" t="s">
        <v>842</v>
      </c>
      <c r="AC19" s="50" t="s">
        <v>843</v>
      </c>
    </row>
    <row r="20" spans="1:29" x14ac:dyDescent="0.3">
      <c r="A20" s="49" t="s">
        <v>737</v>
      </c>
      <c r="B20" s="49" t="s">
        <v>738</v>
      </c>
      <c r="D20" s="50" t="s">
        <v>833</v>
      </c>
      <c r="E20" s="50" t="s">
        <v>834</v>
      </c>
      <c r="H20" s="50" t="s">
        <v>835</v>
      </c>
      <c r="I20" s="50" t="s">
        <v>836</v>
      </c>
      <c r="J20" s="50" t="s">
        <v>837</v>
      </c>
      <c r="K20" s="50" t="s">
        <v>838</v>
      </c>
      <c r="L20" s="50" t="s">
        <v>859</v>
      </c>
      <c r="M20" s="51">
        <v>6</v>
      </c>
      <c r="N20" s="50" t="s">
        <v>834</v>
      </c>
      <c r="O20" s="51">
        <v>1</v>
      </c>
      <c r="P20" s="51">
        <v>66.7</v>
      </c>
      <c r="Q20" s="51">
        <v>0</v>
      </c>
      <c r="R20" s="51">
        <v>1</v>
      </c>
      <c r="S20" s="51">
        <v>1</v>
      </c>
      <c r="T20" s="51">
        <v>1</v>
      </c>
      <c r="U20" s="50" t="s">
        <v>860</v>
      </c>
      <c r="W20" s="50" t="s">
        <v>864</v>
      </c>
      <c r="Y20" s="50" t="s">
        <v>840</v>
      </c>
      <c r="Z20" s="50" t="s">
        <v>841</v>
      </c>
      <c r="AA20" s="50" t="s">
        <v>842</v>
      </c>
      <c r="AC20" s="50" t="s">
        <v>843</v>
      </c>
    </row>
    <row r="21" spans="1:29" x14ac:dyDescent="0.3">
      <c r="A21" s="49" t="s">
        <v>729</v>
      </c>
      <c r="B21" s="49" t="s">
        <v>730</v>
      </c>
      <c r="D21" s="50" t="s">
        <v>833</v>
      </c>
      <c r="E21" s="50" t="s">
        <v>834</v>
      </c>
      <c r="H21" s="50" t="s">
        <v>835</v>
      </c>
      <c r="I21" s="50" t="s">
        <v>836</v>
      </c>
      <c r="J21" s="50" t="s">
        <v>837</v>
      </c>
      <c r="K21" s="50" t="s">
        <v>838</v>
      </c>
      <c r="L21" s="50" t="s">
        <v>859</v>
      </c>
      <c r="M21" s="51">
        <v>6</v>
      </c>
      <c r="N21" s="50" t="s">
        <v>834</v>
      </c>
      <c r="O21" s="51">
        <v>1</v>
      </c>
      <c r="P21" s="51">
        <v>113.7</v>
      </c>
      <c r="Q21" s="51">
        <v>0</v>
      </c>
      <c r="R21" s="51">
        <v>1</v>
      </c>
      <c r="S21" s="51">
        <v>1</v>
      </c>
      <c r="T21" s="51">
        <v>1</v>
      </c>
      <c r="U21" s="50" t="s">
        <v>860</v>
      </c>
      <c r="W21" s="50" t="s">
        <v>865</v>
      </c>
      <c r="Y21" s="50" t="s">
        <v>840</v>
      </c>
      <c r="Z21" s="50" t="s">
        <v>841</v>
      </c>
      <c r="AA21" s="50" t="s">
        <v>842</v>
      </c>
      <c r="AC21" s="50" t="s">
        <v>843</v>
      </c>
    </row>
    <row r="22" spans="1:29" x14ac:dyDescent="0.3">
      <c r="A22" s="49" t="s">
        <v>719</v>
      </c>
      <c r="B22" s="49" t="s">
        <v>720</v>
      </c>
      <c r="D22" s="50" t="s">
        <v>833</v>
      </c>
      <c r="E22" s="50" t="s">
        <v>834</v>
      </c>
      <c r="H22" s="50" t="s">
        <v>835</v>
      </c>
      <c r="I22" s="50" t="s">
        <v>836</v>
      </c>
      <c r="J22" s="50" t="s">
        <v>837</v>
      </c>
      <c r="K22" s="50" t="s">
        <v>838</v>
      </c>
      <c r="L22" s="50" t="s">
        <v>859</v>
      </c>
      <c r="M22" s="51">
        <v>6</v>
      </c>
      <c r="N22" s="50" t="s">
        <v>834</v>
      </c>
      <c r="O22" s="51">
        <v>1</v>
      </c>
      <c r="P22" s="51">
        <v>101.1</v>
      </c>
      <c r="Q22" s="51">
        <v>0</v>
      </c>
      <c r="R22" s="51">
        <v>1</v>
      </c>
      <c r="S22" s="51">
        <v>1</v>
      </c>
      <c r="T22" s="51">
        <v>1</v>
      </c>
      <c r="U22" s="50" t="s">
        <v>860</v>
      </c>
      <c r="W22" s="50" t="s">
        <v>866</v>
      </c>
      <c r="Y22" s="50" t="s">
        <v>840</v>
      </c>
      <c r="Z22" s="50" t="s">
        <v>841</v>
      </c>
      <c r="AA22" s="50" t="s">
        <v>842</v>
      </c>
      <c r="AC22" s="50" t="s">
        <v>843</v>
      </c>
    </row>
    <row r="23" spans="1:29" x14ac:dyDescent="0.3">
      <c r="A23" s="49" t="s">
        <v>747</v>
      </c>
      <c r="B23" s="49" t="s">
        <v>748</v>
      </c>
      <c r="D23" s="50" t="s">
        <v>833</v>
      </c>
      <c r="E23" s="50" t="s">
        <v>834</v>
      </c>
      <c r="H23" s="50" t="s">
        <v>835</v>
      </c>
      <c r="I23" s="50" t="s">
        <v>836</v>
      </c>
      <c r="J23" s="50" t="s">
        <v>837</v>
      </c>
      <c r="K23" s="50" t="s">
        <v>838</v>
      </c>
      <c r="L23" s="50" t="s">
        <v>859</v>
      </c>
      <c r="M23" s="51">
        <v>6</v>
      </c>
      <c r="N23" s="50" t="s">
        <v>834</v>
      </c>
      <c r="O23" s="51">
        <v>1</v>
      </c>
      <c r="P23" s="51">
        <v>98.8</v>
      </c>
      <c r="Q23" s="51">
        <v>0</v>
      </c>
      <c r="R23" s="51">
        <v>1</v>
      </c>
      <c r="S23" s="51">
        <v>1</v>
      </c>
      <c r="T23" s="51">
        <v>1</v>
      </c>
      <c r="U23" s="50" t="s">
        <v>860</v>
      </c>
      <c r="W23" s="50" t="s">
        <v>867</v>
      </c>
      <c r="Y23" s="50" t="s">
        <v>840</v>
      </c>
      <c r="Z23" s="50" t="s">
        <v>841</v>
      </c>
      <c r="AA23" s="50" t="s">
        <v>842</v>
      </c>
      <c r="AC23" s="50" t="s">
        <v>843</v>
      </c>
    </row>
    <row r="24" spans="1:29" x14ac:dyDescent="0.3">
      <c r="A24" s="49" t="s">
        <v>739</v>
      </c>
      <c r="B24" s="49" t="s">
        <v>740</v>
      </c>
      <c r="D24" s="50" t="s">
        <v>833</v>
      </c>
      <c r="E24" s="50" t="s">
        <v>834</v>
      </c>
      <c r="H24" s="50" t="s">
        <v>835</v>
      </c>
      <c r="I24" s="50" t="s">
        <v>836</v>
      </c>
      <c r="J24" s="50" t="s">
        <v>837</v>
      </c>
      <c r="K24" s="50" t="s">
        <v>838</v>
      </c>
      <c r="L24" s="50" t="s">
        <v>859</v>
      </c>
      <c r="M24" s="51">
        <v>6</v>
      </c>
      <c r="N24" s="50" t="s">
        <v>834</v>
      </c>
      <c r="O24" s="51">
        <v>1</v>
      </c>
      <c r="P24" s="51">
        <v>86.5</v>
      </c>
      <c r="Q24" s="51">
        <v>0</v>
      </c>
      <c r="R24" s="51">
        <v>1</v>
      </c>
      <c r="S24" s="51">
        <v>1</v>
      </c>
      <c r="T24" s="51">
        <v>1</v>
      </c>
      <c r="U24" s="50" t="s">
        <v>860</v>
      </c>
      <c r="W24" s="50" t="s">
        <v>868</v>
      </c>
      <c r="Y24" s="50" t="s">
        <v>840</v>
      </c>
      <c r="Z24" s="50" t="s">
        <v>841</v>
      </c>
      <c r="AA24" s="50" t="s">
        <v>842</v>
      </c>
      <c r="AC24" s="50" t="s">
        <v>843</v>
      </c>
    </row>
    <row r="25" spans="1:29" x14ac:dyDescent="0.3">
      <c r="A25" s="50" t="s">
        <v>869</v>
      </c>
      <c r="B25" s="50" t="s">
        <v>870</v>
      </c>
      <c r="D25" s="50" t="s">
        <v>833</v>
      </c>
      <c r="E25" s="50" t="s">
        <v>834</v>
      </c>
      <c r="H25" s="50" t="s">
        <v>835</v>
      </c>
      <c r="I25" s="50" t="s">
        <v>836</v>
      </c>
      <c r="J25" s="50" t="s">
        <v>837</v>
      </c>
      <c r="K25" s="50" t="s">
        <v>838</v>
      </c>
      <c r="M25" s="51">
        <v>1</v>
      </c>
      <c r="N25" s="50" t="s">
        <v>834</v>
      </c>
      <c r="O25" s="51">
        <v>1</v>
      </c>
      <c r="P25" s="51">
        <v>0.01</v>
      </c>
      <c r="Q25" s="51">
        <v>0</v>
      </c>
      <c r="R25" s="51">
        <v>1</v>
      </c>
      <c r="S25" s="51">
        <v>1</v>
      </c>
      <c r="T25" s="51">
        <v>1</v>
      </c>
      <c r="W25" s="50" t="s">
        <v>871</v>
      </c>
      <c r="Y25" s="50" t="s">
        <v>840</v>
      </c>
      <c r="Z25" s="50" t="s">
        <v>841</v>
      </c>
      <c r="AA25" s="50" t="s">
        <v>842</v>
      </c>
      <c r="AC25" s="50" t="s">
        <v>843</v>
      </c>
    </row>
    <row r="26" spans="1:29" x14ac:dyDescent="0.3">
      <c r="A26" s="50" t="s">
        <v>872</v>
      </c>
      <c r="B26" s="50" t="s">
        <v>873</v>
      </c>
      <c r="D26" s="50" t="s">
        <v>833</v>
      </c>
      <c r="E26" s="50" t="s">
        <v>834</v>
      </c>
      <c r="H26" s="50" t="s">
        <v>835</v>
      </c>
      <c r="I26" s="50" t="s">
        <v>836</v>
      </c>
      <c r="J26" s="50" t="s">
        <v>837</v>
      </c>
      <c r="K26" s="50" t="s">
        <v>874</v>
      </c>
      <c r="M26" s="51">
        <v>1</v>
      </c>
      <c r="N26" s="50" t="s">
        <v>834</v>
      </c>
      <c r="O26" s="51">
        <v>1</v>
      </c>
      <c r="P26" s="51">
        <v>0.01</v>
      </c>
      <c r="Q26" s="51">
        <v>0</v>
      </c>
      <c r="R26" s="51">
        <v>1</v>
      </c>
      <c r="S26" s="51">
        <v>1</v>
      </c>
      <c r="T26" s="51">
        <v>1</v>
      </c>
      <c r="W26" s="50" t="s">
        <v>875</v>
      </c>
      <c r="Y26" s="50" t="s">
        <v>840</v>
      </c>
      <c r="Z26" s="50" t="s">
        <v>841</v>
      </c>
      <c r="AA26" s="50" t="s">
        <v>842</v>
      </c>
      <c r="AC26" s="50" t="s">
        <v>843</v>
      </c>
    </row>
    <row r="27" spans="1:29" x14ac:dyDescent="0.3">
      <c r="A27" s="49" t="s">
        <v>756</v>
      </c>
      <c r="B27" s="49" t="s">
        <v>448</v>
      </c>
      <c r="D27" s="50" t="s">
        <v>833</v>
      </c>
      <c r="E27" s="50" t="s">
        <v>834</v>
      </c>
      <c r="H27" s="50" t="s">
        <v>835</v>
      </c>
      <c r="I27" s="50" t="s">
        <v>836</v>
      </c>
      <c r="J27" s="50" t="s">
        <v>837</v>
      </c>
      <c r="K27" s="50" t="s">
        <v>838</v>
      </c>
      <c r="L27" s="50" t="s">
        <v>859</v>
      </c>
      <c r="M27" s="51">
        <v>6</v>
      </c>
      <c r="N27" s="50" t="s">
        <v>834</v>
      </c>
      <c r="O27" s="51">
        <v>1</v>
      </c>
      <c r="P27" s="51">
        <v>98.8</v>
      </c>
      <c r="Q27" s="51">
        <v>0</v>
      </c>
      <c r="R27" s="51">
        <v>1</v>
      </c>
      <c r="S27" s="51">
        <v>1</v>
      </c>
      <c r="T27" s="51">
        <v>1</v>
      </c>
      <c r="U27" s="50" t="s">
        <v>860</v>
      </c>
      <c r="W27" s="50" t="s">
        <v>876</v>
      </c>
      <c r="Y27" s="50" t="s">
        <v>840</v>
      </c>
      <c r="Z27" s="50" t="s">
        <v>841</v>
      </c>
      <c r="AA27" s="50" t="s">
        <v>842</v>
      </c>
      <c r="AC27" s="50" t="s">
        <v>843</v>
      </c>
    </row>
    <row r="28" spans="1:29" x14ac:dyDescent="0.3">
      <c r="A28" s="49" t="s">
        <v>753</v>
      </c>
      <c r="B28" s="49" t="s">
        <v>572</v>
      </c>
      <c r="D28" s="50" t="s">
        <v>833</v>
      </c>
      <c r="E28" s="50" t="s">
        <v>834</v>
      </c>
      <c r="H28" s="50" t="s">
        <v>835</v>
      </c>
      <c r="I28" s="50" t="s">
        <v>836</v>
      </c>
      <c r="J28" s="50" t="s">
        <v>837</v>
      </c>
      <c r="K28" s="50" t="s">
        <v>838</v>
      </c>
      <c r="L28" s="50" t="s">
        <v>859</v>
      </c>
      <c r="M28" s="51">
        <v>6</v>
      </c>
      <c r="N28" s="50" t="s">
        <v>834</v>
      </c>
      <c r="O28" s="51">
        <v>1</v>
      </c>
      <c r="P28" s="51">
        <v>86.5</v>
      </c>
      <c r="Q28" s="51">
        <v>0</v>
      </c>
      <c r="R28" s="51">
        <v>1</v>
      </c>
      <c r="S28" s="51">
        <v>1</v>
      </c>
      <c r="T28" s="51">
        <v>1</v>
      </c>
      <c r="U28" s="50" t="s">
        <v>860</v>
      </c>
      <c r="W28" s="50" t="s">
        <v>877</v>
      </c>
      <c r="Y28" s="50" t="s">
        <v>840</v>
      </c>
      <c r="Z28" s="50" t="s">
        <v>841</v>
      </c>
      <c r="AA28" s="50" t="s">
        <v>842</v>
      </c>
      <c r="AC28" s="50" t="s">
        <v>843</v>
      </c>
    </row>
    <row r="29" spans="1:29" x14ac:dyDescent="0.3">
      <c r="A29" s="49" t="s">
        <v>765</v>
      </c>
      <c r="B29" s="49" t="s">
        <v>574</v>
      </c>
      <c r="D29" s="50" t="s">
        <v>833</v>
      </c>
      <c r="E29" s="50" t="s">
        <v>834</v>
      </c>
      <c r="H29" s="50" t="s">
        <v>835</v>
      </c>
      <c r="I29" s="50" t="s">
        <v>836</v>
      </c>
      <c r="J29" s="50" t="s">
        <v>837</v>
      </c>
      <c r="K29" s="50" t="s">
        <v>838</v>
      </c>
      <c r="L29" s="50" t="s">
        <v>859</v>
      </c>
      <c r="M29" s="51">
        <v>6</v>
      </c>
      <c r="N29" s="50" t="s">
        <v>834</v>
      </c>
      <c r="O29" s="51">
        <v>1</v>
      </c>
      <c r="P29" s="51">
        <v>113.7</v>
      </c>
      <c r="Q29" s="51">
        <v>0</v>
      </c>
      <c r="R29" s="51">
        <v>1</v>
      </c>
      <c r="S29" s="51">
        <v>1</v>
      </c>
      <c r="T29" s="51">
        <v>1</v>
      </c>
      <c r="U29" s="50" t="s">
        <v>860</v>
      </c>
      <c r="W29" s="50" t="s">
        <v>878</v>
      </c>
      <c r="Y29" s="50" t="s">
        <v>840</v>
      </c>
      <c r="Z29" s="50" t="s">
        <v>841</v>
      </c>
      <c r="AA29" s="50" t="s">
        <v>842</v>
      </c>
      <c r="AC29" s="50" t="s">
        <v>843</v>
      </c>
    </row>
    <row r="30" spans="1:29" x14ac:dyDescent="0.3">
      <c r="A30" s="49" t="s">
        <v>759</v>
      </c>
      <c r="B30" s="49" t="s">
        <v>760</v>
      </c>
      <c r="D30" s="50" t="s">
        <v>833</v>
      </c>
      <c r="E30" s="50" t="s">
        <v>834</v>
      </c>
      <c r="H30" s="50" t="s">
        <v>835</v>
      </c>
      <c r="I30" s="50" t="s">
        <v>836</v>
      </c>
      <c r="J30" s="50" t="s">
        <v>837</v>
      </c>
      <c r="K30" s="50" t="s">
        <v>838</v>
      </c>
      <c r="L30" s="50" t="s">
        <v>859</v>
      </c>
      <c r="M30" s="51">
        <v>6</v>
      </c>
      <c r="N30" s="50" t="s">
        <v>834</v>
      </c>
      <c r="O30" s="51">
        <v>1</v>
      </c>
      <c r="P30" s="51">
        <v>101.1</v>
      </c>
      <c r="Q30" s="51">
        <v>0</v>
      </c>
      <c r="R30" s="51">
        <v>1</v>
      </c>
      <c r="S30" s="51">
        <v>1</v>
      </c>
      <c r="T30" s="51">
        <v>1</v>
      </c>
      <c r="U30" s="50" t="s">
        <v>860</v>
      </c>
      <c r="W30" s="50" t="s">
        <v>879</v>
      </c>
      <c r="Y30" s="50" t="s">
        <v>840</v>
      </c>
      <c r="Z30" s="50" t="s">
        <v>841</v>
      </c>
      <c r="AA30" s="50" t="s">
        <v>842</v>
      </c>
      <c r="AC30" s="50" t="s">
        <v>843</v>
      </c>
    </row>
    <row r="31" spans="1:29" x14ac:dyDescent="0.3">
      <c r="A31" s="49" t="s">
        <v>731</v>
      </c>
      <c r="B31" s="49" t="s">
        <v>732</v>
      </c>
      <c r="D31" s="50" t="s">
        <v>833</v>
      </c>
      <c r="E31" s="50" t="s">
        <v>834</v>
      </c>
      <c r="H31" s="50" t="s">
        <v>835</v>
      </c>
      <c r="I31" s="50" t="s">
        <v>836</v>
      </c>
      <c r="J31" s="50" t="s">
        <v>837</v>
      </c>
      <c r="K31" s="50" t="s">
        <v>838</v>
      </c>
      <c r="L31" s="50" t="s">
        <v>859</v>
      </c>
      <c r="M31" s="51">
        <v>6</v>
      </c>
      <c r="N31" s="50" t="s">
        <v>834</v>
      </c>
      <c r="O31" s="51">
        <v>1</v>
      </c>
      <c r="P31" s="51">
        <v>113.7</v>
      </c>
      <c r="Q31" s="51">
        <v>0</v>
      </c>
      <c r="R31" s="51">
        <v>1</v>
      </c>
      <c r="S31" s="51">
        <v>1</v>
      </c>
      <c r="T31" s="51">
        <v>1</v>
      </c>
      <c r="U31" s="50" t="s">
        <v>860</v>
      </c>
      <c r="W31" s="50" t="s">
        <v>880</v>
      </c>
      <c r="Y31" s="50" t="s">
        <v>840</v>
      </c>
      <c r="Z31" s="50" t="s">
        <v>841</v>
      </c>
      <c r="AA31" s="50" t="s">
        <v>842</v>
      </c>
      <c r="AC31" s="50" t="s">
        <v>843</v>
      </c>
    </row>
    <row r="32" spans="1:29" x14ac:dyDescent="0.3">
      <c r="A32" s="49" t="s">
        <v>721</v>
      </c>
      <c r="B32" s="49" t="s">
        <v>722</v>
      </c>
      <c r="D32" s="50" t="s">
        <v>833</v>
      </c>
      <c r="E32" s="50" t="s">
        <v>834</v>
      </c>
      <c r="H32" s="50" t="s">
        <v>835</v>
      </c>
      <c r="I32" s="50" t="s">
        <v>836</v>
      </c>
      <c r="J32" s="50" t="s">
        <v>837</v>
      </c>
      <c r="K32" s="50" t="s">
        <v>838</v>
      </c>
      <c r="L32" s="50" t="s">
        <v>859</v>
      </c>
      <c r="M32" s="51">
        <v>6</v>
      </c>
      <c r="N32" s="50" t="s">
        <v>834</v>
      </c>
      <c r="O32" s="51">
        <v>1</v>
      </c>
      <c r="P32" s="51">
        <v>111.9</v>
      </c>
      <c r="Q32" s="51">
        <v>0</v>
      </c>
      <c r="R32" s="51">
        <v>1</v>
      </c>
      <c r="S32" s="51">
        <v>1</v>
      </c>
      <c r="T32" s="51">
        <v>1</v>
      </c>
      <c r="U32" s="50" t="s">
        <v>860</v>
      </c>
      <c r="W32" s="50" t="s">
        <v>881</v>
      </c>
      <c r="Y32" s="50" t="s">
        <v>840</v>
      </c>
      <c r="Z32" s="50" t="s">
        <v>841</v>
      </c>
      <c r="AA32" s="50" t="s">
        <v>842</v>
      </c>
      <c r="AC32" s="50" t="s">
        <v>843</v>
      </c>
    </row>
    <row r="33" spans="1:29" x14ac:dyDescent="0.3">
      <c r="A33" s="49" t="s">
        <v>749</v>
      </c>
      <c r="B33" s="49" t="s">
        <v>750</v>
      </c>
      <c r="D33" s="50" t="s">
        <v>833</v>
      </c>
      <c r="E33" s="50" t="s">
        <v>834</v>
      </c>
      <c r="H33" s="50" t="s">
        <v>835</v>
      </c>
      <c r="I33" s="50" t="s">
        <v>836</v>
      </c>
      <c r="J33" s="50" t="s">
        <v>837</v>
      </c>
      <c r="K33" s="50" t="s">
        <v>838</v>
      </c>
      <c r="L33" s="50" t="s">
        <v>859</v>
      </c>
      <c r="M33" s="51">
        <v>6</v>
      </c>
      <c r="N33" s="50" t="s">
        <v>834</v>
      </c>
      <c r="O33" s="51">
        <v>1</v>
      </c>
      <c r="P33" s="51">
        <v>108.2</v>
      </c>
      <c r="Q33" s="51">
        <v>0</v>
      </c>
      <c r="R33" s="51">
        <v>1</v>
      </c>
      <c r="S33" s="51">
        <v>1</v>
      </c>
      <c r="T33" s="51">
        <v>1</v>
      </c>
      <c r="U33" s="50" t="s">
        <v>860</v>
      </c>
      <c r="W33" s="50" t="s">
        <v>882</v>
      </c>
      <c r="Y33" s="50" t="s">
        <v>840</v>
      </c>
      <c r="Z33" s="50" t="s">
        <v>841</v>
      </c>
      <c r="AA33" s="50" t="s">
        <v>842</v>
      </c>
      <c r="AC33" s="50" t="s">
        <v>843</v>
      </c>
    </row>
    <row r="34" spans="1:29" x14ac:dyDescent="0.3">
      <c r="A34" s="49" t="s">
        <v>741</v>
      </c>
      <c r="B34" s="49" t="s">
        <v>742</v>
      </c>
      <c r="D34" s="50" t="s">
        <v>833</v>
      </c>
      <c r="E34" s="50" t="s">
        <v>834</v>
      </c>
      <c r="H34" s="50" t="s">
        <v>835</v>
      </c>
      <c r="I34" s="50" t="s">
        <v>836</v>
      </c>
      <c r="J34" s="50" t="s">
        <v>837</v>
      </c>
      <c r="K34" s="50" t="s">
        <v>838</v>
      </c>
      <c r="L34" s="50" t="s">
        <v>859</v>
      </c>
      <c r="M34" s="51">
        <v>6</v>
      </c>
      <c r="N34" s="50" t="s">
        <v>834</v>
      </c>
      <c r="O34" s="51">
        <v>1</v>
      </c>
      <c r="P34" s="51">
        <v>95.1</v>
      </c>
      <c r="Q34" s="51">
        <v>0</v>
      </c>
      <c r="R34" s="51">
        <v>1</v>
      </c>
      <c r="S34" s="51">
        <v>1</v>
      </c>
      <c r="T34" s="51">
        <v>1</v>
      </c>
      <c r="U34" s="50" t="s">
        <v>860</v>
      </c>
      <c r="W34" s="50" t="s">
        <v>883</v>
      </c>
      <c r="Y34" s="50" t="s">
        <v>840</v>
      </c>
      <c r="Z34" s="50" t="s">
        <v>841</v>
      </c>
      <c r="AA34" s="50" t="s">
        <v>842</v>
      </c>
      <c r="AC34" s="50" t="s">
        <v>843</v>
      </c>
    </row>
    <row r="35" spans="1:29" x14ac:dyDescent="0.3">
      <c r="A35" s="49" t="s">
        <v>757</v>
      </c>
      <c r="B35" s="49" t="s">
        <v>450</v>
      </c>
      <c r="D35" s="50" t="s">
        <v>833</v>
      </c>
      <c r="E35" s="50" t="s">
        <v>834</v>
      </c>
      <c r="H35" s="50" t="s">
        <v>835</v>
      </c>
      <c r="I35" s="50" t="s">
        <v>836</v>
      </c>
      <c r="J35" s="50" t="s">
        <v>837</v>
      </c>
      <c r="K35" s="50" t="s">
        <v>838</v>
      </c>
      <c r="L35" s="50" t="s">
        <v>859</v>
      </c>
      <c r="M35" s="51">
        <v>6</v>
      </c>
      <c r="N35" s="50" t="s">
        <v>834</v>
      </c>
      <c r="O35" s="51">
        <v>1</v>
      </c>
      <c r="P35" s="51">
        <v>108.2</v>
      </c>
      <c r="Q35" s="51">
        <v>0</v>
      </c>
      <c r="R35" s="51">
        <v>1</v>
      </c>
      <c r="S35" s="51">
        <v>1</v>
      </c>
      <c r="T35" s="51">
        <v>1</v>
      </c>
      <c r="U35" s="50" t="s">
        <v>860</v>
      </c>
      <c r="W35" s="50" t="s">
        <v>884</v>
      </c>
      <c r="Y35" s="50" t="s">
        <v>840</v>
      </c>
      <c r="Z35" s="50" t="s">
        <v>841</v>
      </c>
      <c r="AA35" s="50" t="s">
        <v>842</v>
      </c>
      <c r="AC35" s="50" t="s">
        <v>843</v>
      </c>
    </row>
    <row r="36" spans="1:29" x14ac:dyDescent="0.3">
      <c r="A36" s="49" t="s">
        <v>754</v>
      </c>
      <c r="B36" s="49" t="s">
        <v>579</v>
      </c>
      <c r="D36" s="50" t="s">
        <v>833</v>
      </c>
      <c r="E36" s="50" t="s">
        <v>834</v>
      </c>
      <c r="H36" s="50" t="s">
        <v>835</v>
      </c>
      <c r="I36" s="50" t="s">
        <v>836</v>
      </c>
      <c r="J36" s="50" t="s">
        <v>837</v>
      </c>
      <c r="K36" s="50" t="s">
        <v>838</v>
      </c>
      <c r="L36" s="50" t="s">
        <v>859</v>
      </c>
      <c r="M36" s="51">
        <v>6</v>
      </c>
      <c r="N36" s="50" t="s">
        <v>834</v>
      </c>
      <c r="O36" s="51">
        <v>1</v>
      </c>
      <c r="P36" s="51">
        <v>95.1</v>
      </c>
      <c r="Q36" s="51">
        <v>0</v>
      </c>
      <c r="R36" s="51">
        <v>1</v>
      </c>
      <c r="S36" s="51">
        <v>1</v>
      </c>
      <c r="T36" s="51">
        <v>1</v>
      </c>
      <c r="U36" s="50" t="s">
        <v>860</v>
      </c>
      <c r="W36" s="50" t="s">
        <v>885</v>
      </c>
      <c r="Y36" s="50" t="s">
        <v>840</v>
      </c>
      <c r="Z36" s="50" t="s">
        <v>841</v>
      </c>
      <c r="AA36" s="50" t="s">
        <v>842</v>
      </c>
      <c r="AC36" s="50" t="s">
        <v>843</v>
      </c>
    </row>
    <row r="37" spans="1:29" x14ac:dyDescent="0.3">
      <c r="A37" s="49" t="s">
        <v>766</v>
      </c>
      <c r="B37" s="49" t="s">
        <v>581</v>
      </c>
      <c r="D37" s="50" t="s">
        <v>833</v>
      </c>
      <c r="E37" s="50" t="s">
        <v>834</v>
      </c>
      <c r="H37" s="50" t="s">
        <v>835</v>
      </c>
      <c r="I37" s="50" t="s">
        <v>836</v>
      </c>
      <c r="J37" s="50" t="s">
        <v>837</v>
      </c>
      <c r="K37" s="50" t="s">
        <v>838</v>
      </c>
      <c r="L37" s="50" t="s">
        <v>859</v>
      </c>
      <c r="M37" s="51">
        <v>6</v>
      </c>
      <c r="N37" s="50" t="s">
        <v>834</v>
      </c>
      <c r="O37" s="51">
        <v>1</v>
      </c>
      <c r="P37" s="51">
        <v>113.7</v>
      </c>
      <c r="Q37" s="51">
        <v>0</v>
      </c>
      <c r="R37" s="51">
        <v>1</v>
      </c>
      <c r="S37" s="51">
        <v>1</v>
      </c>
      <c r="T37" s="51">
        <v>1</v>
      </c>
      <c r="U37" s="50" t="s">
        <v>860</v>
      </c>
      <c r="W37" s="50" t="s">
        <v>886</v>
      </c>
      <c r="Y37" s="50" t="s">
        <v>840</v>
      </c>
      <c r="Z37" s="50" t="s">
        <v>841</v>
      </c>
      <c r="AA37" s="50" t="s">
        <v>842</v>
      </c>
      <c r="AC37" s="50" t="s">
        <v>843</v>
      </c>
    </row>
    <row r="38" spans="1:29" x14ac:dyDescent="0.3">
      <c r="A38" s="49" t="s">
        <v>761</v>
      </c>
      <c r="B38" s="49" t="s">
        <v>762</v>
      </c>
      <c r="D38" s="50" t="s">
        <v>833</v>
      </c>
      <c r="E38" s="50" t="s">
        <v>834</v>
      </c>
      <c r="H38" s="50" t="s">
        <v>835</v>
      </c>
      <c r="I38" s="50" t="s">
        <v>836</v>
      </c>
      <c r="J38" s="50" t="s">
        <v>837</v>
      </c>
      <c r="K38" s="50" t="s">
        <v>838</v>
      </c>
      <c r="L38" s="50" t="s">
        <v>859</v>
      </c>
      <c r="M38" s="51">
        <v>6</v>
      </c>
      <c r="N38" s="50" t="s">
        <v>834</v>
      </c>
      <c r="O38" s="51">
        <v>1</v>
      </c>
      <c r="P38" s="51">
        <v>111.9</v>
      </c>
      <c r="Q38" s="51">
        <v>0</v>
      </c>
      <c r="R38" s="51">
        <v>1</v>
      </c>
      <c r="S38" s="51">
        <v>1</v>
      </c>
      <c r="T38" s="51">
        <v>1</v>
      </c>
      <c r="U38" s="50" t="s">
        <v>860</v>
      </c>
      <c r="W38" s="50" t="s">
        <v>887</v>
      </c>
      <c r="Y38" s="50" t="s">
        <v>840</v>
      </c>
      <c r="Z38" s="50" t="s">
        <v>841</v>
      </c>
      <c r="AA38" s="50" t="s">
        <v>842</v>
      </c>
      <c r="AC38" s="50" t="s">
        <v>843</v>
      </c>
    </row>
    <row r="39" spans="1:29" x14ac:dyDescent="0.3">
      <c r="A39" s="49" t="s">
        <v>733</v>
      </c>
      <c r="B39" s="49" t="s">
        <v>734</v>
      </c>
      <c r="D39" s="50" t="s">
        <v>833</v>
      </c>
      <c r="E39" s="50" t="s">
        <v>834</v>
      </c>
      <c r="H39" s="50" t="s">
        <v>835</v>
      </c>
      <c r="I39" s="50" t="s">
        <v>836</v>
      </c>
      <c r="J39" s="50" t="s">
        <v>837</v>
      </c>
      <c r="K39" s="50" t="s">
        <v>838</v>
      </c>
      <c r="L39" s="50" t="s">
        <v>859</v>
      </c>
      <c r="M39" s="51">
        <v>6</v>
      </c>
      <c r="N39" s="50" t="s">
        <v>834</v>
      </c>
      <c r="O39" s="51">
        <v>1</v>
      </c>
      <c r="P39" s="51">
        <v>135.80000000000001</v>
      </c>
      <c r="Q39" s="51">
        <v>0</v>
      </c>
      <c r="R39" s="51">
        <v>1</v>
      </c>
      <c r="S39" s="51">
        <v>1</v>
      </c>
      <c r="T39" s="51">
        <v>1</v>
      </c>
      <c r="U39" s="50" t="s">
        <v>860</v>
      </c>
      <c r="W39" s="50" t="s">
        <v>888</v>
      </c>
      <c r="Y39" s="50" t="s">
        <v>840</v>
      </c>
      <c r="Z39" s="50" t="s">
        <v>841</v>
      </c>
      <c r="AA39" s="50" t="s">
        <v>842</v>
      </c>
      <c r="AC39" s="50" t="s">
        <v>843</v>
      </c>
    </row>
    <row r="40" spans="1:29" x14ac:dyDescent="0.3">
      <c r="A40" s="49" t="s">
        <v>735</v>
      </c>
      <c r="B40" s="49" t="s">
        <v>736</v>
      </c>
      <c r="D40" s="50" t="s">
        <v>833</v>
      </c>
      <c r="E40" s="50" t="s">
        <v>834</v>
      </c>
      <c r="H40" s="50" t="s">
        <v>835</v>
      </c>
      <c r="I40" s="50" t="s">
        <v>836</v>
      </c>
      <c r="J40" s="50" t="s">
        <v>837</v>
      </c>
      <c r="K40" s="50" t="s">
        <v>838</v>
      </c>
      <c r="L40" s="50" t="s">
        <v>859</v>
      </c>
      <c r="M40" s="51">
        <v>6</v>
      </c>
      <c r="N40" s="50" t="s">
        <v>834</v>
      </c>
      <c r="O40" s="51">
        <v>1</v>
      </c>
      <c r="P40" s="51">
        <v>135.80000000000001</v>
      </c>
      <c r="Q40" s="51">
        <v>0</v>
      </c>
      <c r="R40" s="51">
        <v>1</v>
      </c>
      <c r="S40" s="51">
        <v>1</v>
      </c>
      <c r="T40" s="51">
        <v>1</v>
      </c>
      <c r="U40" s="50" t="s">
        <v>860</v>
      </c>
      <c r="W40" s="50" t="s">
        <v>889</v>
      </c>
      <c r="Y40" s="50" t="s">
        <v>840</v>
      </c>
      <c r="Z40" s="50" t="s">
        <v>841</v>
      </c>
      <c r="AA40" s="50" t="s">
        <v>842</v>
      </c>
      <c r="AC40" s="50" t="s">
        <v>843</v>
      </c>
    </row>
    <row r="41" spans="1:29" x14ac:dyDescent="0.3">
      <c r="A41" s="49" t="s">
        <v>723</v>
      </c>
      <c r="B41" s="49" t="s">
        <v>724</v>
      </c>
      <c r="D41" s="50" t="s">
        <v>833</v>
      </c>
      <c r="E41" s="50" t="s">
        <v>834</v>
      </c>
      <c r="H41" s="50" t="s">
        <v>835</v>
      </c>
      <c r="I41" s="50" t="s">
        <v>836</v>
      </c>
      <c r="J41" s="50" t="s">
        <v>837</v>
      </c>
      <c r="K41" s="50" t="s">
        <v>838</v>
      </c>
      <c r="L41" s="50" t="s">
        <v>859</v>
      </c>
      <c r="M41" s="51">
        <v>6</v>
      </c>
      <c r="N41" s="50" t="s">
        <v>834</v>
      </c>
      <c r="O41" s="51">
        <v>1</v>
      </c>
      <c r="P41" s="51">
        <v>122.2</v>
      </c>
      <c r="Q41" s="51">
        <v>0</v>
      </c>
      <c r="R41" s="51">
        <v>1</v>
      </c>
      <c r="S41" s="51">
        <v>1</v>
      </c>
      <c r="T41" s="51">
        <v>1</v>
      </c>
      <c r="U41" s="50" t="s">
        <v>860</v>
      </c>
      <c r="W41" s="50" t="s">
        <v>890</v>
      </c>
      <c r="Y41" s="50" t="s">
        <v>840</v>
      </c>
      <c r="Z41" s="50" t="s">
        <v>841</v>
      </c>
      <c r="AA41" s="50" t="s">
        <v>842</v>
      </c>
      <c r="AC41" s="50" t="s">
        <v>843</v>
      </c>
    </row>
    <row r="42" spans="1:29" x14ac:dyDescent="0.3">
      <c r="A42" s="49" t="s">
        <v>725</v>
      </c>
      <c r="B42" s="49" t="s">
        <v>726</v>
      </c>
      <c r="D42" s="50" t="s">
        <v>833</v>
      </c>
      <c r="E42" s="50" t="s">
        <v>834</v>
      </c>
      <c r="H42" s="50" t="s">
        <v>835</v>
      </c>
      <c r="I42" s="50" t="s">
        <v>836</v>
      </c>
      <c r="J42" s="50" t="s">
        <v>837</v>
      </c>
      <c r="K42" s="50" t="s">
        <v>838</v>
      </c>
      <c r="L42" s="50" t="s">
        <v>859</v>
      </c>
      <c r="M42" s="51">
        <v>6</v>
      </c>
      <c r="N42" s="50" t="s">
        <v>834</v>
      </c>
      <c r="O42" s="51">
        <v>1</v>
      </c>
      <c r="P42" s="51">
        <v>122.2</v>
      </c>
      <c r="Q42" s="51">
        <v>0</v>
      </c>
      <c r="R42" s="51">
        <v>1</v>
      </c>
      <c r="S42" s="51">
        <v>1</v>
      </c>
      <c r="T42" s="51">
        <v>1</v>
      </c>
      <c r="U42" s="50" t="s">
        <v>860</v>
      </c>
      <c r="W42" s="50" t="s">
        <v>891</v>
      </c>
      <c r="Y42" s="50" t="s">
        <v>840</v>
      </c>
      <c r="Z42" s="50" t="s">
        <v>841</v>
      </c>
      <c r="AA42" s="50" t="s">
        <v>842</v>
      </c>
      <c r="AC42" s="50" t="s">
        <v>843</v>
      </c>
    </row>
    <row r="43" spans="1:29" x14ac:dyDescent="0.3">
      <c r="A43" s="49" t="s">
        <v>751</v>
      </c>
      <c r="B43" s="49" t="s">
        <v>752</v>
      </c>
      <c r="D43" s="50" t="s">
        <v>833</v>
      </c>
      <c r="E43" s="50" t="s">
        <v>834</v>
      </c>
      <c r="H43" s="50" t="s">
        <v>835</v>
      </c>
      <c r="I43" s="50" t="s">
        <v>836</v>
      </c>
      <c r="J43" s="50" t="s">
        <v>837</v>
      </c>
      <c r="K43" s="50" t="s">
        <v>838</v>
      </c>
      <c r="L43" s="50" t="s">
        <v>859</v>
      </c>
      <c r="M43" s="51">
        <v>6</v>
      </c>
      <c r="N43" s="50" t="s">
        <v>834</v>
      </c>
      <c r="O43" s="51">
        <v>1</v>
      </c>
      <c r="P43" s="51">
        <v>115.9</v>
      </c>
      <c r="Q43" s="51">
        <v>0</v>
      </c>
      <c r="R43" s="51">
        <v>1</v>
      </c>
      <c r="S43" s="51">
        <v>1</v>
      </c>
      <c r="T43" s="51">
        <v>1</v>
      </c>
      <c r="U43" s="50" t="s">
        <v>860</v>
      </c>
      <c r="W43" s="50" t="s">
        <v>892</v>
      </c>
      <c r="Y43" s="50" t="s">
        <v>840</v>
      </c>
      <c r="Z43" s="50" t="s">
        <v>841</v>
      </c>
      <c r="AA43" s="50" t="s">
        <v>842</v>
      </c>
      <c r="AC43" s="50" t="s">
        <v>843</v>
      </c>
    </row>
    <row r="44" spans="1:29" x14ac:dyDescent="0.3">
      <c r="A44" s="49" t="s">
        <v>743</v>
      </c>
      <c r="B44" s="49" t="s">
        <v>744</v>
      </c>
      <c r="D44" s="50" t="s">
        <v>833</v>
      </c>
      <c r="E44" s="50" t="s">
        <v>834</v>
      </c>
      <c r="H44" s="50" t="s">
        <v>835</v>
      </c>
      <c r="I44" s="50" t="s">
        <v>836</v>
      </c>
      <c r="J44" s="50" t="s">
        <v>837</v>
      </c>
      <c r="K44" s="50" t="s">
        <v>838</v>
      </c>
      <c r="L44" s="50" t="s">
        <v>859</v>
      </c>
      <c r="M44" s="51">
        <v>6</v>
      </c>
      <c r="N44" s="50" t="s">
        <v>834</v>
      </c>
      <c r="O44" s="51">
        <v>1</v>
      </c>
      <c r="P44" s="51">
        <v>102.5</v>
      </c>
      <c r="Q44" s="51">
        <v>0</v>
      </c>
      <c r="R44" s="51">
        <v>1</v>
      </c>
      <c r="S44" s="51">
        <v>1</v>
      </c>
      <c r="T44" s="51">
        <v>1</v>
      </c>
      <c r="U44" s="50" t="s">
        <v>860</v>
      </c>
      <c r="W44" s="50" t="s">
        <v>893</v>
      </c>
      <c r="Y44" s="50" t="s">
        <v>840</v>
      </c>
      <c r="Z44" s="50" t="s">
        <v>841</v>
      </c>
      <c r="AA44" s="50" t="s">
        <v>842</v>
      </c>
      <c r="AC44" s="50" t="s">
        <v>843</v>
      </c>
    </row>
    <row r="45" spans="1:29" x14ac:dyDescent="0.3">
      <c r="A45" s="50" t="s">
        <v>894</v>
      </c>
      <c r="B45" s="50" t="s">
        <v>895</v>
      </c>
      <c r="D45" s="50" t="s">
        <v>833</v>
      </c>
      <c r="E45" s="50" t="s">
        <v>834</v>
      </c>
      <c r="H45" s="50" t="s">
        <v>835</v>
      </c>
      <c r="I45" s="50" t="s">
        <v>836</v>
      </c>
      <c r="J45" s="50" t="s">
        <v>837</v>
      </c>
      <c r="K45" s="50" t="s">
        <v>838</v>
      </c>
      <c r="M45" s="51">
        <v>1</v>
      </c>
      <c r="N45" s="50" t="s">
        <v>834</v>
      </c>
      <c r="O45" s="51">
        <v>1</v>
      </c>
      <c r="P45" s="51">
        <v>0.01</v>
      </c>
      <c r="Q45" s="51">
        <v>0</v>
      </c>
      <c r="R45" s="51">
        <v>1</v>
      </c>
      <c r="S45" s="51">
        <v>1</v>
      </c>
      <c r="T45" s="51">
        <v>1</v>
      </c>
      <c r="W45" s="50" t="s">
        <v>896</v>
      </c>
      <c r="Y45" s="50" t="s">
        <v>840</v>
      </c>
      <c r="Z45" s="50" t="s">
        <v>841</v>
      </c>
      <c r="AA45" s="50" t="s">
        <v>842</v>
      </c>
      <c r="AC45" s="50" t="s">
        <v>843</v>
      </c>
    </row>
    <row r="46" spans="1:29" x14ac:dyDescent="0.3">
      <c r="A46" s="50" t="s">
        <v>897</v>
      </c>
      <c r="B46" s="50" t="s">
        <v>898</v>
      </c>
      <c r="D46" s="50" t="s">
        <v>833</v>
      </c>
      <c r="E46" s="50" t="s">
        <v>834</v>
      </c>
      <c r="H46" s="50" t="s">
        <v>835</v>
      </c>
      <c r="I46" s="50" t="s">
        <v>836</v>
      </c>
      <c r="J46" s="50" t="s">
        <v>837</v>
      </c>
      <c r="K46" s="50" t="s">
        <v>874</v>
      </c>
      <c r="M46" s="51">
        <v>1</v>
      </c>
      <c r="N46" s="50" t="s">
        <v>834</v>
      </c>
      <c r="O46" s="51">
        <v>1</v>
      </c>
      <c r="P46" s="51">
        <v>0.01</v>
      </c>
      <c r="Q46" s="51">
        <v>0</v>
      </c>
      <c r="R46" s="51">
        <v>1</v>
      </c>
      <c r="S46" s="51">
        <v>1</v>
      </c>
      <c r="T46" s="51">
        <v>1</v>
      </c>
      <c r="W46" s="50" t="s">
        <v>899</v>
      </c>
      <c r="Y46" s="50" t="s">
        <v>840</v>
      </c>
      <c r="Z46" s="50" t="s">
        <v>841</v>
      </c>
      <c r="AA46" s="50" t="s">
        <v>842</v>
      </c>
      <c r="AC46" s="50" t="s">
        <v>843</v>
      </c>
    </row>
    <row r="47" spans="1:29" x14ac:dyDescent="0.3">
      <c r="A47" s="49" t="s">
        <v>758</v>
      </c>
      <c r="B47" s="49" t="s">
        <v>449</v>
      </c>
      <c r="D47" s="50" t="s">
        <v>833</v>
      </c>
      <c r="E47" s="50" t="s">
        <v>834</v>
      </c>
      <c r="H47" s="50" t="s">
        <v>835</v>
      </c>
      <c r="I47" s="50" t="s">
        <v>836</v>
      </c>
      <c r="J47" s="50" t="s">
        <v>837</v>
      </c>
      <c r="K47" s="50" t="s">
        <v>838</v>
      </c>
      <c r="L47" s="50" t="s">
        <v>859</v>
      </c>
      <c r="M47" s="51">
        <v>6</v>
      </c>
      <c r="N47" s="50" t="s">
        <v>834</v>
      </c>
      <c r="O47" s="51">
        <v>1</v>
      </c>
      <c r="P47" s="51">
        <v>115.9</v>
      </c>
      <c r="Q47" s="51">
        <v>0</v>
      </c>
      <c r="R47" s="51">
        <v>1</v>
      </c>
      <c r="S47" s="51">
        <v>1</v>
      </c>
      <c r="T47" s="51">
        <v>1</v>
      </c>
      <c r="U47" s="50" t="s">
        <v>860</v>
      </c>
      <c r="W47" s="50" t="s">
        <v>900</v>
      </c>
      <c r="Y47" s="50" t="s">
        <v>840</v>
      </c>
      <c r="Z47" s="50" t="s">
        <v>841</v>
      </c>
      <c r="AA47" s="50" t="s">
        <v>842</v>
      </c>
      <c r="AC47" s="50" t="s">
        <v>843</v>
      </c>
    </row>
    <row r="48" spans="1:29" x14ac:dyDescent="0.3">
      <c r="A48" s="49" t="s">
        <v>755</v>
      </c>
      <c r="B48" s="49" t="s">
        <v>586</v>
      </c>
      <c r="D48" s="50" t="s">
        <v>833</v>
      </c>
      <c r="E48" s="50" t="s">
        <v>834</v>
      </c>
      <c r="H48" s="50" t="s">
        <v>835</v>
      </c>
      <c r="I48" s="50" t="s">
        <v>836</v>
      </c>
      <c r="J48" s="50" t="s">
        <v>837</v>
      </c>
      <c r="K48" s="50" t="s">
        <v>838</v>
      </c>
      <c r="L48" s="50" t="s">
        <v>859</v>
      </c>
      <c r="M48" s="51">
        <v>6</v>
      </c>
      <c r="N48" s="50" t="s">
        <v>834</v>
      </c>
      <c r="O48" s="51">
        <v>1</v>
      </c>
      <c r="P48" s="51">
        <v>102.5</v>
      </c>
      <c r="Q48" s="51">
        <v>0</v>
      </c>
      <c r="R48" s="51">
        <v>1</v>
      </c>
      <c r="S48" s="51">
        <v>1</v>
      </c>
      <c r="T48" s="51">
        <v>1</v>
      </c>
      <c r="U48" s="50" t="s">
        <v>860</v>
      </c>
      <c r="W48" s="50" t="s">
        <v>901</v>
      </c>
      <c r="Y48" s="50" t="s">
        <v>840</v>
      </c>
      <c r="Z48" s="50" t="s">
        <v>841</v>
      </c>
      <c r="AA48" s="50" t="s">
        <v>842</v>
      </c>
      <c r="AC48" s="50" t="s">
        <v>843</v>
      </c>
    </row>
    <row r="49" spans="1:29" x14ac:dyDescent="0.3">
      <c r="A49" s="49" t="s">
        <v>767</v>
      </c>
      <c r="B49" s="49" t="s">
        <v>588</v>
      </c>
      <c r="D49" s="50" t="s">
        <v>833</v>
      </c>
      <c r="E49" s="50" t="s">
        <v>834</v>
      </c>
      <c r="H49" s="50" t="s">
        <v>835</v>
      </c>
      <c r="I49" s="50" t="s">
        <v>836</v>
      </c>
      <c r="J49" s="50" t="s">
        <v>837</v>
      </c>
      <c r="K49" s="50" t="s">
        <v>838</v>
      </c>
      <c r="L49" s="50" t="s">
        <v>859</v>
      </c>
      <c r="M49" s="51">
        <v>6</v>
      </c>
      <c r="N49" s="50" t="s">
        <v>834</v>
      </c>
      <c r="O49" s="51">
        <v>1</v>
      </c>
      <c r="P49" s="51">
        <v>135.80000000000001</v>
      </c>
      <c r="Q49" s="51">
        <v>0</v>
      </c>
      <c r="R49" s="51">
        <v>1</v>
      </c>
      <c r="S49" s="51">
        <v>1</v>
      </c>
      <c r="T49" s="51">
        <v>1</v>
      </c>
      <c r="U49" s="50" t="s">
        <v>860</v>
      </c>
      <c r="W49" s="50" t="s">
        <v>902</v>
      </c>
      <c r="Y49" s="50" t="s">
        <v>840</v>
      </c>
      <c r="Z49" s="50" t="s">
        <v>841</v>
      </c>
      <c r="AA49" s="50" t="s">
        <v>842</v>
      </c>
      <c r="AC49" s="50" t="s">
        <v>843</v>
      </c>
    </row>
    <row r="50" spans="1:29" x14ac:dyDescent="0.3">
      <c r="A50" s="49" t="s">
        <v>763</v>
      </c>
      <c r="B50" s="49" t="s">
        <v>764</v>
      </c>
      <c r="D50" s="50" t="s">
        <v>833</v>
      </c>
      <c r="E50" s="50" t="s">
        <v>834</v>
      </c>
      <c r="H50" s="50" t="s">
        <v>835</v>
      </c>
      <c r="I50" s="50" t="s">
        <v>836</v>
      </c>
      <c r="J50" s="50" t="s">
        <v>837</v>
      </c>
      <c r="K50" s="50" t="s">
        <v>838</v>
      </c>
      <c r="L50" s="50" t="s">
        <v>859</v>
      </c>
      <c r="M50" s="51">
        <v>6</v>
      </c>
      <c r="N50" s="50" t="s">
        <v>834</v>
      </c>
      <c r="O50" s="51">
        <v>1</v>
      </c>
      <c r="P50" s="51">
        <v>122.2</v>
      </c>
      <c r="Q50" s="51">
        <v>0</v>
      </c>
      <c r="R50" s="51">
        <v>1</v>
      </c>
      <c r="S50" s="51">
        <v>1</v>
      </c>
      <c r="T50" s="51">
        <v>1</v>
      </c>
      <c r="U50" s="50" t="s">
        <v>860</v>
      </c>
      <c r="W50" s="50" t="s">
        <v>903</v>
      </c>
      <c r="Y50" s="50" t="s">
        <v>840</v>
      </c>
      <c r="Z50" s="50" t="s">
        <v>841</v>
      </c>
      <c r="AA50" s="50" t="s">
        <v>842</v>
      </c>
      <c r="AC50" s="50" t="s">
        <v>843</v>
      </c>
    </row>
    <row r="51" spans="1:29" x14ac:dyDescent="0.3">
      <c r="A51" s="49" t="s">
        <v>776</v>
      </c>
      <c r="B51" s="49" t="s">
        <v>777</v>
      </c>
      <c r="D51" s="50" t="s">
        <v>833</v>
      </c>
      <c r="E51" s="50" t="s">
        <v>834</v>
      </c>
      <c r="H51" s="50" t="s">
        <v>835</v>
      </c>
      <c r="I51" s="50" t="s">
        <v>836</v>
      </c>
      <c r="J51" s="50" t="s">
        <v>837</v>
      </c>
      <c r="K51" s="50" t="s">
        <v>838</v>
      </c>
      <c r="L51" s="50" t="s">
        <v>859</v>
      </c>
      <c r="M51" s="51">
        <v>6</v>
      </c>
      <c r="N51" s="50" t="s">
        <v>834</v>
      </c>
      <c r="O51" s="51">
        <v>1</v>
      </c>
      <c r="P51" s="51">
        <v>116.6</v>
      </c>
      <c r="Q51" s="51">
        <v>0</v>
      </c>
      <c r="R51" s="51">
        <v>1</v>
      </c>
      <c r="S51" s="51">
        <v>1</v>
      </c>
      <c r="T51" s="51">
        <v>1</v>
      </c>
      <c r="U51" s="50" t="s">
        <v>860</v>
      </c>
      <c r="W51" s="50" t="s">
        <v>904</v>
      </c>
      <c r="Y51" s="50" t="s">
        <v>840</v>
      </c>
      <c r="Z51" s="50" t="s">
        <v>841</v>
      </c>
      <c r="AA51" s="50" t="s">
        <v>842</v>
      </c>
      <c r="AC51" s="50" t="s">
        <v>843</v>
      </c>
    </row>
    <row r="52" spans="1:29" x14ac:dyDescent="0.3">
      <c r="A52" s="49" t="s">
        <v>780</v>
      </c>
      <c r="B52" s="49" t="s">
        <v>781</v>
      </c>
      <c r="D52" s="50" t="s">
        <v>833</v>
      </c>
      <c r="E52" s="50" t="s">
        <v>834</v>
      </c>
      <c r="H52" s="50" t="s">
        <v>835</v>
      </c>
      <c r="I52" s="50" t="s">
        <v>836</v>
      </c>
      <c r="J52" s="50" t="s">
        <v>837</v>
      </c>
      <c r="K52" s="50" t="s">
        <v>838</v>
      </c>
      <c r="L52" s="50" t="s">
        <v>859</v>
      </c>
      <c r="M52" s="51">
        <v>6</v>
      </c>
      <c r="N52" s="50" t="s">
        <v>834</v>
      </c>
      <c r="O52" s="51">
        <v>1</v>
      </c>
      <c r="P52" s="51">
        <v>95.65</v>
      </c>
      <c r="Q52" s="51">
        <v>0</v>
      </c>
      <c r="R52" s="51">
        <v>1</v>
      </c>
      <c r="S52" s="51">
        <v>1</v>
      </c>
      <c r="T52" s="51">
        <v>1</v>
      </c>
      <c r="U52" s="50" t="s">
        <v>860</v>
      </c>
      <c r="W52" s="50" t="s">
        <v>905</v>
      </c>
      <c r="Y52" s="50" t="s">
        <v>840</v>
      </c>
      <c r="Z52" s="50" t="s">
        <v>841</v>
      </c>
      <c r="AA52" s="50" t="s">
        <v>842</v>
      </c>
      <c r="AC52" s="50" t="s">
        <v>843</v>
      </c>
    </row>
    <row r="53" spans="1:29" x14ac:dyDescent="0.3">
      <c r="A53" s="49" t="s">
        <v>778</v>
      </c>
      <c r="B53" s="49" t="s">
        <v>779</v>
      </c>
      <c r="D53" s="50" t="s">
        <v>833</v>
      </c>
      <c r="E53" s="50" t="s">
        <v>834</v>
      </c>
      <c r="H53" s="50" t="s">
        <v>835</v>
      </c>
      <c r="I53" s="50" t="s">
        <v>836</v>
      </c>
      <c r="J53" s="50" t="s">
        <v>837</v>
      </c>
      <c r="K53" s="50" t="s">
        <v>838</v>
      </c>
      <c r="L53" s="50" t="s">
        <v>859</v>
      </c>
      <c r="M53" s="51">
        <v>6</v>
      </c>
      <c r="N53" s="50" t="s">
        <v>834</v>
      </c>
      <c r="O53" s="51">
        <v>1</v>
      </c>
      <c r="P53" s="51">
        <v>116.6</v>
      </c>
      <c r="Q53" s="51">
        <v>0</v>
      </c>
      <c r="R53" s="51">
        <v>1</v>
      </c>
      <c r="S53" s="51">
        <v>1</v>
      </c>
      <c r="T53" s="51">
        <v>1</v>
      </c>
      <c r="U53" s="50" t="s">
        <v>860</v>
      </c>
      <c r="W53" s="50" t="s">
        <v>906</v>
      </c>
      <c r="Y53" s="50" t="s">
        <v>840</v>
      </c>
      <c r="Z53" s="50" t="s">
        <v>841</v>
      </c>
      <c r="AA53" s="50" t="s">
        <v>842</v>
      </c>
      <c r="AC53" s="50" t="s">
        <v>843</v>
      </c>
    </row>
    <row r="54" spans="1:29" x14ac:dyDescent="0.3">
      <c r="A54" s="49" t="s">
        <v>782</v>
      </c>
      <c r="B54" s="49" t="s">
        <v>783</v>
      </c>
      <c r="D54" s="50" t="s">
        <v>833</v>
      </c>
      <c r="E54" s="50" t="s">
        <v>834</v>
      </c>
      <c r="H54" s="50" t="s">
        <v>835</v>
      </c>
      <c r="I54" s="50" t="s">
        <v>836</v>
      </c>
      <c r="J54" s="50" t="s">
        <v>837</v>
      </c>
      <c r="K54" s="50" t="s">
        <v>838</v>
      </c>
      <c r="L54" s="50" t="s">
        <v>859</v>
      </c>
      <c r="M54" s="51">
        <v>6</v>
      </c>
      <c r="N54" s="50" t="s">
        <v>834</v>
      </c>
      <c r="O54" s="51">
        <v>1</v>
      </c>
      <c r="P54" s="51">
        <v>99.65</v>
      </c>
      <c r="Q54" s="51">
        <v>0</v>
      </c>
      <c r="R54" s="51">
        <v>1</v>
      </c>
      <c r="S54" s="51">
        <v>1</v>
      </c>
      <c r="T54" s="51">
        <v>1</v>
      </c>
      <c r="U54" s="50" t="s">
        <v>860</v>
      </c>
      <c r="W54" s="50" t="s">
        <v>907</v>
      </c>
      <c r="Y54" s="50" t="s">
        <v>840</v>
      </c>
      <c r="Z54" s="50" t="s">
        <v>841</v>
      </c>
      <c r="AA54" s="50" t="s">
        <v>842</v>
      </c>
      <c r="AC54" s="50" t="s">
        <v>843</v>
      </c>
    </row>
    <row r="55" spans="1:29" x14ac:dyDescent="0.3">
      <c r="A55" s="49" t="s">
        <v>784</v>
      </c>
      <c r="B55" s="49" t="s">
        <v>105</v>
      </c>
      <c r="D55" s="50" t="s">
        <v>833</v>
      </c>
      <c r="E55" s="50" t="s">
        <v>834</v>
      </c>
      <c r="H55" s="50" t="s">
        <v>835</v>
      </c>
      <c r="I55" s="50" t="s">
        <v>836</v>
      </c>
      <c r="J55" s="50" t="s">
        <v>837</v>
      </c>
      <c r="K55" s="50" t="s">
        <v>838</v>
      </c>
      <c r="L55" s="50" t="s">
        <v>859</v>
      </c>
      <c r="M55" s="51">
        <v>6</v>
      </c>
      <c r="N55" s="50" t="s">
        <v>834</v>
      </c>
      <c r="O55" s="51">
        <v>1</v>
      </c>
      <c r="P55" s="51">
        <v>84.3</v>
      </c>
      <c r="Q55" s="51">
        <v>0</v>
      </c>
      <c r="R55" s="51">
        <v>1</v>
      </c>
      <c r="S55" s="51">
        <v>1</v>
      </c>
      <c r="T55" s="51">
        <v>1</v>
      </c>
      <c r="U55" s="50" t="s">
        <v>860</v>
      </c>
      <c r="W55" s="50" t="s">
        <v>908</v>
      </c>
      <c r="Y55" s="50" t="s">
        <v>840</v>
      </c>
      <c r="Z55" s="50" t="s">
        <v>841</v>
      </c>
      <c r="AA55" s="50" t="s">
        <v>842</v>
      </c>
      <c r="AC55" s="50" t="s">
        <v>843</v>
      </c>
    </row>
    <row r="56" spans="1:29" x14ac:dyDescent="0.3">
      <c r="A56" s="49" t="s">
        <v>772</v>
      </c>
      <c r="B56" s="49" t="s">
        <v>773</v>
      </c>
      <c r="D56" s="50" t="s">
        <v>833</v>
      </c>
      <c r="E56" s="50" t="s">
        <v>834</v>
      </c>
      <c r="H56" s="50" t="s">
        <v>835</v>
      </c>
      <c r="I56" s="50" t="s">
        <v>836</v>
      </c>
      <c r="J56" s="50" t="s">
        <v>837</v>
      </c>
      <c r="K56" s="50" t="s">
        <v>838</v>
      </c>
      <c r="L56" s="50" t="s">
        <v>859</v>
      </c>
      <c r="M56" s="51">
        <v>6</v>
      </c>
      <c r="N56" s="50" t="s">
        <v>834</v>
      </c>
      <c r="O56" s="51">
        <v>1</v>
      </c>
      <c r="P56" s="51">
        <v>123.8</v>
      </c>
      <c r="Q56" s="51">
        <v>0</v>
      </c>
      <c r="R56" s="51">
        <v>1</v>
      </c>
      <c r="S56" s="51">
        <v>1</v>
      </c>
      <c r="T56" s="51">
        <v>1</v>
      </c>
      <c r="U56" s="50" t="s">
        <v>860</v>
      </c>
      <c r="W56" s="50" t="s">
        <v>909</v>
      </c>
      <c r="Y56" s="50" t="s">
        <v>840</v>
      </c>
      <c r="Z56" s="50" t="s">
        <v>841</v>
      </c>
      <c r="AA56" s="50" t="s">
        <v>842</v>
      </c>
      <c r="AC56" s="50" t="s">
        <v>843</v>
      </c>
    </row>
    <row r="57" spans="1:29" x14ac:dyDescent="0.3">
      <c r="A57" s="49" t="s">
        <v>768</v>
      </c>
      <c r="B57" s="49" t="s">
        <v>769</v>
      </c>
      <c r="D57" s="50" t="s">
        <v>833</v>
      </c>
      <c r="E57" s="50" t="s">
        <v>834</v>
      </c>
      <c r="H57" s="50" t="s">
        <v>835</v>
      </c>
      <c r="I57" s="50" t="s">
        <v>836</v>
      </c>
      <c r="J57" s="50" t="s">
        <v>837</v>
      </c>
      <c r="K57" s="50" t="s">
        <v>838</v>
      </c>
      <c r="L57" s="50" t="s">
        <v>859</v>
      </c>
      <c r="M57" s="51">
        <v>6</v>
      </c>
      <c r="N57" s="50" t="s">
        <v>834</v>
      </c>
      <c r="O57" s="51">
        <v>1</v>
      </c>
      <c r="P57" s="51">
        <v>144.6</v>
      </c>
      <c r="Q57" s="51">
        <v>0</v>
      </c>
      <c r="R57" s="51">
        <v>1</v>
      </c>
      <c r="S57" s="51">
        <v>1</v>
      </c>
      <c r="T57" s="51">
        <v>1</v>
      </c>
      <c r="U57" s="50" t="s">
        <v>860</v>
      </c>
      <c r="W57" s="50" t="s">
        <v>910</v>
      </c>
      <c r="Y57" s="50" t="s">
        <v>840</v>
      </c>
      <c r="Z57" s="50" t="s">
        <v>841</v>
      </c>
      <c r="AA57" s="50" t="s">
        <v>842</v>
      </c>
      <c r="AC57" s="50" t="s">
        <v>843</v>
      </c>
    </row>
    <row r="58" spans="1:29" x14ac:dyDescent="0.3">
      <c r="A58" s="49" t="s">
        <v>785</v>
      </c>
      <c r="B58" s="49" t="s">
        <v>786</v>
      </c>
      <c r="D58" s="50" t="s">
        <v>833</v>
      </c>
      <c r="E58" s="50" t="s">
        <v>834</v>
      </c>
      <c r="H58" s="50" t="s">
        <v>835</v>
      </c>
      <c r="I58" s="50" t="s">
        <v>836</v>
      </c>
      <c r="J58" s="50" t="s">
        <v>837</v>
      </c>
      <c r="K58" s="50" t="s">
        <v>838</v>
      </c>
      <c r="L58" s="50" t="s">
        <v>859</v>
      </c>
      <c r="M58" s="51">
        <v>6</v>
      </c>
      <c r="N58" s="50" t="s">
        <v>834</v>
      </c>
      <c r="O58" s="51">
        <v>1</v>
      </c>
      <c r="P58" s="51">
        <v>84.3</v>
      </c>
      <c r="Q58" s="51">
        <v>0</v>
      </c>
      <c r="R58" s="51">
        <v>1</v>
      </c>
      <c r="S58" s="51">
        <v>1</v>
      </c>
      <c r="T58" s="51">
        <v>1</v>
      </c>
      <c r="U58" s="50" t="s">
        <v>860</v>
      </c>
      <c r="W58" s="50" t="s">
        <v>911</v>
      </c>
      <c r="Y58" s="50" t="s">
        <v>840</v>
      </c>
      <c r="Z58" s="50" t="s">
        <v>841</v>
      </c>
      <c r="AA58" s="50" t="s">
        <v>842</v>
      </c>
      <c r="AC58" s="50" t="s">
        <v>843</v>
      </c>
    </row>
    <row r="59" spans="1:29" x14ac:dyDescent="0.3">
      <c r="A59" s="49" t="s">
        <v>774</v>
      </c>
      <c r="B59" s="49" t="s">
        <v>775</v>
      </c>
      <c r="D59" s="50" t="s">
        <v>833</v>
      </c>
      <c r="E59" s="50" t="s">
        <v>834</v>
      </c>
      <c r="H59" s="50" t="s">
        <v>835</v>
      </c>
      <c r="I59" s="50" t="s">
        <v>836</v>
      </c>
      <c r="J59" s="50" t="s">
        <v>837</v>
      </c>
      <c r="K59" s="50" t="s">
        <v>838</v>
      </c>
      <c r="L59" s="50" t="s">
        <v>859</v>
      </c>
      <c r="M59" s="51">
        <v>6</v>
      </c>
      <c r="N59" s="50" t="s">
        <v>834</v>
      </c>
      <c r="O59" s="51">
        <v>1</v>
      </c>
      <c r="P59" s="51">
        <v>123.8</v>
      </c>
      <c r="Q59" s="51">
        <v>0</v>
      </c>
      <c r="R59" s="51">
        <v>1</v>
      </c>
      <c r="S59" s="51">
        <v>1</v>
      </c>
      <c r="T59" s="51">
        <v>1</v>
      </c>
      <c r="U59" s="50" t="s">
        <v>860</v>
      </c>
      <c r="W59" s="50" t="s">
        <v>912</v>
      </c>
      <c r="Y59" s="50" t="s">
        <v>840</v>
      </c>
      <c r="Z59" s="50" t="s">
        <v>841</v>
      </c>
      <c r="AA59" s="50" t="s">
        <v>842</v>
      </c>
      <c r="AC59" s="50" t="s">
        <v>843</v>
      </c>
    </row>
    <row r="60" spans="1:29" x14ac:dyDescent="0.3">
      <c r="A60" s="49" t="s">
        <v>770</v>
      </c>
      <c r="B60" s="49" t="s">
        <v>771</v>
      </c>
      <c r="D60" s="50" t="s">
        <v>833</v>
      </c>
      <c r="E60" s="50" t="s">
        <v>834</v>
      </c>
      <c r="H60" s="50" t="s">
        <v>835</v>
      </c>
      <c r="I60" s="50" t="s">
        <v>836</v>
      </c>
      <c r="J60" s="50" t="s">
        <v>837</v>
      </c>
      <c r="K60" s="50" t="s">
        <v>838</v>
      </c>
      <c r="L60" s="50" t="s">
        <v>859</v>
      </c>
      <c r="M60" s="51">
        <v>6</v>
      </c>
      <c r="N60" s="50" t="s">
        <v>834</v>
      </c>
      <c r="O60" s="51">
        <v>1</v>
      </c>
      <c r="P60" s="51">
        <v>144.6</v>
      </c>
      <c r="Q60" s="51">
        <v>0</v>
      </c>
      <c r="R60" s="51">
        <v>1</v>
      </c>
      <c r="S60" s="51">
        <v>1</v>
      </c>
      <c r="T60" s="51">
        <v>1</v>
      </c>
      <c r="U60" s="50" t="s">
        <v>860</v>
      </c>
      <c r="W60" s="50" t="s">
        <v>913</v>
      </c>
      <c r="Y60" s="50" t="s">
        <v>840</v>
      </c>
      <c r="Z60" s="50" t="s">
        <v>841</v>
      </c>
      <c r="AA60" s="50" t="s">
        <v>842</v>
      </c>
      <c r="AC60" s="50" t="s">
        <v>843</v>
      </c>
    </row>
    <row r="62" spans="1:29" x14ac:dyDescent="0.3">
      <c r="A62" s="49" t="s">
        <v>787</v>
      </c>
      <c r="B62" s="49" t="s">
        <v>788</v>
      </c>
      <c r="D62" s="50" t="s">
        <v>833</v>
      </c>
      <c r="E62" s="50" t="s">
        <v>834</v>
      </c>
      <c r="H62" s="50" t="s">
        <v>835</v>
      </c>
      <c r="I62" s="50" t="s">
        <v>834</v>
      </c>
      <c r="J62" s="50" t="s">
        <v>847</v>
      </c>
      <c r="K62" s="50" t="s">
        <v>838</v>
      </c>
      <c r="M62" s="51">
        <v>1</v>
      </c>
      <c r="N62" s="50" t="s">
        <v>834</v>
      </c>
      <c r="O62" s="51">
        <v>1</v>
      </c>
      <c r="P62" s="51">
        <v>0.01</v>
      </c>
      <c r="Q62" s="51">
        <v>0</v>
      </c>
      <c r="R62" s="51">
        <v>1</v>
      </c>
      <c r="S62" s="51">
        <v>1</v>
      </c>
      <c r="T62" s="51">
        <v>1</v>
      </c>
      <c r="W62" s="50" t="s">
        <v>914</v>
      </c>
      <c r="Y62" s="50" t="s">
        <v>840</v>
      </c>
      <c r="Z62" s="50" t="s">
        <v>841</v>
      </c>
      <c r="AA62" s="50" t="s">
        <v>842</v>
      </c>
      <c r="AC62" s="50" t="s">
        <v>843</v>
      </c>
    </row>
    <row r="63" spans="1:29" x14ac:dyDescent="0.3">
      <c r="A63" s="49" t="s">
        <v>789</v>
      </c>
      <c r="B63" s="49" t="s">
        <v>790</v>
      </c>
      <c r="D63" s="50" t="s">
        <v>833</v>
      </c>
      <c r="E63" s="50" t="s">
        <v>834</v>
      </c>
      <c r="H63" s="50" t="s">
        <v>835</v>
      </c>
      <c r="I63" s="50" t="s">
        <v>834</v>
      </c>
      <c r="J63" s="50" t="s">
        <v>847</v>
      </c>
      <c r="K63" s="50" t="s">
        <v>838</v>
      </c>
      <c r="M63" s="51">
        <v>1</v>
      </c>
      <c r="N63" s="50" t="s">
        <v>834</v>
      </c>
      <c r="O63" s="51">
        <v>1</v>
      </c>
      <c r="P63" s="51">
        <v>0.01</v>
      </c>
      <c r="Q63" s="51">
        <v>0</v>
      </c>
      <c r="R63" s="51">
        <v>1</v>
      </c>
      <c r="S63" s="51">
        <v>1</v>
      </c>
      <c r="T63" s="51">
        <v>1</v>
      </c>
      <c r="W63" s="50" t="s">
        <v>915</v>
      </c>
      <c r="Y63" s="50" t="s">
        <v>840</v>
      </c>
      <c r="Z63" s="50" t="s">
        <v>841</v>
      </c>
      <c r="AA63" s="50" t="s">
        <v>842</v>
      </c>
      <c r="AC63" s="50" t="s">
        <v>843</v>
      </c>
    </row>
    <row r="64" spans="1:29" x14ac:dyDescent="0.3">
      <c r="A64" s="49" t="s">
        <v>791</v>
      </c>
      <c r="B64" s="49" t="s">
        <v>792</v>
      </c>
      <c r="D64" s="50" t="s">
        <v>833</v>
      </c>
      <c r="E64" s="50" t="s">
        <v>834</v>
      </c>
      <c r="H64" s="50" t="s">
        <v>835</v>
      </c>
      <c r="I64" s="50" t="s">
        <v>834</v>
      </c>
      <c r="J64" s="50" t="s">
        <v>847</v>
      </c>
      <c r="K64" s="50" t="s">
        <v>838</v>
      </c>
      <c r="M64" s="51">
        <v>1</v>
      </c>
      <c r="N64" s="50" t="s">
        <v>834</v>
      </c>
      <c r="O64" s="51">
        <v>1</v>
      </c>
      <c r="P64" s="51">
        <v>0.01</v>
      </c>
      <c r="Q64" s="51">
        <v>0</v>
      </c>
      <c r="R64" s="51">
        <v>1</v>
      </c>
      <c r="S64" s="51">
        <v>1</v>
      </c>
      <c r="T64" s="51">
        <v>1</v>
      </c>
      <c r="W64" s="50" t="s">
        <v>916</v>
      </c>
      <c r="Y64" s="50" t="s">
        <v>840</v>
      </c>
      <c r="Z64" s="50" t="s">
        <v>841</v>
      </c>
      <c r="AA64" s="50" t="s">
        <v>842</v>
      </c>
      <c r="AC64" s="50" t="s">
        <v>843</v>
      </c>
    </row>
    <row r="65" spans="1:29" x14ac:dyDescent="0.3">
      <c r="A65" s="49" t="s">
        <v>793</v>
      </c>
      <c r="B65" s="49" t="s">
        <v>279</v>
      </c>
      <c r="C65" s="50" t="s">
        <v>917</v>
      </c>
      <c r="D65" s="50" t="s">
        <v>833</v>
      </c>
      <c r="E65" s="50" t="s">
        <v>834</v>
      </c>
      <c r="H65" s="50" t="s">
        <v>835</v>
      </c>
      <c r="I65" s="50" t="s">
        <v>834</v>
      </c>
      <c r="J65" s="50" t="s">
        <v>847</v>
      </c>
      <c r="K65" s="50" t="s">
        <v>838</v>
      </c>
      <c r="L65" s="50" t="s">
        <v>859</v>
      </c>
      <c r="M65" s="51">
        <v>6</v>
      </c>
      <c r="N65" s="50" t="s">
        <v>834</v>
      </c>
      <c r="O65" s="51">
        <v>196168</v>
      </c>
      <c r="P65" s="51">
        <v>42.6</v>
      </c>
      <c r="Q65" s="51">
        <v>3.6</v>
      </c>
      <c r="R65" s="51">
        <v>31</v>
      </c>
      <c r="S65" s="51">
        <v>56</v>
      </c>
      <c r="T65" s="51">
        <v>113</v>
      </c>
      <c r="U65" s="50" t="s">
        <v>860</v>
      </c>
      <c r="W65" s="50" t="s">
        <v>918</v>
      </c>
      <c r="Y65" s="50" t="s">
        <v>840</v>
      </c>
      <c r="Z65" s="50" t="s">
        <v>841</v>
      </c>
      <c r="AA65" s="50" t="s">
        <v>842</v>
      </c>
      <c r="AC65" s="50" t="s">
        <v>843</v>
      </c>
    </row>
    <row r="66" spans="1:29" x14ac:dyDescent="0.3">
      <c r="A66" s="49" t="s">
        <v>797</v>
      </c>
      <c r="B66" s="49" t="s">
        <v>798</v>
      </c>
      <c r="C66" s="50" t="s">
        <v>917</v>
      </c>
      <c r="D66" s="50" t="s">
        <v>833</v>
      </c>
      <c r="E66" s="50" t="s">
        <v>834</v>
      </c>
      <c r="H66" s="50" t="s">
        <v>835</v>
      </c>
      <c r="I66" s="50" t="s">
        <v>834</v>
      </c>
      <c r="J66" s="50" t="s">
        <v>847</v>
      </c>
      <c r="K66" s="50" t="s">
        <v>838</v>
      </c>
      <c r="L66" s="50" t="s">
        <v>859</v>
      </c>
      <c r="M66" s="51">
        <v>6</v>
      </c>
      <c r="N66" s="50" t="s">
        <v>834</v>
      </c>
      <c r="O66" s="51">
        <v>233585</v>
      </c>
      <c r="P66" s="51">
        <v>61.9</v>
      </c>
      <c r="Q66" s="51">
        <v>5.8</v>
      </c>
      <c r="R66" s="51">
        <v>31</v>
      </c>
      <c r="S66" s="51">
        <v>55</v>
      </c>
      <c r="T66" s="51">
        <v>137</v>
      </c>
      <c r="U66" s="50" t="s">
        <v>860</v>
      </c>
      <c r="W66" s="50" t="s">
        <v>919</v>
      </c>
      <c r="Y66" s="50" t="s">
        <v>840</v>
      </c>
      <c r="Z66" s="50" t="s">
        <v>841</v>
      </c>
      <c r="AA66" s="50" t="s">
        <v>842</v>
      </c>
      <c r="AC66" s="50" t="s">
        <v>843</v>
      </c>
    </row>
    <row r="67" spans="1:29" x14ac:dyDescent="0.3">
      <c r="A67" s="49" t="s">
        <v>794</v>
      </c>
      <c r="B67" s="49" t="s">
        <v>281</v>
      </c>
      <c r="C67" s="50" t="s">
        <v>917</v>
      </c>
      <c r="D67" s="50" t="s">
        <v>833</v>
      </c>
      <c r="E67" s="50" t="s">
        <v>834</v>
      </c>
      <c r="H67" s="50" t="s">
        <v>835</v>
      </c>
      <c r="I67" s="50" t="s">
        <v>834</v>
      </c>
      <c r="J67" s="50" t="s">
        <v>847</v>
      </c>
      <c r="K67" s="50" t="s">
        <v>838</v>
      </c>
      <c r="L67" s="50" t="s">
        <v>859</v>
      </c>
      <c r="M67" s="51">
        <v>6</v>
      </c>
      <c r="N67" s="50" t="s">
        <v>834</v>
      </c>
      <c r="O67" s="51">
        <v>233585</v>
      </c>
      <c r="P67" s="51">
        <v>61.9</v>
      </c>
      <c r="Q67" s="51">
        <v>5.8</v>
      </c>
      <c r="R67" s="51">
        <v>31</v>
      </c>
      <c r="S67" s="51">
        <v>55</v>
      </c>
      <c r="T67" s="51">
        <v>137</v>
      </c>
      <c r="U67" s="50" t="s">
        <v>860</v>
      </c>
      <c r="W67" s="50" t="s">
        <v>920</v>
      </c>
      <c r="Y67" s="50" t="s">
        <v>840</v>
      </c>
      <c r="Z67" s="50" t="s">
        <v>841</v>
      </c>
      <c r="AA67" s="50" t="s">
        <v>842</v>
      </c>
      <c r="AC67" s="50" t="s">
        <v>843</v>
      </c>
    </row>
    <row r="68" spans="1:29" x14ac:dyDescent="0.3">
      <c r="A68" s="49" t="s">
        <v>799</v>
      </c>
      <c r="B68" s="49" t="s">
        <v>800</v>
      </c>
      <c r="C68" s="50" t="s">
        <v>917</v>
      </c>
      <c r="D68" s="50" t="s">
        <v>833</v>
      </c>
      <c r="E68" s="50" t="s">
        <v>834</v>
      </c>
      <c r="H68" s="50" t="s">
        <v>835</v>
      </c>
      <c r="I68" s="50" t="s">
        <v>834</v>
      </c>
      <c r="J68" s="50" t="s">
        <v>847</v>
      </c>
      <c r="K68" s="50" t="s">
        <v>838</v>
      </c>
      <c r="L68" s="50" t="s">
        <v>859</v>
      </c>
      <c r="M68" s="51">
        <v>6</v>
      </c>
      <c r="N68" s="50" t="s">
        <v>834</v>
      </c>
      <c r="O68" s="51">
        <v>269080</v>
      </c>
      <c r="P68" s="51">
        <v>70.3</v>
      </c>
      <c r="Q68" s="51">
        <v>8.9</v>
      </c>
      <c r="R68" s="51">
        <v>31</v>
      </c>
      <c r="S68" s="51">
        <v>56</v>
      </c>
      <c r="T68" s="51">
        <v>155</v>
      </c>
      <c r="U68" s="50" t="s">
        <v>860</v>
      </c>
      <c r="W68" s="50" t="s">
        <v>921</v>
      </c>
      <c r="Y68" s="50" t="s">
        <v>840</v>
      </c>
      <c r="Z68" s="50" t="s">
        <v>841</v>
      </c>
      <c r="AA68" s="50" t="s">
        <v>842</v>
      </c>
      <c r="AC68" s="50" t="s">
        <v>843</v>
      </c>
    </row>
    <row r="69" spans="1:29" x14ac:dyDescent="0.3">
      <c r="A69" s="49" t="s">
        <v>795</v>
      </c>
      <c r="B69" s="49" t="s">
        <v>283</v>
      </c>
      <c r="C69" s="50" t="s">
        <v>917</v>
      </c>
      <c r="D69" s="50" t="s">
        <v>833</v>
      </c>
      <c r="E69" s="50" t="s">
        <v>834</v>
      </c>
      <c r="H69" s="50" t="s">
        <v>835</v>
      </c>
      <c r="I69" s="50" t="s">
        <v>834</v>
      </c>
      <c r="J69" s="50" t="s">
        <v>847</v>
      </c>
      <c r="K69" s="50" t="s">
        <v>838</v>
      </c>
      <c r="L69" s="50" t="s">
        <v>859</v>
      </c>
      <c r="M69" s="51">
        <v>6</v>
      </c>
      <c r="N69" s="50" t="s">
        <v>834</v>
      </c>
      <c r="O69" s="51">
        <v>269080</v>
      </c>
      <c r="P69" s="51">
        <v>70.3</v>
      </c>
      <c r="Q69" s="51">
        <v>8.9</v>
      </c>
      <c r="R69" s="51">
        <v>31</v>
      </c>
      <c r="S69" s="51">
        <v>56</v>
      </c>
      <c r="T69" s="51">
        <v>155</v>
      </c>
      <c r="U69" s="50" t="s">
        <v>860</v>
      </c>
      <c r="W69" s="50" t="s">
        <v>922</v>
      </c>
      <c r="Y69" s="50" t="s">
        <v>840</v>
      </c>
      <c r="Z69" s="50" t="s">
        <v>841</v>
      </c>
      <c r="AA69" s="50" t="s">
        <v>842</v>
      </c>
      <c r="AC69" s="50" t="s">
        <v>843</v>
      </c>
    </row>
    <row r="70" spans="1:29" x14ac:dyDescent="0.3">
      <c r="A70" s="49" t="s">
        <v>801</v>
      </c>
      <c r="B70" s="49" t="s">
        <v>802</v>
      </c>
      <c r="C70" s="50" t="s">
        <v>917</v>
      </c>
      <c r="D70" s="50" t="s">
        <v>833</v>
      </c>
      <c r="E70" s="50" t="s">
        <v>834</v>
      </c>
      <c r="H70" s="50" t="s">
        <v>835</v>
      </c>
      <c r="I70" s="50" t="s">
        <v>834</v>
      </c>
      <c r="J70" s="50" t="s">
        <v>847</v>
      </c>
      <c r="K70" s="50" t="s">
        <v>838</v>
      </c>
      <c r="L70" s="50" t="s">
        <v>859</v>
      </c>
      <c r="M70" s="51">
        <v>6</v>
      </c>
      <c r="N70" s="50" t="s">
        <v>834</v>
      </c>
      <c r="O70" s="51">
        <v>291555</v>
      </c>
      <c r="P70" s="51">
        <v>77.3</v>
      </c>
      <c r="Q70" s="51">
        <v>9</v>
      </c>
      <c r="R70" s="51">
        <v>31</v>
      </c>
      <c r="S70" s="51">
        <v>55</v>
      </c>
      <c r="T70" s="51">
        <v>171</v>
      </c>
      <c r="U70" s="50" t="s">
        <v>860</v>
      </c>
      <c r="W70" s="50" t="s">
        <v>923</v>
      </c>
      <c r="Y70" s="50" t="s">
        <v>840</v>
      </c>
      <c r="Z70" s="50" t="s">
        <v>841</v>
      </c>
      <c r="AA70" s="50" t="s">
        <v>842</v>
      </c>
      <c r="AC70" s="50" t="s">
        <v>843</v>
      </c>
    </row>
    <row r="71" spans="1:29" x14ac:dyDescent="0.3">
      <c r="A71" s="49" t="s">
        <v>796</v>
      </c>
      <c r="B71" s="49" t="s">
        <v>285</v>
      </c>
      <c r="C71" s="50" t="s">
        <v>917</v>
      </c>
      <c r="D71" s="50" t="s">
        <v>833</v>
      </c>
      <c r="E71" s="50" t="s">
        <v>834</v>
      </c>
      <c r="H71" s="50" t="s">
        <v>835</v>
      </c>
      <c r="I71" s="50" t="s">
        <v>834</v>
      </c>
      <c r="J71" s="50" t="s">
        <v>847</v>
      </c>
      <c r="K71" s="50" t="s">
        <v>838</v>
      </c>
      <c r="L71" s="50" t="s">
        <v>859</v>
      </c>
      <c r="M71" s="51">
        <v>6</v>
      </c>
      <c r="N71" s="50" t="s">
        <v>834</v>
      </c>
      <c r="O71" s="51">
        <v>291555</v>
      </c>
      <c r="P71" s="51">
        <v>77.3</v>
      </c>
      <c r="Q71" s="51">
        <v>9</v>
      </c>
      <c r="R71" s="51">
        <v>31</v>
      </c>
      <c r="S71" s="51">
        <v>55</v>
      </c>
      <c r="T71" s="51">
        <v>171</v>
      </c>
      <c r="U71" s="50" t="s">
        <v>860</v>
      </c>
      <c r="W71" s="50" t="s">
        <v>924</v>
      </c>
      <c r="Y71" s="50" t="s">
        <v>840</v>
      </c>
      <c r="Z71" s="50" t="s">
        <v>841</v>
      </c>
      <c r="AA71" s="50" t="s">
        <v>842</v>
      </c>
      <c r="AC71" s="50" t="s">
        <v>843</v>
      </c>
    </row>
    <row r="72" spans="1:29" x14ac:dyDescent="0.3">
      <c r="A72" s="49" t="s">
        <v>803</v>
      </c>
      <c r="B72" s="49" t="s">
        <v>472</v>
      </c>
      <c r="C72" s="50" t="s">
        <v>917</v>
      </c>
      <c r="D72" s="50" t="s">
        <v>833</v>
      </c>
      <c r="E72" s="50" t="s">
        <v>834</v>
      </c>
      <c r="H72" s="50" t="s">
        <v>835</v>
      </c>
      <c r="I72" s="50" t="s">
        <v>834</v>
      </c>
      <c r="J72" s="50" t="s">
        <v>847</v>
      </c>
      <c r="K72" s="50" t="s">
        <v>838</v>
      </c>
      <c r="L72" s="50" t="s">
        <v>859</v>
      </c>
      <c r="M72" s="51">
        <v>6</v>
      </c>
      <c r="N72" s="50" t="s">
        <v>834</v>
      </c>
      <c r="O72" s="51">
        <v>304325</v>
      </c>
      <c r="P72" s="51">
        <v>63.05</v>
      </c>
      <c r="Q72" s="51">
        <v>9.5500000000000007</v>
      </c>
      <c r="R72" s="51">
        <v>35</v>
      </c>
      <c r="S72" s="51">
        <v>47</v>
      </c>
      <c r="T72" s="51">
        <v>185</v>
      </c>
      <c r="U72" s="50" t="s">
        <v>860</v>
      </c>
      <c r="W72" s="50" t="s">
        <v>925</v>
      </c>
      <c r="Y72" s="50" t="s">
        <v>840</v>
      </c>
      <c r="Z72" s="50" t="s">
        <v>841</v>
      </c>
      <c r="AA72" s="50" t="s">
        <v>842</v>
      </c>
      <c r="AC72" s="50" t="s">
        <v>843</v>
      </c>
    </row>
    <row r="73" spans="1:29" x14ac:dyDescent="0.3">
      <c r="A73" s="49" t="s">
        <v>804</v>
      </c>
      <c r="B73" s="49" t="s">
        <v>474</v>
      </c>
      <c r="C73" s="50" t="s">
        <v>917</v>
      </c>
      <c r="D73" s="50" t="s">
        <v>833</v>
      </c>
      <c r="E73" s="50" t="s">
        <v>834</v>
      </c>
      <c r="H73" s="50" t="s">
        <v>835</v>
      </c>
      <c r="I73" s="50" t="s">
        <v>834</v>
      </c>
      <c r="J73" s="50" t="s">
        <v>847</v>
      </c>
      <c r="K73" s="50" t="s">
        <v>838</v>
      </c>
      <c r="L73" s="50" t="s">
        <v>859</v>
      </c>
      <c r="M73" s="51">
        <v>6</v>
      </c>
      <c r="N73" s="50" t="s">
        <v>834</v>
      </c>
      <c r="O73" s="51">
        <v>304325</v>
      </c>
      <c r="P73" s="51">
        <v>63.05</v>
      </c>
      <c r="Q73" s="51">
        <v>9.5500000000000007</v>
      </c>
      <c r="R73" s="51">
        <v>35</v>
      </c>
      <c r="S73" s="51">
        <v>47</v>
      </c>
      <c r="T73" s="51">
        <v>185</v>
      </c>
      <c r="U73" s="50" t="s">
        <v>860</v>
      </c>
      <c r="W73" s="50" t="s">
        <v>926</v>
      </c>
      <c r="Y73" s="50" t="s">
        <v>840</v>
      </c>
      <c r="Z73" s="50" t="s">
        <v>841</v>
      </c>
      <c r="AA73" s="50" t="s">
        <v>842</v>
      </c>
      <c r="AC73" s="50" t="s">
        <v>843</v>
      </c>
    </row>
    <row r="74" spans="1:29" x14ac:dyDescent="0.3">
      <c r="A74" s="50" t="s">
        <v>927</v>
      </c>
      <c r="B74" s="50" t="s">
        <v>928</v>
      </c>
      <c r="C74" s="50" t="s">
        <v>929</v>
      </c>
      <c r="D74" s="50" t="s">
        <v>833</v>
      </c>
      <c r="E74" s="50" t="s">
        <v>834</v>
      </c>
      <c r="H74" s="50" t="s">
        <v>835</v>
      </c>
      <c r="I74" s="50" t="s">
        <v>834</v>
      </c>
      <c r="J74" s="50" t="s">
        <v>847</v>
      </c>
      <c r="K74" s="50" t="s">
        <v>838</v>
      </c>
      <c r="L74" s="50" t="s">
        <v>859</v>
      </c>
      <c r="M74" s="51">
        <v>6</v>
      </c>
      <c r="N74" s="50" t="s">
        <v>834</v>
      </c>
      <c r="O74" s="51">
        <v>288768</v>
      </c>
      <c r="P74" s="51">
        <v>20.100000000000001</v>
      </c>
      <c r="Q74" s="51">
        <v>8.1</v>
      </c>
      <c r="R74" s="51">
        <v>24</v>
      </c>
      <c r="S74" s="51">
        <v>64</v>
      </c>
      <c r="T74" s="51">
        <v>188</v>
      </c>
      <c r="U74" s="50" t="s">
        <v>860</v>
      </c>
      <c r="W74" s="50" t="s">
        <v>930</v>
      </c>
      <c r="Y74" s="50" t="s">
        <v>840</v>
      </c>
      <c r="Z74" s="50" t="s">
        <v>841</v>
      </c>
      <c r="AA74" s="50" t="s">
        <v>842</v>
      </c>
      <c r="AC74" s="50" t="s">
        <v>843</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4433"/>
  <sheetViews>
    <sheetView topLeftCell="A3117" workbookViewId="0">
      <selection activeCell="B74" sqref="B74"/>
    </sheetView>
  </sheetViews>
  <sheetFormatPr defaultColWidth="9.109375" defaultRowHeight="13.2" x14ac:dyDescent="0.25"/>
  <cols>
    <col min="1" max="1" width="11.33203125" bestFit="1" customWidth="1"/>
    <col min="2" max="2" width="60.44140625" bestFit="1" customWidth="1"/>
    <col min="3" max="3" width="14.109375" bestFit="1" customWidth="1"/>
  </cols>
  <sheetData>
    <row r="1" spans="1:3" x14ac:dyDescent="0.25">
      <c r="A1" t="s">
        <v>559</v>
      </c>
      <c r="B1" t="s">
        <v>262</v>
      </c>
      <c r="C1" t="s">
        <v>995</v>
      </c>
    </row>
    <row r="2" spans="1:3" x14ac:dyDescent="0.25">
      <c r="A2" t="s">
        <v>997</v>
      </c>
      <c r="B2" t="s">
        <v>998</v>
      </c>
      <c r="C2" t="s">
        <v>996</v>
      </c>
    </row>
    <row r="3" spans="1:3" x14ac:dyDescent="0.25">
      <c r="A3" t="s">
        <v>1000</v>
      </c>
      <c r="B3" t="s">
        <v>1001</v>
      </c>
      <c r="C3" t="s">
        <v>999</v>
      </c>
    </row>
    <row r="4" spans="1:3" x14ac:dyDescent="0.25">
      <c r="A4" t="s">
        <v>1003</v>
      </c>
      <c r="B4" t="s">
        <v>1004</v>
      </c>
      <c r="C4" t="s">
        <v>1002</v>
      </c>
    </row>
    <row r="5" spans="1:3" x14ac:dyDescent="0.25">
      <c r="A5" t="s">
        <v>1006</v>
      </c>
      <c r="B5" t="s">
        <v>1007</v>
      </c>
      <c r="C5" t="s">
        <v>1005</v>
      </c>
    </row>
    <row r="6" spans="1:3" x14ac:dyDescent="0.25">
      <c r="A6" t="s">
        <v>1009</v>
      </c>
      <c r="B6" t="s">
        <v>1010</v>
      </c>
      <c r="C6" t="s">
        <v>1008</v>
      </c>
    </row>
    <row r="7" spans="1:3" x14ac:dyDescent="0.25">
      <c r="A7" t="s">
        <v>1012</v>
      </c>
      <c r="B7" t="s">
        <v>1013</v>
      </c>
      <c r="C7" t="s">
        <v>1011</v>
      </c>
    </row>
    <row r="8" spans="1:3" x14ac:dyDescent="0.25">
      <c r="A8" t="s">
        <v>1015</v>
      </c>
      <c r="B8" t="s">
        <v>1016</v>
      </c>
      <c r="C8" t="s">
        <v>1014</v>
      </c>
    </row>
    <row r="9" spans="1:3" x14ac:dyDescent="0.25">
      <c r="A9" t="s">
        <v>1018</v>
      </c>
      <c r="B9" t="s">
        <v>1019</v>
      </c>
      <c r="C9" t="s">
        <v>1017</v>
      </c>
    </row>
    <row r="10" spans="1:3" x14ac:dyDescent="0.25">
      <c r="A10" t="s">
        <v>1021</v>
      </c>
      <c r="B10" t="s">
        <v>1022</v>
      </c>
      <c r="C10" t="s">
        <v>1020</v>
      </c>
    </row>
    <row r="11" spans="1:3" x14ac:dyDescent="0.25">
      <c r="A11" t="s">
        <v>1024</v>
      </c>
      <c r="B11" t="s">
        <v>1025</v>
      </c>
      <c r="C11" t="s">
        <v>1023</v>
      </c>
    </row>
    <row r="12" spans="1:3" x14ac:dyDescent="0.25">
      <c r="A12" t="s">
        <v>1027</v>
      </c>
      <c r="B12" t="s">
        <v>1028</v>
      </c>
      <c r="C12" t="s">
        <v>1026</v>
      </c>
    </row>
    <row r="13" spans="1:3" x14ac:dyDescent="0.25">
      <c r="A13" t="s">
        <v>1030</v>
      </c>
      <c r="B13" t="s">
        <v>1031</v>
      </c>
      <c r="C13" t="s">
        <v>1029</v>
      </c>
    </row>
    <row r="14" spans="1:3" x14ac:dyDescent="0.25">
      <c r="A14" t="s">
        <v>1033</v>
      </c>
      <c r="B14" t="s">
        <v>1034</v>
      </c>
      <c r="C14" t="s">
        <v>1032</v>
      </c>
    </row>
    <row r="15" spans="1:3" x14ac:dyDescent="0.25">
      <c r="A15" t="s">
        <v>1036</v>
      </c>
      <c r="B15" t="s">
        <v>1037</v>
      </c>
      <c r="C15" t="s">
        <v>1035</v>
      </c>
    </row>
    <row r="16" spans="1:3" x14ac:dyDescent="0.25">
      <c r="A16" t="s">
        <v>1039</v>
      </c>
      <c r="B16" t="s">
        <v>1040</v>
      </c>
      <c r="C16" t="s">
        <v>1038</v>
      </c>
    </row>
    <row r="17" spans="1:3" x14ac:dyDescent="0.25">
      <c r="A17" t="s">
        <v>1042</v>
      </c>
      <c r="B17" t="s">
        <v>1043</v>
      </c>
      <c r="C17" t="s">
        <v>1041</v>
      </c>
    </row>
    <row r="18" spans="1:3" x14ac:dyDescent="0.25">
      <c r="A18" t="s">
        <v>1045</v>
      </c>
      <c r="B18" t="s">
        <v>1046</v>
      </c>
      <c r="C18" t="s">
        <v>1044</v>
      </c>
    </row>
    <row r="19" spans="1:3" x14ac:dyDescent="0.25">
      <c r="A19" t="s">
        <v>1048</v>
      </c>
      <c r="B19" t="s">
        <v>1049</v>
      </c>
      <c r="C19" t="s">
        <v>1047</v>
      </c>
    </row>
    <row r="20" spans="1:3" x14ac:dyDescent="0.25">
      <c r="A20" t="s">
        <v>1051</v>
      </c>
      <c r="B20" t="s">
        <v>1052</v>
      </c>
      <c r="C20" t="s">
        <v>1050</v>
      </c>
    </row>
    <row r="21" spans="1:3" x14ac:dyDescent="0.25">
      <c r="A21" t="s">
        <v>1054</v>
      </c>
      <c r="B21" t="s">
        <v>1055</v>
      </c>
      <c r="C21" t="s">
        <v>1053</v>
      </c>
    </row>
    <row r="22" spans="1:3" x14ac:dyDescent="0.25">
      <c r="A22" t="s">
        <v>1057</v>
      </c>
      <c r="B22" t="s">
        <v>1058</v>
      </c>
      <c r="C22" t="s">
        <v>1056</v>
      </c>
    </row>
    <row r="23" spans="1:3" x14ac:dyDescent="0.25">
      <c r="A23" t="s">
        <v>1060</v>
      </c>
      <c r="B23" t="s">
        <v>1061</v>
      </c>
      <c r="C23" t="s">
        <v>1059</v>
      </c>
    </row>
    <row r="24" spans="1:3" x14ac:dyDescent="0.25">
      <c r="A24" t="s">
        <v>1063</v>
      </c>
      <c r="B24" t="s">
        <v>1064</v>
      </c>
      <c r="C24" t="s">
        <v>1062</v>
      </c>
    </row>
    <row r="25" spans="1:3" x14ac:dyDescent="0.25">
      <c r="A25" t="s">
        <v>1066</v>
      </c>
      <c r="B25" t="s">
        <v>1067</v>
      </c>
      <c r="C25" t="s">
        <v>1065</v>
      </c>
    </row>
    <row r="26" spans="1:3" x14ac:dyDescent="0.25">
      <c r="A26" t="s">
        <v>1069</v>
      </c>
      <c r="B26" t="s">
        <v>1070</v>
      </c>
      <c r="C26" t="s">
        <v>1068</v>
      </c>
    </row>
    <row r="27" spans="1:3" x14ac:dyDescent="0.25">
      <c r="A27" t="s">
        <v>1072</v>
      </c>
      <c r="B27" t="s">
        <v>1073</v>
      </c>
      <c r="C27" t="s">
        <v>1071</v>
      </c>
    </row>
    <row r="28" spans="1:3" x14ac:dyDescent="0.25">
      <c r="A28" t="s">
        <v>1075</v>
      </c>
      <c r="B28" t="s">
        <v>1076</v>
      </c>
      <c r="C28" t="s">
        <v>1074</v>
      </c>
    </row>
    <row r="29" spans="1:3" x14ac:dyDescent="0.25">
      <c r="A29" t="s">
        <v>1078</v>
      </c>
      <c r="B29" t="s">
        <v>1079</v>
      </c>
      <c r="C29" t="s">
        <v>1077</v>
      </c>
    </row>
    <row r="30" spans="1:3" x14ac:dyDescent="0.25">
      <c r="A30" t="s">
        <v>1081</v>
      </c>
      <c r="B30" t="s">
        <v>1082</v>
      </c>
      <c r="C30" t="s">
        <v>1080</v>
      </c>
    </row>
    <row r="31" spans="1:3" x14ac:dyDescent="0.25">
      <c r="A31" t="s">
        <v>1084</v>
      </c>
      <c r="B31" t="s">
        <v>1085</v>
      </c>
      <c r="C31" t="s">
        <v>1083</v>
      </c>
    </row>
    <row r="32" spans="1:3" x14ac:dyDescent="0.25">
      <c r="A32" t="s">
        <v>1087</v>
      </c>
      <c r="B32" t="s">
        <v>1088</v>
      </c>
      <c r="C32" t="s">
        <v>1086</v>
      </c>
    </row>
    <row r="33" spans="1:3" x14ac:dyDescent="0.25">
      <c r="A33" t="s">
        <v>1090</v>
      </c>
      <c r="B33" t="s">
        <v>1091</v>
      </c>
      <c r="C33" t="s">
        <v>1089</v>
      </c>
    </row>
    <row r="34" spans="1:3" x14ac:dyDescent="0.25">
      <c r="A34" t="s">
        <v>1093</v>
      </c>
      <c r="B34" t="s">
        <v>1094</v>
      </c>
      <c r="C34" t="s">
        <v>1092</v>
      </c>
    </row>
    <row r="35" spans="1:3" x14ac:dyDescent="0.25">
      <c r="A35" t="s">
        <v>1096</v>
      </c>
      <c r="B35" t="s">
        <v>1097</v>
      </c>
      <c r="C35" t="s">
        <v>1095</v>
      </c>
    </row>
    <row r="36" spans="1:3" x14ac:dyDescent="0.25">
      <c r="A36" t="s">
        <v>1099</v>
      </c>
      <c r="B36" t="s">
        <v>1100</v>
      </c>
      <c r="C36" t="s">
        <v>1098</v>
      </c>
    </row>
    <row r="37" spans="1:3" x14ac:dyDescent="0.25">
      <c r="A37" t="s">
        <v>1102</v>
      </c>
      <c r="B37" t="s">
        <v>1103</v>
      </c>
      <c r="C37" t="s">
        <v>1101</v>
      </c>
    </row>
    <row r="38" spans="1:3" x14ac:dyDescent="0.25">
      <c r="A38" t="s">
        <v>1105</v>
      </c>
      <c r="B38" t="s">
        <v>1106</v>
      </c>
      <c r="C38" t="s">
        <v>1104</v>
      </c>
    </row>
    <row r="39" spans="1:3" x14ac:dyDescent="0.25">
      <c r="A39" t="s">
        <v>1108</v>
      </c>
      <c r="B39" t="s">
        <v>1109</v>
      </c>
      <c r="C39" t="s">
        <v>1107</v>
      </c>
    </row>
    <row r="40" spans="1:3" x14ac:dyDescent="0.25">
      <c r="A40" t="s">
        <v>1111</v>
      </c>
      <c r="B40" t="s">
        <v>1112</v>
      </c>
      <c r="C40" t="s">
        <v>1110</v>
      </c>
    </row>
    <row r="41" spans="1:3" x14ac:dyDescent="0.25">
      <c r="A41" t="s">
        <v>1114</v>
      </c>
      <c r="B41" t="s">
        <v>1115</v>
      </c>
      <c r="C41" t="s">
        <v>1113</v>
      </c>
    </row>
    <row r="42" spans="1:3" x14ac:dyDescent="0.25">
      <c r="A42" t="s">
        <v>1117</v>
      </c>
      <c r="B42" t="s">
        <v>1118</v>
      </c>
      <c r="C42" t="s">
        <v>1116</v>
      </c>
    </row>
    <row r="43" spans="1:3" x14ac:dyDescent="0.25">
      <c r="A43" t="s">
        <v>1120</v>
      </c>
      <c r="B43" t="s">
        <v>1121</v>
      </c>
      <c r="C43" t="s">
        <v>1119</v>
      </c>
    </row>
    <row r="44" spans="1:3" x14ac:dyDescent="0.25">
      <c r="A44" t="s">
        <v>1123</v>
      </c>
      <c r="B44" t="s">
        <v>1124</v>
      </c>
      <c r="C44" t="s">
        <v>1122</v>
      </c>
    </row>
    <row r="45" spans="1:3" x14ac:dyDescent="0.25">
      <c r="A45" t="s">
        <v>1126</v>
      </c>
      <c r="B45" t="s">
        <v>1127</v>
      </c>
      <c r="C45" t="s">
        <v>1125</v>
      </c>
    </row>
    <row r="46" spans="1:3" x14ac:dyDescent="0.25">
      <c r="A46" t="s">
        <v>1129</v>
      </c>
      <c r="B46" t="s">
        <v>1130</v>
      </c>
      <c r="C46" t="s">
        <v>1128</v>
      </c>
    </row>
    <row r="47" spans="1:3" x14ac:dyDescent="0.25">
      <c r="A47" t="s">
        <v>1132</v>
      </c>
      <c r="B47" t="s">
        <v>1133</v>
      </c>
      <c r="C47" t="s">
        <v>1131</v>
      </c>
    </row>
    <row r="48" spans="1:3" x14ac:dyDescent="0.25">
      <c r="A48" t="s">
        <v>1135</v>
      </c>
      <c r="B48" t="s">
        <v>1136</v>
      </c>
      <c r="C48" t="s">
        <v>1134</v>
      </c>
    </row>
    <row r="49" spans="1:3" x14ac:dyDescent="0.25">
      <c r="A49" t="s">
        <v>1138</v>
      </c>
      <c r="B49" t="s">
        <v>1139</v>
      </c>
      <c r="C49" t="s">
        <v>1137</v>
      </c>
    </row>
    <row r="50" spans="1:3" x14ac:dyDescent="0.25">
      <c r="A50" t="s">
        <v>1141</v>
      </c>
      <c r="B50" t="s">
        <v>1142</v>
      </c>
      <c r="C50" t="s">
        <v>1140</v>
      </c>
    </row>
    <row r="51" spans="1:3" x14ac:dyDescent="0.25">
      <c r="A51" t="s">
        <v>1144</v>
      </c>
      <c r="B51" t="s">
        <v>1145</v>
      </c>
      <c r="C51" t="s">
        <v>1143</v>
      </c>
    </row>
    <row r="52" spans="1:3" x14ac:dyDescent="0.25">
      <c r="A52" t="s">
        <v>1147</v>
      </c>
      <c r="B52" t="s">
        <v>1148</v>
      </c>
      <c r="C52" t="s">
        <v>1146</v>
      </c>
    </row>
    <row r="53" spans="1:3" x14ac:dyDescent="0.25">
      <c r="A53" t="s">
        <v>1150</v>
      </c>
      <c r="B53" t="s">
        <v>1151</v>
      </c>
      <c r="C53" t="s">
        <v>1149</v>
      </c>
    </row>
    <row r="54" spans="1:3" x14ac:dyDescent="0.25">
      <c r="A54" t="s">
        <v>1153</v>
      </c>
      <c r="B54" t="s">
        <v>1154</v>
      </c>
      <c r="C54" t="s">
        <v>1152</v>
      </c>
    </row>
    <row r="55" spans="1:3" x14ac:dyDescent="0.25">
      <c r="A55" t="s">
        <v>1156</v>
      </c>
      <c r="B55" t="s">
        <v>1157</v>
      </c>
      <c r="C55" t="s">
        <v>1155</v>
      </c>
    </row>
    <row r="56" spans="1:3" x14ac:dyDescent="0.25">
      <c r="A56" t="s">
        <v>1159</v>
      </c>
      <c r="B56" t="s">
        <v>1160</v>
      </c>
      <c r="C56" t="s">
        <v>1158</v>
      </c>
    </row>
    <row r="57" spans="1:3" x14ac:dyDescent="0.25">
      <c r="A57" t="s">
        <v>1162</v>
      </c>
      <c r="B57" t="s">
        <v>1163</v>
      </c>
      <c r="C57" t="s">
        <v>1161</v>
      </c>
    </row>
    <row r="58" spans="1:3" x14ac:dyDescent="0.25">
      <c r="A58" t="s">
        <v>1165</v>
      </c>
      <c r="B58" t="s">
        <v>1166</v>
      </c>
      <c r="C58" t="s">
        <v>1164</v>
      </c>
    </row>
    <row r="59" spans="1:3" x14ac:dyDescent="0.25">
      <c r="A59" t="s">
        <v>1168</v>
      </c>
      <c r="B59" t="s">
        <v>1169</v>
      </c>
      <c r="C59" t="s">
        <v>1167</v>
      </c>
    </row>
    <row r="60" spans="1:3" x14ac:dyDescent="0.25">
      <c r="A60" t="s">
        <v>1171</v>
      </c>
      <c r="B60" t="s">
        <v>1172</v>
      </c>
      <c r="C60" t="s">
        <v>1170</v>
      </c>
    </row>
    <row r="61" spans="1:3" x14ac:dyDescent="0.25">
      <c r="A61" t="s">
        <v>1174</v>
      </c>
      <c r="B61" t="s">
        <v>1175</v>
      </c>
      <c r="C61" t="s">
        <v>1173</v>
      </c>
    </row>
    <row r="62" spans="1:3" x14ac:dyDescent="0.25">
      <c r="A62" t="s">
        <v>1177</v>
      </c>
      <c r="B62" t="s">
        <v>1178</v>
      </c>
      <c r="C62" t="s">
        <v>1176</v>
      </c>
    </row>
    <row r="63" spans="1:3" x14ac:dyDescent="0.25">
      <c r="A63" t="s">
        <v>1180</v>
      </c>
      <c r="B63" t="s">
        <v>1181</v>
      </c>
      <c r="C63" t="s">
        <v>1179</v>
      </c>
    </row>
    <row r="64" spans="1:3" x14ac:dyDescent="0.25">
      <c r="A64" t="s">
        <v>1183</v>
      </c>
      <c r="B64" t="s">
        <v>1184</v>
      </c>
      <c r="C64" t="s">
        <v>1182</v>
      </c>
    </row>
    <row r="65" spans="1:3" x14ac:dyDescent="0.25">
      <c r="A65" t="s">
        <v>1186</v>
      </c>
      <c r="B65" t="s">
        <v>1187</v>
      </c>
      <c r="C65" t="s">
        <v>1185</v>
      </c>
    </row>
    <row r="66" spans="1:3" x14ac:dyDescent="0.25">
      <c r="A66" t="s">
        <v>1189</v>
      </c>
      <c r="B66" t="s">
        <v>1190</v>
      </c>
      <c r="C66" t="s">
        <v>1188</v>
      </c>
    </row>
    <row r="67" spans="1:3" x14ac:dyDescent="0.25">
      <c r="A67" t="s">
        <v>1192</v>
      </c>
      <c r="B67" t="s">
        <v>1190</v>
      </c>
      <c r="C67" t="s">
        <v>1191</v>
      </c>
    </row>
    <row r="68" spans="1:3" x14ac:dyDescent="0.25">
      <c r="A68" t="s">
        <v>1194</v>
      </c>
      <c r="B68" t="s">
        <v>1195</v>
      </c>
      <c r="C68" t="s">
        <v>1193</v>
      </c>
    </row>
    <row r="69" spans="1:3" x14ac:dyDescent="0.25">
      <c r="A69" t="s">
        <v>1197</v>
      </c>
      <c r="B69" t="s">
        <v>1195</v>
      </c>
      <c r="C69" t="s">
        <v>1196</v>
      </c>
    </row>
    <row r="70" spans="1:3" x14ac:dyDescent="0.25">
      <c r="A70" t="s">
        <v>1199</v>
      </c>
      <c r="B70" t="s">
        <v>1200</v>
      </c>
      <c r="C70" t="s">
        <v>1198</v>
      </c>
    </row>
    <row r="71" spans="1:3" x14ac:dyDescent="0.25">
      <c r="A71" t="s">
        <v>1202</v>
      </c>
      <c r="B71" t="s">
        <v>1200</v>
      </c>
      <c r="C71" t="s">
        <v>1201</v>
      </c>
    </row>
    <row r="72" spans="1:3" x14ac:dyDescent="0.25">
      <c r="A72" t="s">
        <v>1204</v>
      </c>
      <c r="B72" t="s">
        <v>1205</v>
      </c>
      <c r="C72" t="s">
        <v>1203</v>
      </c>
    </row>
    <row r="73" spans="1:3" x14ac:dyDescent="0.25">
      <c r="A73" t="s">
        <v>1207</v>
      </c>
      <c r="B73" t="s">
        <v>1205</v>
      </c>
      <c r="C73" t="s">
        <v>1206</v>
      </c>
    </row>
    <row r="74" spans="1:3" x14ac:dyDescent="0.25">
      <c r="A74" t="s">
        <v>1209</v>
      </c>
      <c r="B74" t="s">
        <v>1205</v>
      </c>
      <c r="C74" t="s">
        <v>1208</v>
      </c>
    </row>
    <row r="75" spans="1:3" x14ac:dyDescent="0.25">
      <c r="A75" t="s">
        <v>1211</v>
      </c>
      <c r="B75" t="s">
        <v>1212</v>
      </c>
      <c r="C75" t="s">
        <v>1210</v>
      </c>
    </row>
    <row r="76" spans="1:3" x14ac:dyDescent="0.25">
      <c r="A76" t="s">
        <v>1214</v>
      </c>
      <c r="B76" t="s">
        <v>1215</v>
      </c>
      <c r="C76" t="s">
        <v>1213</v>
      </c>
    </row>
    <row r="77" spans="1:3" x14ac:dyDescent="0.25">
      <c r="A77" t="s">
        <v>1217</v>
      </c>
      <c r="B77" t="s">
        <v>1215</v>
      </c>
      <c r="C77" t="s">
        <v>1216</v>
      </c>
    </row>
    <row r="78" spans="1:3" x14ac:dyDescent="0.25">
      <c r="A78" t="s">
        <v>1219</v>
      </c>
      <c r="B78" t="s">
        <v>1220</v>
      </c>
      <c r="C78" t="s">
        <v>1218</v>
      </c>
    </row>
    <row r="79" spans="1:3" x14ac:dyDescent="0.25">
      <c r="A79" t="s">
        <v>1222</v>
      </c>
      <c r="B79" t="s">
        <v>1223</v>
      </c>
      <c r="C79" t="s">
        <v>1221</v>
      </c>
    </row>
    <row r="80" spans="1:3" x14ac:dyDescent="0.25">
      <c r="A80" t="s">
        <v>1225</v>
      </c>
      <c r="B80" t="s">
        <v>1223</v>
      </c>
      <c r="C80" t="s">
        <v>1224</v>
      </c>
    </row>
    <row r="81" spans="1:3" x14ac:dyDescent="0.25">
      <c r="A81" t="s">
        <v>1227</v>
      </c>
      <c r="B81" t="s">
        <v>1212</v>
      </c>
      <c r="C81" t="s">
        <v>1226</v>
      </c>
    </row>
    <row r="82" spans="1:3" x14ac:dyDescent="0.25">
      <c r="A82" t="s">
        <v>1229</v>
      </c>
      <c r="B82" t="s">
        <v>1230</v>
      </c>
      <c r="C82" t="s">
        <v>1228</v>
      </c>
    </row>
    <row r="83" spans="1:3" x14ac:dyDescent="0.25">
      <c r="A83" t="s">
        <v>1232</v>
      </c>
      <c r="B83" t="s">
        <v>1233</v>
      </c>
      <c r="C83" t="s">
        <v>1231</v>
      </c>
    </row>
    <row r="84" spans="1:3" x14ac:dyDescent="0.25">
      <c r="A84" t="s">
        <v>1235</v>
      </c>
      <c r="B84" t="s">
        <v>1236</v>
      </c>
      <c r="C84" t="s">
        <v>1234</v>
      </c>
    </row>
    <row r="85" spans="1:3" x14ac:dyDescent="0.25">
      <c r="A85" t="s">
        <v>1238</v>
      </c>
      <c r="B85" t="s">
        <v>1236</v>
      </c>
      <c r="C85" t="s">
        <v>1237</v>
      </c>
    </row>
    <row r="86" spans="1:3" x14ac:dyDescent="0.25">
      <c r="A86" t="s">
        <v>1240</v>
      </c>
      <c r="B86" t="s">
        <v>1241</v>
      </c>
      <c r="C86" t="s">
        <v>1239</v>
      </c>
    </row>
    <row r="87" spans="1:3" x14ac:dyDescent="0.25">
      <c r="A87" t="s">
        <v>1243</v>
      </c>
      <c r="B87" t="s">
        <v>1244</v>
      </c>
      <c r="C87" t="s">
        <v>1242</v>
      </c>
    </row>
    <row r="88" spans="1:3" x14ac:dyDescent="0.25">
      <c r="A88" t="s">
        <v>1246</v>
      </c>
      <c r="B88" t="s">
        <v>1244</v>
      </c>
      <c r="C88" t="s">
        <v>1245</v>
      </c>
    </row>
    <row r="89" spans="1:3" x14ac:dyDescent="0.25">
      <c r="A89" t="s">
        <v>1248</v>
      </c>
      <c r="B89" t="s">
        <v>1249</v>
      </c>
      <c r="C89" t="s">
        <v>1247</v>
      </c>
    </row>
    <row r="90" spans="1:3" x14ac:dyDescent="0.25">
      <c r="A90" t="s">
        <v>1251</v>
      </c>
      <c r="B90" t="s">
        <v>1252</v>
      </c>
      <c r="C90" t="s">
        <v>1250</v>
      </c>
    </row>
    <row r="91" spans="1:3" x14ac:dyDescent="0.25">
      <c r="A91" t="s">
        <v>1254</v>
      </c>
      <c r="B91" t="s">
        <v>1252</v>
      </c>
      <c r="C91" t="s">
        <v>1253</v>
      </c>
    </row>
    <row r="92" spans="1:3" x14ac:dyDescent="0.25">
      <c r="A92" t="s">
        <v>1256</v>
      </c>
      <c r="B92" t="s">
        <v>1257</v>
      </c>
      <c r="C92" t="s">
        <v>1255</v>
      </c>
    </row>
    <row r="93" spans="1:3" x14ac:dyDescent="0.25">
      <c r="A93" t="s">
        <v>1259</v>
      </c>
      <c r="B93" t="s">
        <v>1260</v>
      </c>
      <c r="C93" t="s">
        <v>1258</v>
      </c>
    </row>
    <row r="94" spans="1:3" x14ac:dyDescent="0.25">
      <c r="A94" t="s">
        <v>1262</v>
      </c>
      <c r="B94" t="s">
        <v>1260</v>
      </c>
      <c r="C94" t="s">
        <v>1261</v>
      </c>
    </row>
    <row r="95" spans="1:3" x14ac:dyDescent="0.25">
      <c r="A95" t="s">
        <v>1264</v>
      </c>
      <c r="B95" t="s">
        <v>1265</v>
      </c>
      <c r="C95" t="s">
        <v>1263</v>
      </c>
    </row>
    <row r="96" spans="1:3" x14ac:dyDescent="0.25">
      <c r="A96" t="s">
        <v>1267</v>
      </c>
      <c r="B96" t="s">
        <v>1268</v>
      </c>
      <c r="C96" t="s">
        <v>1266</v>
      </c>
    </row>
    <row r="97" spans="1:3" x14ac:dyDescent="0.25">
      <c r="A97" t="s">
        <v>1270</v>
      </c>
      <c r="B97" t="s">
        <v>1271</v>
      </c>
      <c r="C97" t="s">
        <v>1269</v>
      </c>
    </row>
    <row r="98" spans="1:3" x14ac:dyDescent="0.25">
      <c r="A98" t="s">
        <v>1273</v>
      </c>
      <c r="B98" t="s">
        <v>1274</v>
      </c>
      <c r="C98" t="s">
        <v>1272</v>
      </c>
    </row>
    <row r="99" spans="1:3" x14ac:dyDescent="0.25">
      <c r="A99" t="s">
        <v>1276</v>
      </c>
      <c r="B99" t="s">
        <v>1277</v>
      </c>
      <c r="C99" t="s">
        <v>1275</v>
      </c>
    </row>
    <row r="100" spans="1:3" x14ac:dyDescent="0.25">
      <c r="A100" t="s">
        <v>1279</v>
      </c>
      <c r="B100" t="s">
        <v>1280</v>
      </c>
      <c r="C100" t="s">
        <v>1278</v>
      </c>
    </row>
    <row r="101" spans="1:3" x14ac:dyDescent="0.25">
      <c r="A101" t="s">
        <v>1282</v>
      </c>
      <c r="B101" t="s">
        <v>1283</v>
      </c>
      <c r="C101" t="s">
        <v>1281</v>
      </c>
    </row>
    <row r="102" spans="1:3" x14ac:dyDescent="0.25">
      <c r="A102" t="s">
        <v>1285</v>
      </c>
      <c r="B102" t="s">
        <v>1286</v>
      </c>
      <c r="C102" t="s">
        <v>1284</v>
      </c>
    </row>
    <row r="103" spans="1:3" x14ac:dyDescent="0.25">
      <c r="A103" t="s">
        <v>1288</v>
      </c>
      <c r="B103" t="s">
        <v>1289</v>
      </c>
      <c r="C103" t="s">
        <v>1287</v>
      </c>
    </row>
    <row r="104" spans="1:3" x14ac:dyDescent="0.25">
      <c r="A104" t="s">
        <v>1291</v>
      </c>
      <c r="B104" t="s">
        <v>1292</v>
      </c>
      <c r="C104" t="s">
        <v>1290</v>
      </c>
    </row>
    <row r="105" spans="1:3" x14ac:dyDescent="0.25">
      <c r="A105" t="s">
        <v>1294</v>
      </c>
      <c r="B105" t="s">
        <v>1295</v>
      </c>
      <c r="C105" t="s">
        <v>1293</v>
      </c>
    </row>
    <row r="106" spans="1:3" x14ac:dyDescent="0.25">
      <c r="A106" t="s">
        <v>1297</v>
      </c>
      <c r="B106" t="s">
        <v>1298</v>
      </c>
      <c r="C106" t="s">
        <v>1296</v>
      </c>
    </row>
    <row r="107" spans="1:3" x14ac:dyDescent="0.25">
      <c r="A107" t="s">
        <v>1300</v>
      </c>
      <c r="B107" t="s">
        <v>1301</v>
      </c>
      <c r="C107" t="s">
        <v>1299</v>
      </c>
    </row>
    <row r="108" spans="1:3" x14ac:dyDescent="0.25">
      <c r="A108" t="s">
        <v>1303</v>
      </c>
      <c r="B108" t="s">
        <v>1304</v>
      </c>
      <c r="C108" t="s">
        <v>1302</v>
      </c>
    </row>
    <row r="109" spans="1:3" x14ac:dyDescent="0.25">
      <c r="A109" t="s">
        <v>1306</v>
      </c>
      <c r="B109" t="s">
        <v>1307</v>
      </c>
      <c r="C109" t="s">
        <v>1305</v>
      </c>
    </row>
    <row r="110" spans="1:3" x14ac:dyDescent="0.25">
      <c r="A110" t="s">
        <v>1309</v>
      </c>
      <c r="B110" t="s">
        <v>1310</v>
      </c>
      <c r="C110" t="s">
        <v>1308</v>
      </c>
    </row>
    <row r="111" spans="1:3" x14ac:dyDescent="0.25">
      <c r="A111" t="s">
        <v>122</v>
      </c>
      <c r="B111" t="s">
        <v>1312</v>
      </c>
      <c r="C111" t="s">
        <v>1311</v>
      </c>
    </row>
    <row r="112" spans="1:3" x14ac:dyDescent="0.25">
      <c r="A112" t="s">
        <v>1314</v>
      </c>
      <c r="B112" t="s">
        <v>1315</v>
      </c>
      <c r="C112" t="s">
        <v>1313</v>
      </c>
    </row>
    <row r="113" spans="1:3" x14ac:dyDescent="0.25">
      <c r="A113" t="s">
        <v>124</v>
      </c>
      <c r="B113" t="s">
        <v>125</v>
      </c>
      <c r="C113" t="s">
        <v>1316</v>
      </c>
    </row>
    <row r="114" spans="1:3" x14ac:dyDescent="0.25">
      <c r="A114" t="s">
        <v>1318</v>
      </c>
      <c r="B114" t="s">
        <v>1319</v>
      </c>
      <c r="C114" t="s">
        <v>1317</v>
      </c>
    </row>
    <row r="115" spans="1:3" x14ac:dyDescent="0.25">
      <c r="A115" t="s">
        <v>148</v>
      </c>
      <c r="B115" t="s">
        <v>149</v>
      </c>
      <c r="C115" t="s">
        <v>1320</v>
      </c>
    </row>
    <row r="116" spans="1:3" x14ac:dyDescent="0.25">
      <c r="A116" t="s">
        <v>1322</v>
      </c>
      <c r="B116" t="s">
        <v>1323</v>
      </c>
      <c r="C116" t="s">
        <v>1321</v>
      </c>
    </row>
    <row r="117" spans="1:3" x14ac:dyDescent="0.25">
      <c r="A117" t="s">
        <v>140</v>
      </c>
      <c r="B117" t="s">
        <v>141</v>
      </c>
      <c r="C117" t="s">
        <v>1324</v>
      </c>
    </row>
    <row r="118" spans="1:3" x14ac:dyDescent="0.25">
      <c r="A118" t="s">
        <v>1326</v>
      </c>
      <c r="B118" t="s">
        <v>1327</v>
      </c>
      <c r="C118" t="s">
        <v>1325</v>
      </c>
    </row>
    <row r="119" spans="1:3" x14ac:dyDescent="0.25">
      <c r="A119" t="s">
        <v>130</v>
      </c>
      <c r="B119" t="s">
        <v>131</v>
      </c>
      <c r="C119" t="s">
        <v>1328</v>
      </c>
    </row>
    <row r="120" spans="1:3" x14ac:dyDescent="0.25">
      <c r="A120" t="s">
        <v>136</v>
      </c>
      <c r="B120" t="s">
        <v>137</v>
      </c>
      <c r="C120" t="s">
        <v>1329</v>
      </c>
    </row>
    <row r="121" spans="1:3" x14ac:dyDescent="0.25">
      <c r="A121" t="s">
        <v>1331</v>
      </c>
      <c r="B121" t="s">
        <v>1332</v>
      </c>
      <c r="C121" t="s">
        <v>1330</v>
      </c>
    </row>
    <row r="122" spans="1:3" x14ac:dyDescent="0.25">
      <c r="A122" t="s">
        <v>120</v>
      </c>
      <c r="B122" t="s">
        <v>121</v>
      </c>
      <c r="C122" t="s">
        <v>1333</v>
      </c>
    </row>
    <row r="123" spans="1:3" x14ac:dyDescent="0.25">
      <c r="A123" t="s">
        <v>1335</v>
      </c>
      <c r="B123" t="s">
        <v>1336</v>
      </c>
      <c r="C123" t="s">
        <v>1334</v>
      </c>
    </row>
    <row r="124" spans="1:3" x14ac:dyDescent="0.25">
      <c r="A124" t="s">
        <v>144</v>
      </c>
      <c r="B124" t="s">
        <v>145</v>
      </c>
      <c r="C124" t="s">
        <v>1337</v>
      </c>
    </row>
    <row r="125" spans="1:3" x14ac:dyDescent="0.25">
      <c r="A125" t="s">
        <v>1339</v>
      </c>
      <c r="B125" t="s">
        <v>1340</v>
      </c>
      <c r="C125" t="s">
        <v>1338</v>
      </c>
    </row>
    <row r="126" spans="1:3" x14ac:dyDescent="0.25">
      <c r="A126" t="s">
        <v>132</v>
      </c>
      <c r="B126" t="s">
        <v>133</v>
      </c>
      <c r="C126" t="s">
        <v>1341</v>
      </c>
    </row>
    <row r="127" spans="1:3" x14ac:dyDescent="0.25">
      <c r="A127" t="s">
        <v>1343</v>
      </c>
      <c r="B127" t="s">
        <v>1344</v>
      </c>
      <c r="C127" t="s">
        <v>1342</v>
      </c>
    </row>
    <row r="128" spans="1:3" x14ac:dyDescent="0.25">
      <c r="A128" t="s">
        <v>1346</v>
      </c>
      <c r="B128" t="s">
        <v>1347</v>
      </c>
      <c r="C128" t="s">
        <v>1345</v>
      </c>
    </row>
    <row r="129" spans="1:3" x14ac:dyDescent="0.25">
      <c r="A129" t="s">
        <v>1349</v>
      </c>
      <c r="B129" t="s">
        <v>1350</v>
      </c>
      <c r="C129" t="s">
        <v>1348</v>
      </c>
    </row>
    <row r="130" spans="1:3" x14ac:dyDescent="0.25">
      <c r="A130" t="s">
        <v>1352</v>
      </c>
      <c r="B130" t="s">
        <v>1353</v>
      </c>
      <c r="C130" t="s">
        <v>1351</v>
      </c>
    </row>
    <row r="131" spans="1:3" x14ac:dyDescent="0.25">
      <c r="A131" t="s">
        <v>1355</v>
      </c>
      <c r="B131" t="s">
        <v>1356</v>
      </c>
      <c r="C131" t="s">
        <v>1354</v>
      </c>
    </row>
    <row r="132" spans="1:3" x14ac:dyDescent="0.25">
      <c r="A132" t="s">
        <v>1358</v>
      </c>
      <c r="B132" t="s">
        <v>1359</v>
      </c>
      <c r="C132" t="s">
        <v>1357</v>
      </c>
    </row>
    <row r="133" spans="1:3" x14ac:dyDescent="0.25">
      <c r="A133" t="s">
        <v>164</v>
      </c>
      <c r="B133" t="s">
        <v>165</v>
      </c>
      <c r="C133" t="s">
        <v>1360</v>
      </c>
    </row>
    <row r="134" spans="1:3" x14ac:dyDescent="0.25">
      <c r="A134" t="s">
        <v>1362</v>
      </c>
      <c r="B134" t="s">
        <v>1363</v>
      </c>
      <c r="C134" t="s">
        <v>1361</v>
      </c>
    </row>
    <row r="135" spans="1:3" x14ac:dyDescent="0.25">
      <c r="A135" t="s">
        <v>156</v>
      </c>
      <c r="B135" t="s">
        <v>1365</v>
      </c>
      <c r="C135" t="s">
        <v>1364</v>
      </c>
    </row>
    <row r="136" spans="1:3" x14ac:dyDescent="0.25">
      <c r="A136" t="s">
        <v>1367</v>
      </c>
      <c r="B136" t="s">
        <v>1368</v>
      </c>
      <c r="C136" t="s">
        <v>1366</v>
      </c>
    </row>
    <row r="137" spans="1:3" x14ac:dyDescent="0.25">
      <c r="A137" t="s">
        <v>154</v>
      </c>
      <c r="B137" t="s">
        <v>1370</v>
      </c>
      <c r="C137" t="s">
        <v>1369</v>
      </c>
    </row>
    <row r="138" spans="1:3" x14ac:dyDescent="0.25">
      <c r="A138" t="s">
        <v>1372</v>
      </c>
      <c r="B138" t="s">
        <v>1373</v>
      </c>
      <c r="C138" t="s">
        <v>1371</v>
      </c>
    </row>
    <row r="139" spans="1:3" x14ac:dyDescent="0.25">
      <c r="A139" t="s">
        <v>168</v>
      </c>
      <c r="B139" t="s">
        <v>169</v>
      </c>
      <c r="C139" t="s">
        <v>1374</v>
      </c>
    </row>
    <row r="140" spans="1:3" x14ac:dyDescent="0.25">
      <c r="A140" t="s">
        <v>1376</v>
      </c>
      <c r="B140" t="s">
        <v>1377</v>
      </c>
      <c r="C140" t="s">
        <v>1375</v>
      </c>
    </row>
    <row r="141" spans="1:3" x14ac:dyDescent="0.25">
      <c r="A141" t="s">
        <v>160</v>
      </c>
      <c r="B141" t="s">
        <v>161</v>
      </c>
      <c r="C141" t="s">
        <v>1378</v>
      </c>
    </row>
    <row r="142" spans="1:3" x14ac:dyDescent="0.25">
      <c r="A142" t="s">
        <v>1380</v>
      </c>
      <c r="B142" t="s">
        <v>1381</v>
      </c>
      <c r="C142" t="s">
        <v>1379</v>
      </c>
    </row>
    <row r="143" spans="1:3" x14ac:dyDescent="0.25">
      <c r="A143" t="s">
        <v>158</v>
      </c>
      <c r="B143" t="s">
        <v>1383</v>
      </c>
      <c r="C143" t="s">
        <v>1382</v>
      </c>
    </row>
    <row r="144" spans="1:3" x14ac:dyDescent="0.25">
      <c r="A144" t="s">
        <v>1385</v>
      </c>
      <c r="B144" t="s">
        <v>1386</v>
      </c>
      <c r="C144" t="s">
        <v>1384</v>
      </c>
    </row>
    <row r="145" spans="1:3" x14ac:dyDescent="0.25">
      <c r="A145" t="s">
        <v>152</v>
      </c>
      <c r="B145" t="s">
        <v>1388</v>
      </c>
      <c r="C145" t="s">
        <v>1387</v>
      </c>
    </row>
    <row r="146" spans="1:3" x14ac:dyDescent="0.25">
      <c r="A146" t="s">
        <v>1390</v>
      </c>
      <c r="B146" t="s">
        <v>1386</v>
      </c>
      <c r="C146" t="s">
        <v>1389</v>
      </c>
    </row>
    <row r="147" spans="1:3" x14ac:dyDescent="0.25">
      <c r="A147" t="s">
        <v>466</v>
      </c>
      <c r="B147" t="s">
        <v>1392</v>
      </c>
      <c r="C147" t="s">
        <v>1391</v>
      </c>
    </row>
    <row r="148" spans="1:3" x14ac:dyDescent="0.25">
      <c r="A148" t="s">
        <v>1394</v>
      </c>
      <c r="B148" t="s">
        <v>1395</v>
      </c>
      <c r="C148" t="s">
        <v>1393</v>
      </c>
    </row>
    <row r="149" spans="1:3" x14ac:dyDescent="0.25">
      <c r="A149" t="s">
        <v>1397</v>
      </c>
      <c r="B149" t="s">
        <v>1398</v>
      </c>
      <c r="C149" t="s">
        <v>1396</v>
      </c>
    </row>
    <row r="150" spans="1:3" x14ac:dyDescent="0.25">
      <c r="A150" t="s">
        <v>1400</v>
      </c>
      <c r="B150" t="s">
        <v>1401</v>
      </c>
      <c r="C150" t="s">
        <v>1399</v>
      </c>
    </row>
    <row r="151" spans="1:3" x14ac:dyDescent="0.25">
      <c r="A151" t="s">
        <v>1403</v>
      </c>
      <c r="B151" t="s">
        <v>1404</v>
      </c>
      <c r="C151" t="s">
        <v>1402</v>
      </c>
    </row>
    <row r="152" spans="1:3" x14ac:dyDescent="0.25">
      <c r="A152" t="s">
        <v>1406</v>
      </c>
      <c r="B152" t="s">
        <v>1407</v>
      </c>
      <c r="C152" t="s">
        <v>1405</v>
      </c>
    </row>
    <row r="153" spans="1:3" x14ac:dyDescent="0.25">
      <c r="A153" t="s">
        <v>1409</v>
      </c>
      <c r="B153" t="s">
        <v>1410</v>
      </c>
      <c r="C153" t="s">
        <v>1408</v>
      </c>
    </row>
    <row r="154" spans="1:3" x14ac:dyDescent="0.25">
      <c r="A154" t="s">
        <v>1412</v>
      </c>
      <c r="B154" t="s">
        <v>1413</v>
      </c>
      <c r="C154" t="s">
        <v>1411</v>
      </c>
    </row>
    <row r="155" spans="1:3" x14ac:dyDescent="0.25">
      <c r="A155" t="s">
        <v>1415</v>
      </c>
      <c r="B155" t="s">
        <v>1416</v>
      </c>
      <c r="C155" t="s">
        <v>1414</v>
      </c>
    </row>
    <row r="156" spans="1:3" x14ac:dyDescent="0.25">
      <c r="A156" t="s">
        <v>1418</v>
      </c>
      <c r="B156" t="s">
        <v>1419</v>
      </c>
      <c r="C156" t="s">
        <v>1417</v>
      </c>
    </row>
    <row r="157" spans="1:3" x14ac:dyDescent="0.25">
      <c r="A157" t="s">
        <v>1421</v>
      </c>
      <c r="B157" t="s">
        <v>1422</v>
      </c>
      <c r="C157" t="s">
        <v>1420</v>
      </c>
    </row>
    <row r="158" spans="1:3" x14ac:dyDescent="0.25">
      <c r="A158" t="s">
        <v>1424</v>
      </c>
      <c r="B158" t="s">
        <v>1425</v>
      </c>
      <c r="C158" t="s">
        <v>1423</v>
      </c>
    </row>
    <row r="159" spans="1:3" x14ac:dyDescent="0.25">
      <c r="A159" t="s">
        <v>1427</v>
      </c>
      <c r="B159" t="s">
        <v>1428</v>
      </c>
      <c r="C159" t="s">
        <v>1426</v>
      </c>
    </row>
    <row r="160" spans="1:3" x14ac:dyDescent="0.25">
      <c r="A160" t="s">
        <v>1430</v>
      </c>
      <c r="B160" t="s">
        <v>1431</v>
      </c>
      <c r="C160" t="s">
        <v>1429</v>
      </c>
    </row>
    <row r="161" spans="1:3" x14ac:dyDescent="0.25">
      <c r="A161" t="s">
        <v>1433</v>
      </c>
      <c r="B161" t="s">
        <v>1434</v>
      </c>
      <c r="C161" t="s">
        <v>1432</v>
      </c>
    </row>
    <row r="162" spans="1:3" x14ac:dyDescent="0.25">
      <c r="A162" t="s">
        <v>1436</v>
      </c>
      <c r="B162" t="s">
        <v>1437</v>
      </c>
      <c r="C162" t="s">
        <v>1435</v>
      </c>
    </row>
    <row r="163" spans="1:3" x14ac:dyDescent="0.25">
      <c r="A163" t="s">
        <v>1439</v>
      </c>
      <c r="B163" t="s">
        <v>1440</v>
      </c>
      <c r="C163" t="s">
        <v>1438</v>
      </c>
    </row>
    <row r="164" spans="1:3" x14ac:dyDescent="0.25">
      <c r="A164" t="s">
        <v>1442</v>
      </c>
      <c r="B164" t="s">
        <v>1443</v>
      </c>
      <c r="C164" t="s">
        <v>1441</v>
      </c>
    </row>
    <row r="165" spans="1:3" x14ac:dyDescent="0.25">
      <c r="A165" t="s">
        <v>126</v>
      </c>
      <c r="B165" t="s">
        <v>127</v>
      </c>
      <c r="C165" t="s">
        <v>1444</v>
      </c>
    </row>
    <row r="166" spans="1:3" x14ac:dyDescent="0.25">
      <c r="A166" t="s">
        <v>1446</v>
      </c>
      <c r="B166" t="s">
        <v>1447</v>
      </c>
      <c r="C166" t="s">
        <v>1445</v>
      </c>
    </row>
    <row r="167" spans="1:3" x14ac:dyDescent="0.25">
      <c r="A167" t="s">
        <v>150</v>
      </c>
      <c r="B167" t="s">
        <v>151</v>
      </c>
      <c r="C167" t="s">
        <v>1448</v>
      </c>
    </row>
    <row r="168" spans="1:3" x14ac:dyDescent="0.25">
      <c r="A168" t="s">
        <v>1450</v>
      </c>
      <c r="B168" t="s">
        <v>1451</v>
      </c>
      <c r="C168" t="s">
        <v>1449</v>
      </c>
    </row>
    <row r="169" spans="1:3" x14ac:dyDescent="0.25">
      <c r="A169" t="s">
        <v>142</v>
      </c>
      <c r="B169" t="s">
        <v>143</v>
      </c>
      <c r="C169" t="s">
        <v>1452</v>
      </c>
    </row>
    <row r="170" spans="1:3" x14ac:dyDescent="0.25">
      <c r="A170" t="s">
        <v>1454</v>
      </c>
      <c r="B170" t="s">
        <v>1455</v>
      </c>
      <c r="C170" t="s">
        <v>1453</v>
      </c>
    </row>
    <row r="171" spans="1:3" x14ac:dyDescent="0.25">
      <c r="A171" t="s">
        <v>138</v>
      </c>
      <c r="B171" t="s">
        <v>139</v>
      </c>
      <c r="C171" t="s">
        <v>1456</v>
      </c>
    </row>
    <row r="172" spans="1:3" x14ac:dyDescent="0.25">
      <c r="A172" t="s">
        <v>1458</v>
      </c>
      <c r="B172" t="s">
        <v>1459</v>
      </c>
      <c r="C172" t="s">
        <v>1457</v>
      </c>
    </row>
    <row r="173" spans="1:3" x14ac:dyDescent="0.25">
      <c r="A173" t="s">
        <v>146</v>
      </c>
      <c r="B173" t="s">
        <v>147</v>
      </c>
      <c r="C173" t="s">
        <v>1460</v>
      </c>
    </row>
    <row r="174" spans="1:3" x14ac:dyDescent="0.25">
      <c r="A174" t="s">
        <v>1462</v>
      </c>
      <c r="B174" t="s">
        <v>1463</v>
      </c>
      <c r="C174" t="s">
        <v>1461</v>
      </c>
    </row>
    <row r="175" spans="1:3" x14ac:dyDescent="0.25">
      <c r="A175" t="s">
        <v>134</v>
      </c>
      <c r="B175" t="s">
        <v>135</v>
      </c>
      <c r="C175" t="s">
        <v>1464</v>
      </c>
    </row>
    <row r="176" spans="1:3" x14ac:dyDescent="0.25">
      <c r="A176" t="s">
        <v>1466</v>
      </c>
      <c r="B176" t="s">
        <v>1467</v>
      </c>
      <c r="C176" t="s">
        <v>1465</v>
      </c>
    </row>
    <row r="177" spans="1:3" x14ac:dyDescent="0.25">
      <c r="A177" t="s">
        <v>1469</v>
      </c>
      <c r="B177" t="s">
        <v>1470</v>
      </c>
      <c r="C177" t="s">
        <v>1468</v>
      </c>
    </row>
    <row r="178" spans="1:3" x14ac:dyDescent="0.25">
      <c r="A178" t="s">
        <v>166</v>
      </c>
      <c r="B178" t="s">
        <v>167</v>
      </c>
      <c r="C178" t="s">
        <v>1471</v>
      </c>
    </row>
    <row r="179" spans="1:3" x14ac:dyDescent="0.25">
      <c r="A179" t="s">
        <v>1473</v>
      </c>
      <c r="B179" t="s">
        <v>1474</v>
      </c>
      <c r="C179" t="s">
        <v>1472</v>
      </c>
    </row>
    <row r="180" spans="1:3" x14ac:dyDescent="0.25">
      <c r="A180" t="s">
        <v>157</v>
      </c>
      <c r="B180" t="s">
        <v>1476</v>
      </c>
      <c r="C180" t="s">
        <v>1475</v>
      </c>
    </row>
    <row r="181" spans="1:3" x14ac:dyDescent="0.25">
      <c r="A181" t="s">
        <v>1478</v>
      </c>
      <c r="B181" t="s">
        <v>1479</v>
      </c>
      <c r="C181" t="s">
        <v>1477</v>
      </c>
    </row>
    <row r="182" spans="1:3" x14ac:dyDescent="0.25">
      <c r="A182" t="s">
        <v>155</v>
      </c>
      <c r="B182" t="s">
        <v>1481</v>
      </c>
      <c r="C182" t="s">
        <v>1480</v>
      </c>
    </row>
    <row r="183" spans="1:3" x14ac:dyDescent="0.25">
      <c r="A183" t="s">
        <v>1483</v>
      </c>
      <c r="B183" t="s">
        <v>1484</v>
      </c>
      <c r="C183" t="s">
        <v>1482</v>
      </c>
    </row>
    <row r="184" spans="1:3" x14ac:dyDescent="0.25">
      <c r="A184" t="s">
        <v>170</v>
      </c>
      <c r="B184" t="s">
        <v>171</v>
      </c>
      <c r="C184" t="s">
        <v>1485</v>
      </c>
    </row>
    <row r="185" spans="1:3" x14ac:dyDescent="0.25">
      <c r="A185" t="s">
        <v>1487</v>
      </c>
      <c r="B185" t="s">
        <v>1488</v>
      </c>
      <c r="C185" t="s">
        <v>1486</v>
      </c>
    </row>
    <row r="186" spans="1:3" x14ac:dyDescent="0.25">
      <c r="A186" t="s">
        <v>162</v>
      </c>
      <c r="B186" t="s">
        <v>163</v>
      </c>
      <c r="C186" t="s">
        <v>1489</v>
      </c>
    </row>
    <row r="187" spans="1:3" x14ac:dyDescent="0.25">
      <c r="A187" t="s">
        <v>1491</v>
      </c>
      <c r="B187" t="s">
        <v>1492</v>
      </c>
      <c r="C187" t="s">
        <v>1490</v>
      </c>
    </row>
    <row r="188" spans="1:3" x14ac:dyDescent="0.25">
      <c r="A188" t="s">
        <v>159</v>
      </c>
      <c r="B188" t="s">
        <v>1494</v>
      </c>
      <c r="C188" t="s">
        <v>1493</v>
      </c>
    </row>
    <row r="189" spans="1:3" x14ac:dyDescent="0.25">
      <c r="A189" t="s">
        <v>1496</v>
      </c>
      <c r="B189" t="s">
        <v>1497</v>
      </c>
      <c r="C189" t="s">
        <v>1495</v>
      </c>
    </row>
    <row r="190" spans="1:3" x14ac:dyDescent="0.25">
      <c r="A190" t="s">
        <v>153</v>
      </c>
      <c r="B190" t="s">
        <v>1499</v>
      </c>
      <c r="C190" t="s">
        <v>1498</v>
      </c>
    </row>
    <row r="191" spans="1:3" x14ac:dyDescent="0.25">
      <c r="A191" t="s">
        <v>1501</v>
      </c>
      <c r="B191" t="s">
        <v>1497</v>
      </c>
      <c r="C191" t="s">
        <v>1500</v>
      </c>
    </row>
    <row r="192" spans="1:3" x14ac:dyDescent="0.25">
      <c r="A192" t="s">
        <v>1503</v>
      </c>
      <c r="B192" t="s">
        <v>128</v>
      </c>
      <c r="C192" t="s">
        <v>1502</v>
      </c>
    </row>
    <row r="193" spans="1:3" x14ac:dyDescent="0.25">
      <c r="A193" t="s">
        <v>267</v>
      </c>
      <c r="B193" t="s">
        <v>128</v>
      </c>
      <c r="C193" t="s">
        <v>299</v>
      </c>
    </row>
    <row r="194" spans="1:3" x14ac:dyDescent="0.25">
      <c r="A194" t="s">
        <v>1505</v>
      </c>
      <c r="B194" t="s">
        <v>129</v>
      </c>
      <c r="C194" t="s">
        <v>1504</v>
      </c>
    </row>
    <row r="195" spans="1:3" x14ac:dyDescent="0.25">
      <c r="A195" t="s">
        <v>266</v>
      </c>
      <c r="B195" t="s">
        <v>129</v>
      </c>
      <c r="C195" t="s">
        <v>300</v>
      </c>
    </row>
    <row r="196" spans="1:3" x14ac:dyDescent="0.25">
      <c r="A196" t="s">
        <v>1507</v>
      </c>
      <c r="B196" t="s">
        <v>1508</v>
      </c>
      <c r="C196" t="s">
        <v>1506</v>
      </c>
    </row>
    <row r="197" spans="1:3" x14ac:dyDescent="0.25">
      <c r="A197" t="s">
        <v>1510</v>
      </c>
      <c r="B197" t="s">
        <v>1511</v>
      </c>
      <c r="C197" t="s">
        <v>1509</v>
      </c>
    </row>
    <row r="198" spans="1:3" x14ac:dyDescent="0.25">
      <c r="A198" t="s">
        <v>1513</v>
      </c>
      <c r="B198" t="s">
        <v>1514</v>
      </c>
      <c r="C198" t="s">
        <v>1512</v>
      </c>
    </row>
    <row r="199" spans="1:3" x14ac:dyDescent="0.25">
      <c r="A199" t="s">
        <v>1516</v>
      </c>
      <c r="B199" t="s">
        <v>1517</v>
      </c>
      <c r="C199" t="s">
        <v>1515</v>
      </c>
    </row>
    <row r="200" spans="1:3" x14ac:dyDescent="0.25">
      <c r="A200" t="s">
        <v>1519</v>
      </c>
      <c r="B200" t="s">
        <v>1520</v>
      </c>
      <c r="C200" t="s">
        <v>1518</v>
      </c>
    </row>
    <row r="201" spans="1:3" x14ac:dyDescent="0.25">
      <c r="A201" t="s">
        <v>1522</v>
      </c>
      <c r="B201" t="s">
        <v>1523</v>
      </c>
      <c r="C201" t="s">
        <v>1521</v>
      </c>
    </row>
    <row r="202" spans="1:3" x14ac:dyDescent="0.25">
      <c r="A202" t="s">
        <v>1525</v>
      </c>
      <c r="B202" t="s">
        <v>1526</v>
      </c>
      <c r="C202" t="s">
        <v>1524</v>
      </c>
    </row>
    <row r="203" spans="1:3" x14ac:dyDescent="0.25">
      <c r="A203" t="s">
        <v>1528</v>
      </c>
      <c r="B203" t="s">
        <v>1529</v>
      </c>
      <c r="C203" t="s">
        <v>1527</v>
      </c>
    </row>
    <row r="204" spans="1:3" x14ac:dyDescent="0.25">
      <c r="A204" t="s">
        <v>1531</v>
      </c>
      <c r="B204" t="s">
        <v>1532</v>
      </c>
      <c r="C204" t="s">
        <v>1530</v>
      </c>
    </row>
    <row r="205" spans="1:3" x14ac:dyDescent="0.25">
      <c r="A205" t="s">
        <v>1534</v>
      </c>
      <c r="B205" t="s">
        <v>1535</v>
      </c>
      <c r="C205" t="s">
        <v>1533</v>
      </c>
    </row>
    <row r="206" spans="1:3" x14ac:dyDescent="0.25">
      <c r="A206" t="s">
        <v>1537</v>
      </c>
      <c r="B206" t="s">
        <v>1538</v>
      </c>
      <c r="C206" t="s">
        <v>1536</v>
      </c>
    </row>
    <row r="207" spans="1:3" x14ac:dyDescent="0.25">
      <c r="A207" t="s">
        <v>1540</v>
      </c>
      <c r="B207" t="s">
        <v>1541</v>
      </c>
      <c r="C207" t="s">
        <v>1539</v>
      </c>
    </row>
    <row r="208" spans="1:3" x14ac:dyDescent="0.25">
      <c r="A208" t="s">
        <v>1543</v>
      </c>
      <c r="B208" t="s">
        <v>1544</v>
      </c>
      <c r="C208" t="s">
        <v>1542</v>
      </c>
    </row>
    <row r="209" spans="1:3" x14ac:dyDescent="0.25">
      <c r="A209" t="s">
        <v>1546</v>
      </c>
      <c r="B209" t="s">
        <v>1547</v>
      </c>
      <c r="C209" t="s">
        <v>1545</v>
      </c>
    </row>
    <row r="210" spans="1:3" x14ac:dyDescent="0.25">
      <c r="A210" t="s">
        <v>1549</v>
      </c>
      <c r="B210" t="s">
        <v>1550</v>
      </c>
      <c r="C210" t="s">
        <v>1548</v>
      </c>
    </row>
    <row r="211" spans="1:3" x14ac:dyDescent="0.25">
      <c r="A211" t="s">
        <v>1552</v>
      </c>
      <c r="B211" t="s">
        <v>1553</v>
      </c>
      <c r="C211" t="s">
        <v>1551</v>
      </c>
    </row>
    <row r="212" spans="1:3" x14ac:dyDescent="0.25">
      <c r="A212" t="s">
        <v>1555</v>
      </c>
      <c r="B212" t="s">
        <v>1556</v>
      </c>
      <c r="C212" t="s">
        <v>1554</v>
      </c>
    </row>
    <row r="213" spans="1:3" x14ac:dyDescent="0.25">
      <c r="A213" t="s">
        <v>1558</v>
      </c>
      <c r="B213" t="s">
        <v>1559</v>
      </c>
      <c r="C213" t="s">
        <v>1557</v>
      </c>
    </row>
    <row r="214" spans="1:3" x14ac:dyDescent="0.25">
      <c r="A214" t="s">
        <v>1561</v>
      </c>
      <c r="B214" t="s">
        <v>1562</v>
      </c>
      <c r="C214" t="s">
        <v>1560</v>
      </c>
    </row>
    <row r="215" spans="1:3" x14ac:dyDescent="0.25">
      <c r="A215" t="s">
        <v>1564</v>
      </c>
      <c r="B215" t="s">
        <v>1565</v>
      </c>
      <c r="C215" t="s">
        <v>1563</v>
      </c>
    </row>
    <row r="216" spans="1:3" x14ac:dyDescent="0.25">
      <c r="A216" t="s">
        <v>1567</v>
      </c>
      <c r="B216" t="s">
        <v>1568</v>
      </c>
      <c r="C216" t="s">
        <v>1566</v>
      </c>
    </row>
    <row r="217" spans="1:3" x14ac:dyDescent="0.25">
      <c r="A217" t="s">
        <v>1570</v>
      </c>
      <c r="B217" t="s">
        <v>1571</v>
      </c>
      <c r="C217" t="s">
        <v>1569</v>
      </c>
    </row>
    <row r="218" spans="1:3" x14ac:dyDescent="0.25">
      <c r="A218" t="s">
        <v>1573</v>
      </c>
      <c r="B218" t="s">
        <v>1574</v>
      </c>
      <c r="C218" t="s">
        <v>1572</v>
      </c>
    </row>
    <row r="219" spans="1:3" x14ac:dyDescent="0.25">
      <c r="A219" t="s">
        <v>1576</v>
      </c>
      <c r="B219" t="s">
        <v>1577</v>
      </c>
      <c r="C219" t="s">
        <v>1575</v>
      </c>
    </row>
    <row r="220" spans="1:3" x14ac:dyDescent="0.25">
      <c r="A220" t="s">
        <v>1579</v>
      </c>
      <c r="B220" t="s">
        <v>1580</v>
      </c>
      <c r="C220" t="s">
        <v>1578</v>
      </c>
    </row>
    <row r="221" spans="1:3" x14ac:dyDescent="0.25">
      <c r="A221" t="s">
        <v>1582</v>
      </c>
      <c r="B221" t="s">
        <v>1583</v>
      </c>
      <c r="C221" t="s">
        <v>1581</v>
      </c>
    </row>
    <row r="222" spans="1:3" x14ac:dyDescent="0.25">
      <c r="A222" t="s">
        <v>1585</v>
      </c>
      <c r="B222" t="s">
        <v>1586</v>
      </c>
      <c r="C222" t="s">
        <v>1584</v>
      </c>
    </row>
    <row r="223" spans="1:3" x14ac:dyDescent="0.25">
      <c r="A223" t="s">
        <v>1588</v>
      </c>
      <c r="B223" t="s">
        <v>1586</v>
      </c>
      <c r="C223" t="s">
        <v>1587</v>
      </c>
    </row>
    <row r="224" spans="1:3" x14ac:dyDescent="0.25">
      <c r="A224" t="s">
        <v>1590</v>
      </c>
      <c r="B224" t="s">
        <v>1591</v>
      </c>
      <c r="C224" t="s">
        <v>1589</v>
      </c>
    </row>
    <row r="225" spans="1:3" x14ac:dyDescent="0.25">
      <c r="A225" t="s">
        <v>1593</v>
      </c>
      <c r="B225" t="s">
        <v>1594</v>
      </c>
      <c r="C225" t="s">
        <v>1592</v>
      </c>
    </row>
    <row r="226" spans="1:3" x14ac:dyDescent="0.25">
      <c r="A226" t="s">
        <v>1596</v>
      </c>
      <c r="B226" t="s">
        <v>1597</v>
      </c>
      <c r="C226" t="s">
        <v>1595</v>
      </c>
    </row>
    <row r="227" spans="1:3" x14ac:dyDescent="0.25">
      <c r="A227" t="s">
        <v>1599</v>
      </c>
      <c r="B227" t="s">
        <v>1600</v>
      </c>
      <c r="C227" t="s">
        <v>1598</v>
      </c>
    </row>
    <row r="228" spans="1:3" x14ac:dyDescent="0.25">
      <c r="A228" t="s">
        <v>1602</v>
      </c>
      <c r="B228" t="s">
        <v>1603</v>
      </c>
      <c r="C228" t="s">
        <v>1601</v>
      </c>
    </row>
    <row r="229" spans="1:3" x14ac:dyDescent="0.25">
      <c r="A229" t="s">
        <v>1605</v>
      </c>
      <c r="B229" t="s">
        <v>1606</v>
      </c>
      <c r="C229" t="s">
        <v>1604</v>
      </c>
    </row>
    <row r="230" spans="1:3" x14ac:dyDescent="0.25">
      <c r="A230" t="s">
        <v>1608</v>
      </c>
      <c r="B230" t="s">
        <v>1609</v>
      </c>
      <c r="C230" t="s">
        <v>1607</v>
      </c>
    </row>
    <row r="231" spans="1:3" x14ac:dyDescent="0.25">
      <c r="A231" t="s">
        <v>1611</v>
      </c>
      <c r="B231" t="s">
        <v>1612</v>
      </c>
      <c r="C231" t="s">
        <v>1610</v>
      </c>
    </row>
    <row r="232" spans="1:3" x14ac:dyDescent="0.25">
      <c r="A232" t="s">
        <v>1614</v>
      </c>
      <c r="B232" t="s">
        <v>1615</v>
      </c>
      <c r="C232" t="s">
        <v>1613</v>
      </c>
    </row>
    <row r="233" spans="1:3" x14ac:dyDescent="0.25">
      <c r="A233" t="s">
        <v>1617</v>
      </c>
      <c r="B233" t="s">
        <v>1618</v>
      </c>
      <c r="C233" t="s">
        <v>1616</v>
      </c>
    </row>
    <row r="234" spans="1:3" x14ac:dyDescent="0.25">
      <c r="A234" t="s">
        <v>1620</v>
      </c>
      <c r="B234" t="s">
        <v>1621</v>
      </c>
      <c r="C234" t="s">
        <v>1619</v>
      </c>
    </row>
    <row r="235" spans="1:3" x14ac:dyDescent="0.25">
      <c r="A235" t="s">
        <v>1623</v>
      </c>
      <c r="B235" t="s">
        <v>1624</v>
      </c>
      <c r="C235" t="s">
        <v>1622</v>
      </c>
    </row>
    <row r="236" spans="1:3" x14ac:dyDescent="0.25">
      <c r="A236" t="s">
        <v>1626</v>
      </c>
      <c r="B236" t="s">
        <v>1627</v>
      </c>
      <c r="C236" t="s">
        <v>1625</v>
      </c>
    </row>
    <row r="237" spans="1:3" x14ac:dyDescent="0.25">
      <c r="A237" t="s">
        <v>1629</v>
      </c>
      <c r="B237" t="s">
        <v>1630</v>
      </c>
      <c r="C237" t="s">
        <v>1628</v>
      </c>
    </row>
    <row r="238" spans="1:3" x14ac:dyDescent="0.25">
      <c r="A238" t="s">
        <v>1632</v>
      </c>
      <c r="B238" t="s">
        <v>1633</v>
      </c>
      <c r="C238" t="s">
        <v>1631</v>
      </c>
    </row>
    <row r="239" spans="1:3" x14ac:dyDescent="0.25">
      <c r="A239" t="s">
        <v>1635</v>
      </c>
      <c r="B239" t="s">
        <v>1636</v>
      </c>
      <c r="C239" t="s">
        <v>1634</v>
      </c>
    </row>
    <row r="240" spans="1:3" x14ac:dyDescent="0.25">
      <c r="A240" t="s">
        <v>1638</v>
      </c>
      <c r="B240" t="s">
        <v>1639</v>
      </c>
      <c r="C240" t="s">
        <v>1637</v>
      </c>
    </row>
    <row r="241" spans="1:3" x14ac:dyDescent="0.25">
      <c r="A241" t="s">
        <v>1641</v>
      </c>
      <c r="B241" t="s">
        <v>1642</v>
      </c>
      <c r="C241" t="s">
        <v>1640</v>
      </c>
    </row>
    <row r="242" spans="1:3" x14ac:dyDescent="0.25">
      <c r="A242" t="s">
        <v>1644</v>
      </c>
      <c r="B242" t="s">
        <v>1645</v>
      </c>
      <c r="C242" t="s">
        <v>1643</v>
      </c>
    </row>
    <row r="243" spans="1:3" x14ac:dyDescent="0.25">
      <c r="A243" t="s">
        <v>1647</v>
      </c>
      <c r="B243" t="s">
        <v>1648</v>
      </c>
      <c r="C243" t="s">
        <v>1646</v>
      </c>
    </row>
    <row r="244" spans="1:3" x14ac:dyDescent="0.25">
      <c r="A244" t="s">
        <v>1650</v>
      </c>
      <c r="B244" t="s">
        <v>1651</v>
      </c>
      <c r="C244" t="s">
        <v>1649</v>
      </c>
    </row>
    <row r="245" spans="1:3" x14ac:dyDescent="0.25">
      <c r="A245" t="s">
        <v>1653</v>
      </c>
      <c r="B245" t="s">
        <v>1654</v>
      </c>
      <c r="C245" t="s">
        <v>1652</v>
      </c>
    </row>
    <row r="246" spans="1:3" x14ac:dyDescent="0.25">
      <c r="A246" t="s">
        <v>1656</v>
      </c>
      <c r="B246" t="s">
        <v>1657</v>
      </c>
      <c r="C246" t="s">
        <v>1655</v>
      </c>
    </row>
    <row r="247" spans="1:3" x14ac:dyDescent="0.25">
      <c r="A247" t="s">
        <v>1659</v>
      </c>
      <c r="B247" t="s">
        <v>1660</v>
      </c>
      <c r="C247" t="s">
        <v>1658</v>
      </c>
    </row>
    <row r="248" spans="1:3" x14ac:dyDescent="0.25">
      <c r="A248" t="s">
        <v>1662</v>
      </c>
      <c r="B248" t="s">
        <v>1663</v>
      </c>
      <c r="C248" t="s">
        <v>1661</v>
      </c>
    </row>
    <row r="249" spans="1:3" x14ac:dyDescent="0.25">
      <c r="A249" t="s">
        <v>1665</v>
      </c>
      <c r="B249" t="s">
        <v>1666</v>
      </c>
      <c r="C249" t="s">
        <v>1664</v>
      </c>
    </row>
    <row r="250" spans="1:3" x14ac:dyDescent="0.25">
      <c r="A250" t="s">
        <v>1668</v>
      </c>
      <c r="B250" t="s">
        <v>1669</v>
      </c>
      <c r="C250" t="s">
        <v>1667</v>
      </c>
    </row>
    <row r="251" spans="1:3" x14ac:dyDescent="0.25">
      <c r="A251" t="s">
        <v>1671</v>
      </c>
      <c r="B251" t="s">
        <v>1672</v>
      </c>
      <c r="C251" t="s">
        <v>1670</v>
      </c>
    </row>
    <row r="252" spans="1:3" x14ac:dyDescent="0.25">
      <c r="A252" t="s">
        <v>1674</v>
      </c>
      <c r="B252" t="s">
        <v>1675</v>
      </c>
      <c r="C252" t="s">
        <v>1673</v>
      </c>
    </row>
    <row r="253" spans="1:3" x14ac:dyDescent="0.25">
      <c r="A253" t="s">
        <v>1677</v>
      </c>
      <c r="B253" t="s">
        <v>1678</v>
      </c>
      <c r="C253" t="s">
        <v>1676</v>
      </c>
    </row>
    <row r="254" spans="1:3" x14ac:dyDescent="0.25">
      <c r="A254" t="s">
        <v>1680</v>
      </c>
      <c r="B254" t="s">
        <v>1681</v>
      </c>
      <c r="C254" t="s">
        <v>1679</v>
      </c>
    </row>
    <row r="255" spans="1:3" x14ac:dyDescent="0.25">
      <c r="A255" t="s">
        <v>1683</v>
      </c>
      <c r="B255" t="s">
        <v>1684</v>
      </c>
      <c r="C255" t="s">
        <v>1682</v>
      </c>
    </row>
    <row r="256" spans="1:3" x14ac:dyDescent="0.25">
      <c r="A256" t="s">
        <v>1686</v>
      </c>
      <c r="B256" t="s">
        <v>1687</v>
      </c>
      <c r="C256" t="s">
        <v>1685</v>
      </c>
    </row>
    <row r="257" spans="1:3" x14ac:dyDescent="0.25">
      <c r="A257" t="s">
        <v>1689</v>
      </c>
      <c r="B257" t="s">
        <v>1690</v>
      </c>
      <c r="C257" t="s">
        <v>1688</v>
      </c>
    </row>
    <row r="258" spans="1:3" x14ac:dyDescent="0.25">
      <c r="A258" t="s">
        <v>1692</v>
      </c>
      <c r="B258" t="s">
        <v>1693</v>
      </c>
      <c r="C258" t="s">
        <v>1691</v>
      </c>
    </row>
    <row r="259" spans="1:3" x14ac:dyDescent="0.25">
      <c r="A259" t="s">
        <v>1695</v>
      </c>
      <c r="B259" t="s">
        <v>1696</v>
      </c>
      <c r="C259" t="s">
        <v>1694</v>
      </c>
    </row>
    <row r="260" spans="1:3" x14ac:dyDescent="0.25">
      <c r="A260" t="s">
        <v>1698</v>
      </c>
      <c r="B260" t="s">
        <v>1699</v>
      </c>
      <c r="C260" t="s">
        <v>1697</v>
      </c>
    </row>
    <row r="261" spans="1:3" x14ac:dyDescent="0.25">
      <c r="A261" t="s">
        <v>1701</v>
      </c>
      <c r="B261" t="s">
        <v>1702</v>
      </c>
      <c r="C261" t="s">
        <v>1700</v>
      </c>
    </row>
    <row r="262" spans="1:3" x14ac:dyDescent="0.25">
      <c r="A262" t="s">
        <v>1704</v>
      </c>
      <c r="B262" t="s">
        <v>1705</v>
      </c>
      <c r="C262" t="s">
        <v>1703</v>
      </c>
    </row>
    <row r="263" spans="1:3" x14ac:dyDescent="0.25">
      <c r="A263" t="s">
        <v>1707</v>
      </c>
      <c r="B263" t="s">
        <v>1708</v>
      </c>
      <c r="C263" t="s">
        <v>1706</v>
      </c>
    </row>
    <row r="264" spans="1:3" x14ac:dyDescent="0.25">
      <c r="A264" t="s">
        <v>1710</v>
      </c>
      <c r="B264" t="s">
        <v>1702</v>
      </c>
      <c r="C264" t="s">
        <v>1709</v>
      </c>
    </row>
    <row r="265" spans="1:3" x14ac:dyDescent="0.25">
      <c r="A265" t="s">
        <v>1712</v>
      </c>
      <c r="B265" t="s">
        <v>1713</v>
      </c>
      <c r="C265" t="s">
        <v>1711</v>
      </c>
    </row>
    <row r="266" spans="1:3" x14ac:dyDescent="0.25">
      <c r="A266" t="s">
        <v>1715</v>
      </c>
      <c r="B266" t="s">
        <v>1716</v>
      </c>
      <c r="C266" t="s">
        <v>1714</v>
      </c>
    </row>
    <row r="267" spans="1:3" x14ac:dyDescent="0.25">
      <c r="A267" t="s">
        <v>1717</v>
      </c>
      <c r="B267" t="s">
        <v>1718</v>
      </c>
      <c r="C267" t="s">
        <v>1396</v>
      </c>
    </row>
    <row r="268" spans="1:3" x14ac:dyDescent="0.25">
      <c r="A268" t="s">
        <v>1720</v>
      </c>
      <c r="B268" t="s">
        <v>1721</v>
      </c>
      <c r="C268" t="s">
        <v>1719</v>
      </c>
    </row>
    <row r="269" spans="1:3" x14ac:dyDescent="0.25">
      <c r="A269" t="s">
        <v>1723</v>
      </c>
      <c r="B269" t="s">
        <v>1724</v>
      </c>
      <c r="C269" t="s">
        <v>1722</v>
      </c>
    </row>
    <row r="270" spans="1:3" x14ac:dyDescent="0.25">
      <c r="A270" t="s">
        <v>1726</v>
      </c>
      <c r="B270" t="s">
        <v>1727</v>
      </c>
      <c r="C270" t="s">
        <v>1725</v>
      </c>
    </row>
    <row r="271" spans="1:3" x14ac:dyDescent="0.25">
      <c r="A271" t="s">
        <v>1729</v>
      </c>
      <c r="B271" t="s">
        <v>1730</v>
      </c>
      <c r="C271" t="s">
        <v>1728</v>
      </c>
    </row>
    <row r="272" spans="1:3" x14ac:dyDescent="0.25">
      <c r="A272" t="s">
        <v>1732</v>
      </c>
      <c r="B272" t="s">
        <v>1733</v>
      </c>
      <c r="C272" t="s">
        <v>1731</v>
      </c>
    </row>
    <row r="273" spans="1:3" x14ac:dyDescent="0.25">
      <c r="A273" t="s">
        <v>1735</v>
      </c>
      <c r="B273" t="s">
        <v>1736</v>
      </c>
      <c r="C273" t="s">
        <v>1734</v>
      </c>
    </row>
    <row r="274" spans="1:3" x14ac:dyDescent="0.25">
      <c r="A274" t="s">
        <v>1738</v>
      </c>
      <c r="B274" t="s">
        <v>167</v>
      </c>
      <c r="C274" t="s">
        <v>1737</v>
      </c>
    </row>
    <row r="275" spans="1:3" x14ac:dyDescent="0.25">
      <c r="A275" t="s">
        <v>1740</v>
      </c>
      <c r="B275" t="s">
        <v>1476</v>
      </c>
      <c r="C275" t="s">
        <v>1739</v>
      </c>
    </row>
    <row r="276" spans="1:3" x14ac:dyDescent="0.25">
      <c r="A276" t="s">
        <v>1742</v>
      </c>
      <c r="B276" t="s">
        <v>1481</v>
      </c>
      <c r="C276" t="s">
        <v>1741</v>
      </c>
    </row>
    <row r="277" spans="1:3" x14ac:dyDescent="0.25">
      <c r="A277" t="s">
        <v>1744</v>
      </c>
      <c r="B277" t="s">
        <v>171</v>
      </c>
      <c r="C277" t="s">
        <v>1743</v>
      </c>
    </row>
    <row r="278" spans="1:3" x14ac:dyDescent="0.25">
      <c r="A278" t="s">
        <v>1746</v>
      </c>
      <c r="B278" t="s">
        <v>163</v>
      </c>
      <c r="C278" t="s">
        <v>1745</v>
      </c>
    </row>
    <row r="279" spans="1:3" x14ac:dyDescent="0.25">
      <c r="A279" t="s">
        <v>1748</v>
      </c>
      <c r="B279" t="s">
        <v>1494</v>
      </c>
      <c r="C279" t="s">
        <v>1747</v>
      </c>
    </row>
    <row r="280" spans="1:3" x14ac:dyDescent="0.25">
      <c r="A280" t="s">
        <v>1750</v>
      </c>
      <c r="B280" t="s">
        <v>1751</v>
      </c>
      <c r="C280" t="s">
        <v>1749</v>
      </c>
    </row>
    <row r="281" spans="1:3" x14ac:dyDescent="0.25">
      <c r="A281" t="s">
        <v>1753</v>
      </c>
      <c r="B281" t="s">
        <v>1754</v>
      </c>
      <c r="C281" t="s">
        <v>1752</v>
      </c>
    </row>
    <row r="282" spans="1:3" x14ac:dyDescent="0.25">
      <c r="A282" t="s">
        <v>1755</v>
      </c>
      <c r="B282" t="s">
        <v>1756</v>
      </c>
      <c r="C282" t="s">
        <v>1002</v>
      </c>
    </row>
    <row r="283" spans="1:3" x14ac:dyDescent="0.25">
      <c r="A283" t="s">
        <v>1757</v>
      </c>
      <c r="B283" t="s">
        <v>1756</v>
      </c>
      <c r="C283" t="s">
        <v>1170</v>
      </c>
    </row>
    <row r="284" spans="1:3" x14ac:dyDescent="0.25">
      <c r="A284" t="s">
        <v>1759</v>
      </c>
      <c r="B284" t="s">
        <v>1760</v>
      </c>
      <c r="C284" t="s">
        <v>1758</v>
      </c>
    </row>
    <row r="285" spans="1:3" x14ac:dyDescent="0.25">
      <c r="A285" t="s">
        <v>1762</v>
      </c>
      <c r="B285" t="s">
        <v>1763</v>
      </c>
      <c r="C285" t="s">
        <v>1761</v>
      </c>
    </row>
    <row r="286" spans="1:3" x14ac:dyDescent="0.25">
      <c r="A286" t="s">
        <v>1765</v>
      </c>
      <c r="B286" t="s">
        <v>1766</v>
      </c>
      <c r="C286" t="s">
        <v>1764</v>
      </c>
    </row>
    <row r="287" spans="1:3" x14ac:dyDescent="0.25">
      <c r="A287" t="s">
        <v>1768</v>
      </c>
      <c r="B287" t="s">
        <v>1769</v>
      </c>
      <c r="C287" t="s">
        <v>1767</v>
      </c>
    </row>
    <row r="288" spans="1:3" x14ac:dyDescent="0.25">
      <c r="A288" t="s">
        <v>1771</v>
      </c>
      <c r="B288" t="s">
        <v>1772</v>
      </c>
      <c r="C288" t="s">
        <v>1770</v>
      </c>
    </row>
    <row r="289" spans="1:3" x14ac:dyDescent="0.25">
      <c r="A289" t="s">
        <v>1774</v>
      </c>
      <c r="B289" t="s">
        <v>1775</v>
      </c>
      <c r="C289" t="s">
        <v>1773</v>
      </c>
    </row>
    <row r="290" spans="1:3" x14ac:dyDescent="0.25">
      <c r="A290" t="s">
        <v>1777</v>
      </c>
      <c r="B290" t="s">
        <v>1778</v>
      </c>
      <c r="C290" t="s">
        <v>1776</v>
      </c>
    </row>
    <row r="291" spans="1:3" x14ac:dyDescent="0.25">
      <c r="A291" t="s">
        <v>1780</v>
      </c>
      <c r="B291" t="s">
        <v>1781</v>
      </c>
      <c r="C291" t="s">
        <v>1779</v>
      </c>
    </row>
    <row r="292" spans="1:3" x14ac:dyDescent="0.25">
      <c r="A292" t="s">
        <v>1783</v>
      </c>
      <c r="B292" t="s">
        <v>1784</v>
      </c>
      <c r="C292" t="s">
        <v>1782</v>
      </c>
    </row>
    <row r="293" spans="1:3" x14ac:dyDescent="0.25">
      <c r="A293" t="s">
        <v>1786</v>
      </c>
      <c r="B293" t="s">
        <v>1787</v>
      </c>
      <c r="C293" t="s">
        <v>1785</v>
      </c>
    </row>
    <row r="294" spans="1:3" x14ac:dyDescent="0.25">
      <c r="A294" t="s">
        <v>1789</v>
      </c>
      <c r="B294" t="s">
        <v>1787</v>
      </c>
      <c r="C294" t="s">
        <v>1788</v>
      </c>
    </row>
    <row r="295" spans="1:3" x14ac:dyDescent="0.25">
      <c r="A295" t="s">
        <v>1791</v>
      </c>
      <c r="B295" t="s">
        <v>1792</v>
      </c>
      <c r="C295" t="s">
        <v>1790</v>
      </c>
    </row>
    <row r="296" spans="1:3" x14ac:dyDescent="0.25">
      <c r="A296" t="s">
        <v>1794</v>
      </c>
      <c r="B296" t="s">
        <v>1792</v>
      </c>
      <c r="C296" t="s">
        <v>1793</v>
      </c>
    </row>
    <row r="297" spans="1:3" x14ac:dyDescent="0.25">
      <c r="A297" t="s">
        <v>1796</v>
      </c>
      <c r="B297" t="s">
        <v>1797</v>
      </c>
      <c r="C297" t="s">
        <v>1795</v>
      </c>
    </row>
    <row r="298" spans="1:3" x14ac:dyDescent="0.25">
      <c r="A298" t="s">
        <v>1799</v>
      </c>
      <c r="B298" t="s">
        <v>1800</v>
      </c>
      <c r="C298" t="s">
        <v>1798</v>
      </c>
    </row>
    <row r="299" spans="1:3" x14ac:dyDescent="0.25">
      <c r="A299" t="s">
        <v>1802</v>
      </c>
      <c r="B299" t="s">
        <v>1800</v>
      </c>
      <c r="C299" t="s">
        <v>1801</v>
      </c>
    </row>
    <row r="300" spans="1:3" x14ac:dyDescent="0.25">
      <c r="A300" t="s">
        <v>1804</v>
      </c>
      <c r="B300" t="s">
        <v>1805</v>
      </c>
      <c r="C300" t="s">
        <v>1803</v>
      </c>
    </row>
    <row r="301" spans="1:3" x14ac:dyDescent="0.25">
      <c r="A301" t="s">
        <v>1807</v>
      </c>
      <c r="B301" t="s">
        <v>1808</v>
      </c>
      <c r="C301" t="s">
        <v>1806</v>
      </c>
    </row>
    <row r="302" spans="1:3" x14ac:dyDescent="0.25">
      <c r="A302" t="s">
        <v>1810</v>
      </c>
      <c r="B302" t="s">
        <v>1808</v>
      </c>
      <c r="C302" t="s">
        <v>1809</v>
      </c>
    </row>
    <row r="303" spans="1:3" x14ac:dyDescent="0.25">
      <c r="A303" t="s">
        <v>1812</v>
      </c>
      <c r="B303" t="s">
        <v>1813</v>
      </c>
      <c r="C303" t="s">
        <v>1811</v>
      </c>
    </row>
    <row r="304" spans="1:3" x14ac:dyDescent="0.25">
      <c r="A304" t="s">
        <v>1815</v>
      </c>
      <c r="B304" t="s">
        <v>1816</v>
      </c>
      <c r="C304" t="s">
        <v>1814</v>
      </c>
    </row>
    <row r="305" spans="1:3" x14ac:dyDescent="0.25">
      <c r="A305" t="s">
        <v>1818</v>
      </c>
      <c r="B305" t="s">
        <v>1819</v>
      </c>
      <c r="C305" t="s">
        <v>1817</v>
      </c>
    </row>
    <row r="306" spans="1:3" x14ac:dyDescent="0.25">
      <c r="A306" t="s">
        <v>1821</v>
      </c>
      <c r="B306" t="s">
        <v>1822</v>
      </c>
      <c r="C306" t="s">
        <v>1820</v>
      </c>
    </row>
    <row r="307" spans="1:3" x14ac:dyDescent="0.25">
      <c r="A307" t="s">
        <v>1824</v>
      </c>
      <c r="B307" t="s">
        <v>1822</v>
      </c>
      <c r="C307" t="s">
        <v>1823</v>
      </c>
    </row>
    <row r="308" spans="1:3" x14ac:dyDescent="0.25">
      <c r="A308" t="s">
        <v>1826</v>
      </c>
      <c r="B308" t="s">
        <v>1827</v>
      </c>
      <c r="C308" t="s">
        <v>1825</v>
      </c>
    </row>
    <row r="309" spans="1:3" x14ac:dyDescent="0.25">
      <c r="A309" t="s">
        <v>1829</v>
      </c>
      <c r="B309" t="s">
        <v>1830</v>
      </c>
      <c r="C309" t="s">
        <v>1828</v>
      </c>
    </row>
    <row r="310" spans="1:3" x14ac:dyDescent="0.25">
      <c r="A310" t="s">
        <v>1832</v>
      </c>
      <c r="B310" t="s">
        <v>1833</v>
      </c>
      <c r="C310" t="s">
        <v>1831</v>
      </c>
    </row>
    <row r="311" spans="1:3" x14ac:dyDescent="0.25">
      <c r="A311" t="s">
        <v>1835</v>
      </c>
      <c r="B311" t="s">
        <v>1836</v>
      </c>
      <c r="C311" t="s">
        <v>1834</v>
      </c>
    </row>
    <row r="312" spans="1:3" x14ac:dyDescent="0.25">
      <c r="A312" t="s">
        <v>1838</v>
      </c>
      <c r="B312" t="s">
        <v>1839</v>
      </c>
      <c r="C312" t="s">
        <v>1837</v>
      </c>
    </row>
    <row r="313" spans="1:3" x14ac:dyDescent="0.25">
      <c r="A313" t="s">
        <v>1841</v>
      </c>
      <c r="B313" t="s">
        <v>1839</v>
      </c>
      <c r="C313" t="s">
        <v>1840</v>
      </c>
    </row>
    <row r="314" spans="1:3" x14ac:dyDescent="0.25">
      <c r="A314" t="s">
        <v>1843</v>
      </c>
      <c r="B314" t="s">
        <v>1844</v>
      </c>
      <c r="C314" t="s">
        <v>1842</v>
      </c>
    </row>
    <row r="315" spans="1:3" x14ac:dyDescent="0.25">
      <c r="A315" t="s">
        <v>1846</v>
      </c>
      <c r="B315" t="s">
        <v>1847</v>
      </c>
      <c r="C315" t="s">
        <v>1845</v>
      </c>
    </row>
    <row r="316" spans="1:3" x14ac:dyDescent="0.25">
      <c r="A316" t="s">
        <v>1849</v>
      </c>
      <c r="B316" t="s">
        <v>1850</v>
      </c>
      <c r="C316" t="s">
        <v>1848</v>
      </c>
    </row>
    <row r="317" spans="1:3" x14ac:dyDescent="0.25">
      <c r="A317" t="s">
        <v>1852</v>
      </c>
      <c r="B317" t="s">
        <v>1853</v>
      </c>
      <c r="C317" t="s">
        <v>1851</v>
      </c>
    </row>
    <row r="318" spans="1:3" x14ac:dyDescent="0.25">
      <c r="A318" t="s">
        <v>1855</v>
      </c>
      <c r="B318" t="s">
        <v>1856</v>
      </c>
      <c r="C318" t="s">
        <v>1854</v>
      </c>
    </row>
    <row r="319" spans="1:3" x14ac:dyDescent="0.25">
      <c r="A319" t="s">
        <v>1858</v>
      </c>
      <c r="B319" t="s">
        <v>1859</v>
      </c>
      <c r="C319" t="s">
        <v>1857</v>
      </c>
    </row>
    <row r="320" spans="1:3" x14ac:dyDescent="0.25">
      <c r="A320" t="s">
        <v>1861</v>
      </c>
      <c r="B320" t="s">
        <v>1862</v>
      </c>
      <c r="C320" t="s">
        <v>1860</v>
      </c>
    </row>
    <row r="321" spans="1:3" x14ac:dyDescent="0.25">
      <c r="A321" t="s">
        <v>1864</v>
      </c>
      <c r="B321" t="s">
        <v>1865</v>
      </c>
      <c r="C321" t="s">
        <v>1863</v>
      </c>
    </row>
    <row r="322" spans="1:3" x14ac:dyDescent="0.25">
      <c r="A322" t="s">
        <v>1867</v>
      </c>
      <c r="B322" t="s">
        <v>1868</v>
      </c>
      <c r="C322" t="s">
        <v>1866</v>
      </c>
    </row>
    <row r="323" spans="1:3" x14ac:dyDescent="0.25">
      <c r="A323" t="s">
        <v>1870</v>
      </c>
      <c r="B323" t="s">
        <v>1871</v>
      </c>
      <c r="C323" t="s">
        <v>1869</v>
      </c>
    </row>
    <row r="324" spans="1:3" x14ac:dyDescent="0.25">
      <c r="A324" t="s">
        <v>1873</v>
      </c>
      <c r="B324" t="s">
        <v>1874</v>
      </c>
      <c r="C324" t="s">
        <v>1872</v>
      </c>
    </row>
    <row r="325" spans="1:3" x14ac:dyDescent="0.25">
      <c r="A325" t="s">
        <v>1876</v>
      </c>
      <c r="B325" t="s">
        <v>1877</v>
      </c>
      <c r="C325" t="s">
        <v>1875</v>
      </c>
    </row>
    <row r="326" spans="1:3" x14ac:dyDescent="0.25">
      <c r="A326" t="s">
        <v>1879</v>
      </c>
      <c r="B326" t="s">
        <v>1880</v>
      </c>
      <c r="C326" t="s">
        <v>1878</v>
      </c>
    </row>
    <row r="327" spans="1:3" x14ac:dyDescent="0.25">
      <c r="A327" t="s">
        <v>1882</v>
      </c>
      <c r="B327" t="s">
        <v>1883</v>
      </c>
      <c r="C327" t="s">
        <v>1881</v>
      </c>
    </row>
    <row r="328" spans="1:3" x14ac:dyDescent="0.25">
      <c r="A328" t="s">
        <v>1885</v>
      </c>
      <c r="B328" t="s">
        <v>1886</v>
      </c>
      <c r="C328" t="s">
        <v>1884</v>
      </c>
    </row>
    <row r="329" spans="1:3" x14ac:dyDescent="0.25">
      <c r="A329" t="s">
        <v>1888</v>
      </c>
      <c r="B329" t="s">
        <v>1889</v>
      </c>
      <c r="C329" t="s">
        <v>1887</v>
      </c>
    </row>
    <row r="330" spans="1:3" x14ac:dyDescent="0.25">
      <c r="A330" t="s">
        <v>1891</v>
      </c>
      <c r="B330" t="s">
        <v>1892</v>
      </c>
      <c r="C330" t="s">
        <v>1890</v>
      </c>
    </row>
    <row r="331" spans="1:3" x14ac:dyDescent="0.25">
      <c r="A331" t="s">
        <v>1894</v>
      </c>
      <c r="B331" t="s">
        <v>1895</v>
      </c>
      <c r="C331" t="s">
        <v>1893</v>
      </c>
    </row>
    <row r="332" spans="1:3" x14ac:dyDescent="0.25">
      <c r="A332" t="s">
        <v>1897</v>
      </c>
      <c r="B332" t="s">
        <v>1898</v>
      </c>
      <c r="C332" t="s">
        <v>1896</v>
      </c>
    </row>
    <row r="333" spans="1:3" x14ac:dyDescent="0.25">
      <c r="A333" t="s">
        <v>1900</v>
      </c>
      <c r="B333" t="s">
        <v>1901</v>
      </c>
      <c r="C333" t="s">
        <v>1899</v>
      </c>
    </row>
    <row r="334" spans="1:3" x14ac:dyDescent="0.25">
      <c r="A334" t="s">
        <v>1903</v>
      </c>
      <c r="B334" t="s">
        <v>1904</v>
      </c>
      <c r="C334" t="s">
        <v>1902</v>
      </c>
    </row>
    <row r="335" spans="1:3" x14ac:dyDescent="0.25">
      <c r="A335" t="s">
        <v>1906</v>
      </c>
      <c r="B335" t="s">
        <v>1907</v>
      </c>
      <c r="C335" t="s">
        <v>1905</v>
      </c>
    </row>
    <row r="336" spans="1:3" x14ac:dyDescent="0.25">
      <c r="A336" t="s">
        <v>1908</v>
      </c>
      <c r="B336" t="s">
        <v>1909</v>
      </c>
      <c r="C336" t="s">
        <v>1905</v>
      </c>
    </row>
    <row r="337" spans="1:3" x14ac:dyDescent="0.25">
      <c r="A337" t="s">
        <v>1911</v>
      </c>
      <c r="B337" t="s">
        <v>1912</v>
      </c>
      <c r="C337" t="s">
        <v>1910</v>
      </c>
    </row>
    <row r="338" spans="1:3" x14ac:dyDescent="0.25">
      <c r="A338" t="s">
        <v>1914</v>
      </c>
      <c r="B338" t="s">
        <v>1915</v>
      </c>
      <c r="C338" t="s">
        <v>1913</v>
      </c>
    </row>
    <row r="339" spans="1:3" x14ac:dyDescent="0.25">
      <c r="A339" t="s">
        <v>1917</v>
      </c>
      <c r="B339" t="s">
        <v>1918</v>
      </c>
      <c r="C339" t="s">
        <v>1916</v>
      </c>
    </row>
    <row r="340" spans="1:3" x14ac:dyDescent="0.25">
      <c r="A340" t="s">
        <v>1920</v>
      </c>
      <c r="B340" t="s">
        <v>1921</v>
      </c>
      <c r="C340" t="s">
        <v>1919</v>
      </c>
    </row>
    <row r="341" spans="1:3" x14ac:dyDescent="0.25">
      <c r="A341" t="s">
        <v>1923</v>
      </c>
      <c r="B341" t="s">
        <v>1924</v>
      </c>
      <c r="C341" t="s">
        <v>1922</v>
      </c>
    </row>
    <row r="342" spans="1:3" x14ac:dyDescent="0.25">
      <c r="A342" t="s">
        <v>1926</v>
      </c>
      <c r="B342" t="s">
        <v>1927</v>
      </c>
      <c r="C342" t="s">
        <v>1925</v>
      </c>
    </row>
    <row r="343" spans="1:3" x14ac:dyDescent="0.25">
      <c r="A343" t="s">
        <v>1929</v>
      </c>
      <c r="B343" t="s">
        <v>1930</v>
      </c>
      <c r="C343" t="s">
        <v>1928</v>
      </c>
    </row>
    <row r="344" spans="1:3" x14ac:dyDescent="0.25">
      <c r="A344" t="s">
        <v>1932</v>
      </c>
      <c r="B344" t="s">
        <v>1933</v>
      </c>
      <c r="C344" t="s">
        <v>1931</v>
      </c>
    </row>
    <row r="345" spans="1:3" x14ac:dyDescent="0.25">
      <c r="A345" t="s">
        <v>1935</v>
      </c>
      <c r="B345" t="s">
        <v>1936</v>
      </c>
      <c r="C345" t="s">
        <v>1934</v>
      </c>
    </row>
    <row r="346" spans="1:3" x14ac:dyDescent="0.25">
      <c r="A346" t="s">
        <v>1938</v>
      </c>
      <c r="B346" t="s">
        <v>1939</v>
      </c>
      <c r="C346" t="s">
        <v>1937</v>
      </c>
    </row>
    <row r="347" spans="1:3" x14ac:dyDescent="0.25">
      <c r="A347" t="s">
        <v>1941</v>
      </c>
      <c r="B347" t="s">
        <v>1942</v>
      </c>
      <c r="C347" t="s">
        <v>1940</v>
      </c>
    </row>
    <row r="348" spans="1:3" x14ac:dyDescent="0.25">
      <c r="A348" t="s">
        <v>1944</v>
      </c>
      <c r="B348" t="s">
        <v>1945</v>
      </c>
      <c r="C348" t="s">
        <v>1943</v>
      </c>
    </row>
    <row r="349" spans="1:3" x14ac:dyDescent="0.25">
      <c r="A349" t="s">
        <v>1947</v>
      </c>
      <c r="B349" t="s">
        <v>1948</v>
      </c>
      <c r="C349" t="s">
        <v>1946</v>
      </c>
    </row>
    <row r="350" spans="1:3" x14ac:dyDescent="0.25">
      <c r="A350" t="s">
        <v>1950</v>
      </c>
      <c r="B350" t="s">
        <v>1951</v>
      </c>
      <c r="C350" t="s">
        <v>1949</v>
      </c>
    </row>
    <row r="351" spans="1:3" x14ac:dyDescent="0.25">
      <c r="A351" t="s">
        <v>1953</v>
      </c>
      <c r="B351" t="s">
        <v>1954</v>
      </c>
      <c r="C351" t="s">
        <v>1952</v>
      </c>
    </row>
    <row r="352" spans="1:3" x14ac:dyDescent="0.25">
      <c r="A352" t="s">
        <v>1956</v>
      </c>
      <c r="B352" t="s">
        <v>1957</v>
      </c>
      <c r="C352" t="s">
        <v>1955</v>
      </c>
    </row>
    <row r="353" spans="1:3" x14ac:dyDescent="0.25">
      <c r="A353" t="s">
        <v>1959</v>
      </c>
      <c r="B353" t="s">
        <v>1960</v>
      </c>
      <c r="C353" t="s">
        <v>1958</v>
      </c>
    </row>
    <row r="354" spans="1:3" x14ac:dyDescent="0.25">
      <c r="A354" t="s">
        <v>1962</v>
      </c>
      <c r="B354" t="s">
        <v>1963</v>
      </c>
      <c r="C354" t="s">
        <v>1961</v>
      </c>
    </row>
    <row r="355" spans="1:3" x14ac:dyDescent="0.25">
      <c r="A355" t="s">
        <v>1965</v>
      </c>
      <c r="B355" t="s">
        <v>1966</v>
      </c>
      <c r="C355" t="s">
        <v>1964</v>
      </c>
    </row>
    <row r="356" spans="1:3" x14ac:dyDescent="0.25">
      <c r="A356" t="s">
        <v>1968</v>
      </c>
      <c r="B356" t="s">
        <v>1969</v>
      </c>
      <c r="C356" t="s">
        <v>1967</v>
      </c>
    </row>
    <row r="357" spans="1:3" x14ac:dyDescent="0.25">
      <c r="A357" t="s">
        <v>1971</v>
      </c>
      <c r="B357" t="s">
        <v>1972</v>
      </c>
      <c r="C357" t="s">
        <v>1970</v>
      </c>
    </row>
    <row r="358" spans="1:3" x14ac:dyDescent="0.25">
      <c r="A358" t="s">
        <v>1974</v>
      </c>
      <c r="B358" t="s">
        <v>1975</v>
      </c>
      <c r="C358" t="s">
        <v>1973</v>
      </c>
    </row>
    <row r="359" spans="1:3" x14ac:dyDescent="0.25">
      <c r="A359" t="s">
        <v>1977</v>
      </c>
      <c r="B359" t="s">
        <v>1978</v>
      </c>
      <c r="C359" t="s">
        <v>1976</v>
      </c>
    </row>
    <row r="360" spans="1:3" x14ac:dyDescent="0.25">
      <c r="A360" t="s">
        <v>1980</v>
      </c>
      <c r="B360" t="s">
        <v>1981</v>
      </c>
      <c r="C360" t="s">
        <v>1979</v>
      </c>
    </row>
    <row r="361" spans="1:3" x14ac:dyDescent="0.25">
      <c r="A361" t="s">
        <v>1983</v>
      </c>
      <c r="B361" t="s">
        <v>1984</v>
      </c>
      <c r="C361" t="s">
        <v>1982</v>
      </c>
    </row>
    <row r="362" spans="1:3" x14ac:dyDescent="0.25">
      <c r="A362" t="s">
        <v>175</v>
      </c>
      <c r="B362" t="s">
        <v>1986</v>
      </c>
      <c r="C362" t="s">
        <v>1985</v>
      </c>
    </row>
    <row r="363" spans="1:3" x14ac:dyDescent="0.25">
      <c r="A363" t="s">
        <v>1988</v>
      </c>
      <c r="B363" t="s">
        <v>1989</v>
      </c>
      <c r="C363" t="s">
        <v>1987</v>
      </c>
    </row>
    <row r="364" spans="1:3" x14ac:dyDescent="0.25">
      <c r="A364" t="s">
        <v>1991</v>
      </c>
      <c r="B364" t="s">
        <v>1992</v>
      </c>
      <c r="C364" t="s">
        <v>1990</v>
      </c>
    </row>
    <row r="365" spans="1:3" x14ac:dyDescent="0.25">
      <c r="A365" t="s">
        <v>1994</v>
      </c>
      <c r="B365" t="s">
        <v>1995</v>
      </c>
      <c r="C365" t="s">
        <v>1993</v>
      </c>
    </row>
    <row r="366" spans="1:3" x14ac:dyDescent="0.25">
      <c r="A366" t="s">
        <v>1997</v>
      </c>
      <c r="B366" t="s">
        <v>1998</v>
      </c>
      <c r="C366" t="s">
        <v>1996</v>
      </c>
    </row>
    <row r="367" spans="1:3" x14ac:dyDescent="0.25">
      <c r="A367" t="s">
        <v>2000</v>
      </c>
      <c r="B367" t="s">
        <v>2001</v>
      </c>
      <c r="C367" t="s">
        <v>1999</v>
      </c>
    </row>
    <row r="368" spans="1:3" x14ac:dyDescent="0.25">
      <c r="A368" t="s">
        <v>2003</v>
      </c>
      <c r="B368" t="s">
        <v>2004</v>
      </c>
      <c r="C368" t="s">
        <v>2002</v>
      </c>
    </row>
    <row r="369" spans="1:3" x14ac:dyDescent="0.25">
      <c r="A369" t="s">
        <v>2006</v>
      </c>
      <c r="B369" t="s">
        <v>2007</v>
      </c>
      <c r="C369" t="s">
        <v>2005</v>
      </c>
    </row>
    <row r="370" spans="1:3" x14ac:dyDescent="0.25">
      <c r="A370" t="s">
        <v>2009</v>
      </c>
      <c r="B370" t="s">
        <v>2010</v>
      </c>
      <c r="C370" t="s">
        <v>2008</v>
      </c>
    </row>
    <row r="371" spans="1:3" x14ac:dyDescent="0.25">
      <c r="A371" t="s">
        <v>514</v>
      </c>
      <c r="B371" t="s">
        <v>2010</v>
      </c>
      <c r="C371" t="s">
        <v>2011</v>
      </c>
    </row>
    <row r="372" spans="1:3" x14ac:dyDescent="0.25">
      <c r="A372" t="s">
        <v>2013</v>
      </c>
      <c r="B372" t="s">
        <v>2014</v>
      </c>
      <c r="C372" t="s">
        <v>2012</v>
      </c>
    </row>
    <row r="373" spans="1:3" x14ac:dyDescent="0.25">
      <c r="A373" t="s">
        <v>2016</v>
      </c>
      <c r="B373" t="s">
        <v>2017</v>
      </c>
      <c r="C373" t="s">
        <v>2015</v>
      </c>
    </row>
    <row r="374" spans="1:3" x14ac:dyDescent="0.25">
      <c r="A374" t="s">
        <v>2019</v>
      </c>
      <c r="B374" t="s">
        <v>2020</v>
      </c>
      <c r="C374" t="s">
        <v>2018</v>
      </c>
    </row>
    <row r="375" spans="1:3" x14ac:dyDescent="0.25">
      <c r="A375" t="s">
        <v>2022</v>
      </c>
      <c r="B375" t="s">
        <v>2023</v>
      </c>
      <c r="C375" t="s">
        <v>2021</v>
      </c>
    </row>
    <row r="376" spans="1:3" x14ac:dyDescent="0.25">
      <c r="A376" t="s">
        <v>2025</v>
      </c>
      <c r="B376" t="s">
        <v>2026</v>
      </c>
      <c r="C376" t="s">
        <v>2024</v>
      </c>
    </row>
    <row r="377" spans="1:3" x14ac:dyDescent="0.25">
      <c r="A377" t="s">
        <v>2028</v>
      </c>
      <c r="B377" t="s">
        <v>2029</v>
      </c>
      <c r="C377" t="s">
        <v>2027</v>
      </c>
    </row>
    <row r="378" spans="1:3" x14ac:dyDescent="0.25">
      <c r="A378" t="s">
        <v>2031</v>
      </c>
      <c r="B378" t="s">
        <v>2032</v>
      </c>
      <c r="C378" t="s">
        <v>2030</v>
      </c>
    </row>
    <row r="379" spans="1:3" x14ac:dyDescent="0.25">
      <c r="A379" t="s">
        <v>2034</v>
      </c>
      <c r="B379" t="s">
        <v>2035</v>
      </c>
      <c r="C379" t="s">
        <v>2033</v>
      </c>
    </row>
    <row r="380" spans="1:3" x14ac:dyDescent="0.25">
      <c r="A380" t="s">
        <v>2037</v>
      </c>
      <c r="B380" t="s">
        <v>2038</v>
      </c>
      <c r="C380" t="s">
        <v>2036</v>
      </c>
    </row>
    <row r="381" spans="1:3" x14ac:dyDescent="0.25">
      <c r="A381" t="s">
        <v>2040</v>
      </c>
      <c r="B381" t="s">
        <v>2041</v>
      </c>
      <c r="C381" t="s">
        <v>2039</v>
      </c>
    </row>
    <row r="382" spans="1:3" x14ac:dyDescent="0.25">
      <c r="A382" t="s">
        <v>2043</v>
      </c>
      <c r="B382" t="s">
        <v>2044</v>
      </c>
      <c r="C382" t="s">
        <v>2042</v>
      </c>
    </row>
    <row r="383" spans="1:3" x14ac:dyDescent="0.25">
      <c r="A383" t="s">
        <v>2046</v>
      </c>
      <c r="B383" t="s">
        <v>2047</v>
      </c>
      <c r="C383" t="s">
        <v>2045</v>
      </c>
    </row>
    <row r="384" spans="1:3" x14ac:dyDescent="0.25">
      <c r="A384" t="s">
        <v>2049</v>
      </c>
      <c r="B384" t="s">
        <v>2050</v>
      </c>
      <c r="C384" t="s">
        <v>2048</v>
      </c>
    </row>
    <row r="385" spans="1:3" x14ac:dyDescent="0.25">
      <c r="A385" t="s">
        <v>2052</v>
      </c>
      <c r="B385" t="s">
        <v>2053</v>
      </c>
      <c r="C385" t="s">
        <v>2051</v>
      </c>
    </row>
    <row r="386" spans="1:3" x14ac:dyDescent="0.25">
      <c r="A386" t="s">
        <v>2055</v>
      </c>
      <c r="B386" t="s">
        <v>2056</v>
      </c>
      <c r="C386" t="s">
        <v>2054</v>
      </c>
    </row>
    <row r="387" spans="1:3" x14ac:dyDescent="0.25">
      <c r="A387" t="s">
        <v>2058</v>
      </c>
      <c r="B387" t="s">
        <v>2059</v>
      </c>
      <c r="C387" t="s">
        <v>2057</v>
      </c>
    </row>
    <row r="388" spans="1:3" x14ac:dyDescent="0.25">
      <c r="A388" t="s">
        <v>2061</v>
      </c>
      <c r="B388" t="s">
        <v>2062</v>
      </c>
      <c r="C388" t="s">
        <v>2060</v>
      </c>
    </row>
    <row r="389" spans="1:3" x14ac:dyDescent="0.25">
      <c r="A389" t="s">
        <v>2064</v>
      </c>
      <c r="B389" t="s">
        <v>2065</v>
      </c>
      <c r="C389" t="s">
        <v>2063</v>
      </c>
    </row>
    <row r="390" spans="1:3" x14ac:dyDescent="0.25">
      <c r="A390" t="s">
        <v>2067</v>
      </c>
      <c r="B390" t="s">
        <v>2068</v>
      </c>
      <c r="C390" t="s">
        <v>2066</v>
      </c>
    </row>
    <row r="391" spans="1:3" x14ac:dyDescent="0.25">
      <c r="A391" t="s">
        <v>2070</v>
      </c>
      <c r="B391" t="s">
        <v>2071</v>
      </c>
      <c r="C391" t="s">
        <v>2069</v>
      </c>
    </row>
    <row r="392" spans="1:3" x14ac:dyDescent="0.25">
      <c r="A392" t="s">
        <v>2073</v>
      </c>
      <c r="B392" t="s">
        <v>2074</v>
      </c>
      <c r="C392" t="s">
        <v>2072</v>
      </c>
    </row>
    <row r="393" spans="1:3" x14ac:dyDescent="0.25">
      <c r="A393" t="s">
        <v>2076</v>
      </c>
      <c r="B393" t="s">
        <v>2077</v>
      </c>
      <c r="C393" t="s">
        <v>2075</v>
      </c>
    </row>
    <row r="394" spans="1:3" x14ac:dyDescent="0.25">
      <c r="A394" t="s">
        <v>2079</v>
      </c>
      <c r="B394" t="s">
        <v>2080</v>
      </c>
      <c r="C394" t="s">
        <v>2078</v>
      </c>
    </row>
    <row r="395" spans="1:3" x14ac:dyDescent="0.25">
      <c r="A395" t="s">
        <v>2082</v>
      </c>
      <c r="B395" t="s">
        <v>2083</v>
      </c>
      <c r="C395" t="s">
        <v>2081</v>
      </c>
    </row>
    <row r="396" spans="1:3" x14ac:dyDescent="0.25">
      <c r="A396" t="s">
        <v>2085</v>
      </c>
      <c r="B396" t="s">
        <v>2086</v>
      </c>
      <c r="C396" t="s">
        <v>2084</v>
      </c>
    </row>
    <row r="397" spans="1:3" x14ac:dyDescent="0.25">
      <c r="A397" t="s">
        <v>2088</v>
      </c>
      <c r="B397" t="s">
        <v>2089</v>
      </c>
      <c r="C397" t="s">
        <v>2087</v>
      </c>
    </row>
    <row r="398" spans="1:3" x14ac:dyDescent="0.25">
      <c r="A398" t="s">
        <v>2091</v>
      </c>
      <c r="B398" t="s">
        <v>2092</v>
      </c>
      <c r="C398" t="s">
        <v>2090</v>
      </c>
    </row>
    <row r="399" spans="1:3" x14ac:dyDescent="0.25">
      <c r="A399" t="s">
        <v>2094</v>
      </c>
      <c r="B399" t="s">
        <v>2095</v>
      </c>
      <c r="C399" t="s">
        <v>2093</v>
      </c>
    </row>
    <row r="400" spans="1:3" x14ac:dyDescent="0.25">
      <c r="A400" t="s">
        <v>2097</v>
      </c>
      <c r="B400" t="s">
        <v>2098</v>
      </c>
      <c r="C400" t="s">
        <v>2096</v>
      </c>
    </row>
    <row r="401" spans="1:3" x14ac:dyDescent="0.25">
      <c r="A401" t="s">
        <v>2100</v>
      </c>
      <c r="B401" t="s">
        <v>2101</v>
      </c>
      <c r="C401" t="s">
        <v>2099</v>
      </c>
    </row>
    <row r="402" spans="1:3" x14ac:dyDescent="0.25">
      <c r="A402" t="s">
        <v>2103</v>
      </c>
      <c r="B402" t="s">
        <v>2104</v>
      </c>
      <c r="C402" t="s">
        <v>2102</v>
      </c>
    </row>
    <row r="403" spans="1:3" x14ac:dyDescent="0.25">
      <c r="A403" t="s">
        <v>2106</v>
      </c>
      <c r="B403" t="s">
        <v>2107</v>
      </c>
      <c r="C403" t="s">
        <v>2105</v>
      </c>
    </row>
    <row r="404" spans="1:3" x14ac:dyDescent="0.25">
      <c r="A404" t="s">
        <v>2109</v>
      </c>
      <c r="B404" t="s">
        <v>2110</v>
      </c>
      <c r="C404" t="s">
        <v>2108</v>
      </c>
    </row>
    <row r="405" spans="1:3" x14ac:dyDescent="0.25">
      <c r="A405" t="s">
        <v>2112</v>
      </c>
      <c r="B405" t="s">
        <v>2113</v>
      </c>
      <c r="C405" t="s">
        <v>2111</v>
      </c>
    </row>
    <row r="406" spans="1:3" x14ac:dyDescent="0.25">
      <c r="A406" t="s">
        <v>2115</v>
      </c>
      <c r="B406" t="s">
        <v>2116</v>
      </c>
      <c r="C406" t="s">
        <v>2114</v>
      </c>
    </row>
    <row r="407" spans="1:3" x14ac:dyDescent="0.25">
      <c r="A407" t="s">
        <v>2118</v>
      </c>
      <c r="B407" t="s">
        <v>2119</v>
      </c>
      <c r="C407" t="s">
        <v>2117</v>
      </c>
    </row>
    <row r="408" spans="1:3" x14ac:dyDescent="0.25">
      <c r="A408" t="s">
        <v>2121</v>
      </c>
      <c r="B408" t="s">
        <v>2122</v>
      </c>
      <c r="C408" t="s">
        <v>2120</v>
      </c>
    </row>
    <row r="409" spans="1:3" x14ac:dyDescent="0.25">
      <c r="A409" t="s">
        <v>2124</v>
      </c>
      <c r="B409" t="s">
        <v>2125</v>
      </c>
      <c r="C409" t="s">
        <v>2123</v>
      </c>
    </row>
    <row r="410" spans="1:3" x14ac:dyDescent="0.25">
      <c r="A410" t="s">
        <v>2127</v>
      </c>
      <c r="B410" t="s">
        <v>2128</v>
      </c>
      <c r="C410" t="s">
        <v>2126</v>
      </c>
    </row>
    <row r="411" spans="1:3" x14ac:dyDescent="0.25">
      <c r="A411" t="s">
        <v>2130</v>
      </c>
      <c r="B411" t="s">
        <v>2131</v>
      </c>
      <c r="C411" t="s">
        <v>2129</v>
      </c>
    </row>
    <row r="412" spans="1:3" x14ac:dyDescent="0.25">
      <c r="A412" t="s">
        <v>2133</v>
      </c>
      <c r="B412" t="s">
        <v>2134</v>
      </c>
      <c r="C412" t="s">
        <v>2132</v>
      </c>
    </row>
    <row r="413" spans="1:3" x14ac:dyDescent="0.25">
      <c r="A413" t="s">
        <v>2136</v>
      </c>
      <c r="B413" t="s">
        <v>2137</v>
      </c>
      <c r="C413" t="s">
        <v>2135</v>
      </c>
    </row>
    <row r="414" spans="1:3" x14ac:dyDescent="0.25">
      <c r="A414" t="s">
        <v>2139</v>
      </c>
      <c r="B414" t="s">
        <v>2140</v>
      </c>
      <c r="C414" t="s">
        <v>2138</v>
      </c>
    </row>
    <row r="415" spans="1:3" x14ac:dyDescent="0.25">
      <c r="A415" t="s">
        <v>2142</v>
      </c>
      <c r="B415" t="s">
        <v>2143</v>
      </c>
      <c r="C415" t="s">
        <v>2141</v>
      </c>
    </row>
    <row r="416" spans="1:3" x14ac:dyDescent="0.25">
      <c r="A416" t="s">
        <v>2145</v>
      </c>
      <c r="B416" t="s">
        <v>2146</v>
      </c>
      <c r="C416" t="s">
        <v>2144</v>
      </c>
    </row>
    <row r="417" spans="1:3" x14ac:dyDescent="0.25">
      <c r="A417" t="s">
        <v>2148</v>
      </c>
      <c r="B417" t="s">
        <v>2149</v>
      </c>
      <c r="C417" t="s">
        <v>2147</v>
      </c>
    </row>
    <row r="418" spans="1:3" x14ac:dyDescent="0.25">
      <c r="A418" t="s">
        <v>2151</v>
      </c>
      <c r="B418" t="s">
        <v>2152</v>
      </c>
      <c r="C418" t="s">
        <v>2150</v>
      </c>
    </row>
    <row r="419" spans="1:3" x14ac:dyDescent="0.25">
      <c r="A419" t="s">
        <v>2154</v>
      </c>
      <c r="B419" t="s">
        <v>2155</v>
      </c>
      <c r="C419" t="s">
        <v>2153</v>
      </c>
    </row>
    <row r="420" spans="1:3" x14ac:dyDescent="0.25">
      <c r="A420" t="s">
        <v>2157</v>
      </c>
      <c r="B420" t="s">
        <v>2158</v>
      </c>
      <c r="C420" t="s">
        <v>2156</v>
      </c>
    </row>
    <row r="421" spans="1:3" x14ac:dyDescent="0.25">
      <c r="A421" t="s">
        <v>2160</v>
      </c>
      <c r="B421" t="s">
        <v>2161</v>
      </c>
      <c r="C421" t="s">
        <v>2159</v>
      </c>
    </row>
    <row r="422" spans="1:3" x14ac:dyDescent="0.25">
      <c r="A422" t="s">
        <v>176</v>
      </c>
      <c r="B422" t="s">
        <v>2161</v>
      </c>
      <c r="C422" t="s">
        <v>2162</v>
      </c>
    </row>
    <row r="423" spans="1:3" x14ac:dyDescent="0.25">
      <c r="A423" t="s">
        <v>2164</v>
      </c>
      <c r="B423" t="s">
        <v>2165</v>
      </c>
      <c r="C423" t="s">
        <v>2163</v>
      </c>
    </row>
    <row r="424" spans="1:3" x14ac:dyDescent="0.25">
      <c r="A424" t="s">
        <v>2167</v>
      </c>
      <c r="B424" t="s">
        <v>2168</v>
      </c>
      <c r="C424" t="s">
        <v>2166</v>
      </c>
    </row>
    <row r="425" spans="1:3" x14ac:dyDescent="0.25">
      <c r="A425" t="s">
        <v>2170</v>
      </c>
      <c r="B425" t="s">
        <v>2171</v>
      </c>
      <c r="C425" t="s">
        <v>2169</v>
      </c>
    </row>
    <row r="426" spans="1:3" x14ac:dyDescent="0.25">
      <c r="A426" t="s">
        <v>2173</v>
      </c>
      <c r="B426" t="s">
        <v>2174</v>
      </c>
      <c r="C426" t="s">
        <v>2172</v>
      </c>
    </row>
    <row r="427" spans="1:3" x14ac:dyDescent="0.25">
      <c r="A427" t="s">
        <v>2176</v>
      </c>
      <c r="B427" t="s">
        <v>2177</v>
      </c>
      <c r="C427" t="s">
        <v>2175</v>
      </c>
    </row>
    <row r="428" spans="1:3" x14ac:dyDescent="0.25">
      <c r="A428" t="s">
        <v>177</v>
      </c>
      <c r="B428" t="s">
        <v>2179</v>
      </c>
      <c r="C428" t="s">
        <v>2178</v>
      </c>
    </row>
    <row r="429" spans="1:3" x14ac:dyDescent="0.25">
      <c r="A429" t="s">
        <v>2181</v>
      </c>
      <c r="B429" t="s">
        <v>2182</v>
      </c>
      <c r="C429" t="s">
        <v>2180</v>
      </c>
    </row>
    <row r="430" spans="1:3" x14ac:dyDescent="0.25">
      <c r="A430" t="s">
        <v>2184</v>
      </c>
      <c r="B430" t="s">
        <v>2185</v>
      </c>
      <c r="C430" t="s">
        <v>2183</v>
      </c>
    </row>
    <row r="431" spans="1:3" x14ac:dyDescent="0.25">
      <c r="A431" t="s">
        <v>2187</v>
      </c>
      <c r="B431" t="s">
        <v>2188</v>
      </c>
      <c r="C431" t="s">
        <v>2186</v>
      </c>
    </row>
    <row r="432" spans="1:3" x14ac:dyDescent="0.25">
      <c r="A432" t="s">
        <v>2190</v>
      </c>
      <c r="B432" t="s">
        <v>2191</v>
      </c>
      <c r="C432" t="s">
        <v>2189</v>
      </c>
    </row>
    <row r="433" spans="1:3" x14ac:dyDescent="0.25">
      <c r="A433" t="s">
        <v>2193</v>
      </c>
      <c r="B433" t="s">
        <v>2194</v>
      </c>
      <c r="C433" t="s">
        <v>2192</v>
      </c>
    </row>
    <row r="434" spans="1:3" x14ac:dyDescent="0.25">
      <c r="A434" t="s">
        <v>178</v>
      </c>
      <c r="B434" t="s">
        <v>2196</v>
      </c>
      <c r="C434" t="s">
        <v>2195</v>
      </c>
    </row>
    <row r="435" spans="1:3" x14ac:dyDescent="0.25">
      <c r="A435" t="s">
        <v>179</v>
      </c>
      <c r="B435" t="s">
        <v>2198</v>
      </c>
      <c r="C435" t="s">
        <v>2197</v>
      </c>
    </row>
    <row r="436" spans="1:3" x14ac:dyDescent="0.25">
      <c r="A436" t="s">
        <v>180</v>
      </c>
      <c r="B436" t="s">
        <v>2200</v>
      </c>
      <c r="C436" t="s">
        <v>2199</v>
      </c>
    </row>
    <row r="437" spans="1:3" x14ac:dyDescent="0.25">
      <c r="A437" t="s">
        <v>181</v>
      </c>
      <c r="B437" t="s">
        <v>2202</v>
      </c>
      <c r="C437" t="s">
        <v>2201</v>
      </c>
    </row>
    <row r="438" spans="1:3" x14ac:dyDescent="0.25">
      <c r="A438" t="s">
        <v>2204</v>
      </c>
      <c r="B438" t="s">
        <v>2205</v>
      </c>
      <c r="C438" t="s">
        <v>2203</v>
      </c>
    </row>
    <row r="439" spans="1:3" x14ac:dyDescent="0.25">
      <c r="A439" t="s">
        <v>2207</v>
      </c>
      <c r="B439" t="s">
        <v>2208</v>
      </c>
      <c r="C439" t="s">
        <v>2206</v>
      </c>
    </row>
    <row r="440" spans="1:3" x14ac:dyDescent="0.25">
      <c r="A440" t="s">
        <v>2210</v>
      </c>
      <c r="B440" t="s">
        <v>2211</v>
      </c>
      <c r="C440" t="s">
        <v>2209</v>
      </c>
    </row>
    <row r="441" spans="1:3" x14ac:dyDescent="0.25">
      <c r="A441" t="s">
        <v>2213</v>
      </c>
      <c r="B441" t="s">
        <v>2214</v>
      </c>
      <c r="C441" t="s">
        <v>2212</v>
      </c>
    </row>
    <row r="442" spans="1:3" x14ac:dyDescent="0.25">
      <c r="A442" t="s">
        <v>2216</v>
      </c>
      <c r="B442" t="s">
        <v>2217</v>
      </c>
      <c r="C442" t="s">
        <v>2215</v>
      </c>
    </row>
    <row r="443" spans="1:3" x14ac:dyDescent="0.25">
      <c r="A443" t="s">
        <v>182</v>
      </c>
      <c r="B443" t="s">
        <v>2219</v>
      </c>
      <c r="C443" t="s">
        <v>2218</v>
      </c>
    </row>
    <row r="444" spans="1:3" x14ac:dyDescent="0.25">
      <c r="A444" t="s">
        <v>2221</v>
      </c>
      <c r="B444" t="s">
        <v>2222</v>
      </c>
      <c r="C444" t="s">
        <v>2220</v>
      </c>
    </row>
    <row r="445" spans="1:3" x14ac:dyDescent="0.25">
      <c r="A445" t="s">
        <v>2224</v>
      </c>
      <c r="B445" t="s">
        <v>2225</v>
      </c>
      <c r="C445" t="s">
        <v>2223</v>
      </c>
    </row>
    <row r="446" spans="1:3" x14ac:dyDescent="0.25">
      <c r="A446" t="s">
        <v>2227</v>
      </c>
      <c r="B446" t="s">
        <v>2228</v>
      </c>
      <c r="C446" t="s">
        <v>2226</v>
      </c>
    </row>
    <row r="447" spans="1:3" x14ac:dyDescent="0.25">
      <c r="A447" t="s">
        <v>2230</v>
      </c>
      <c r="B447" t="s">
        <v>2231</v>
      </c>
      <c r="C447" t="s">
        <v>2229</v>
      </c>
    </row>
    <row r="448" spans="1:3" x14ac:dyDescent="0.25">
      <c r="A448" t="s">
        <v>268</v>
      </c>
      <c r="B448" t="s">
        <v>269</v>
      </c>
      <c r="C448" t="s">
        <v>301</v>
      </c>
    </row>
    <row r="449" spans="1:3" x14ac:dyDescent="0.25">
      <c r="A449" t="s">
        <v>183</v>
      </c>
      <c r="B449" t="s">
        <v>2233</v>
      </c>
      <c r="C449" t="s">
        <v>2232</v>
      </c>
    </row>
    <row r="450" spans="1:3" x14ac:dyDescent="0.25">
      <c r="A450" t="s">
        <v>2235</v>
      </c>
      <c r="B450" t="s">
        <v>2236</v>
      </c>
      <c r="C450" t="s">
        <v>2234</v>
      </c>
    </row>
    <row r="451" spans="1:3" x14ac:dyDescent="0.25">
      <c r="A451" t="s">
        <v>184</v>
      </c>
      <c r="B451" t="s">
        <v>2236</v>
      </c>
      <c r="C451" t="s">
        <v>2237</v>
      </c>
    </row>
    <row r="452" spans="1:3" x14ac:dyDescent="0.25">
      <c r="A452" t="s">
        <v>2239</v>
      </c>
      <c r="B452" t="s">
        <v>2240</v>
      </c>
      <c r="C452" t="s">
        <v>2238</v>
      </c>
    </row>
    <row r="453" spans="1:3" x14ac:dyDescent="0.25">
      <c r="A453" t="s">
        <v>185</v>
      </c>
      <c r="B453" t="s">
        <v>2242</v>
      </c>
      <c r="C453" t="s">
        <v>2241</v>
      </c>
    </row>
    <row r="454" spans="1:3" x14ac:dyDescent="0.25">
      <c r="A454" t="s">
        <v>2244</v>
      </c>
      <c r="B454" t="s">
        <v>2245</v>
      </c>
      <c r="C454" t="s">
        <v>2243</v>
      </c>
    </row>
    <row r="455" spans="1:3" x14ac:dyDescent="0.25">
      <c r="A455" t="s">
        <v>2247</v>
      </c>
      <c r="B455" t="s">
        <v>2248</v>
      </c>
      <c r="C455" t="s">
        <v>2246</v>
      </c>
    </row>
    <row r="456" spans="1:3" x14ac:dyDescent="0.25">
      <c r="A456" t="s">
        <v>270</v>
      </c>
      <c r="B456" t="s">
        <v>2249</v>
      </c>
      <c r="C456" t="s">
        <v>302</v>
      </c>
    </row>
    <row r="457" spans="1:3" x14ac:dyDescent="0.25">
      <c r="A457" t="s">
        <v>2251</v>
      </c>
      <c r="B457" t="s">
        <v>2252</v>
      </c>
      <c r="C457" t="s">
        <v>2250</v>
      </c>
    </row>
    <row r="458" spans="1:3" x14ac:dyDescent="0.25">
      <c r="A458" t="s">
        <v>2254</v>
      </c>
      <c r="B458" t="s">
        <v>2255</v>
      </c>
      <c r="C458" t="s">
        <v>2253</v>
      </c>
    </row>
    <row r="459" spans="1:3" x14ac:dyDescent="0.25">
      <c r="A459" t="s">
        <v>2257</v>
      </c>
      <c r="B459" t="s">
        <v>2258</v>
      </c>
      <c r="C459" t="s">
        <v>2256</v>
      </c>
    </row>
    <row r="460" spans="1:3" x14ac:dyDescent="0.25">
      <c r="A460" t="s">
        <v>2260</v>
      </c>
      <c r="B460" t="s">
        <v>2261</v>
      </c>
      <c r="C460" t="s">
        <v>2259</v>
      </c>
    </row>
    <row r="461" spans="1:3" x14ac:dyDescent="0.25">
      <c r="A461" t="s">
        <v>2263</v>
      </c>
      <c r="B461" t="s">
        <v>2264</v>
      </c>
      <c r="C461" t="s">
        <v>2262</v>
      </c>
    </row>
    <row r="462" spans="1:3" x14ac:dyDescent="0.25">
      <c r="A462" t="s">
        <v>2266</v>
      </c>
      <c r="B462" t="s">
        <v>2267</v>
      </c>
      <c r="C462" t="s">
        <v>2265</v>
      </c>
    </row>
    <row r="463" spans="1:3" x14ac:dyDescent="0.25">
      <c r="A463" t="s">
        <v>2269</v>
      </c>
      <c r="B463" t="s">
        <v>2270</v>
      </c>
      <c r="C463" t="s">
        <v>2268</v>
      </c>
    </row>
    <row r="464" spans="1:3" x14ac:dyDescent="0.25">
      <c r="A464" t="s">
        <v>2272</v>
      </c>
      <c r="B464" t="s">
        <v>2273</v>
      </c>
      <c r="C464" t="s">
        <v>2271</v>
      </c>
    </row>
    <row r="465" spans="1:3" x14ac:dyDescent="0.25">
      <c r="A465" t="s">
        <v>2275</v>
      </c>
      <c r="B465" t="s">
        <v>2276</v>
      </c>
      <c r="C465" t="s">
        <v>2274</v>
      </c>
    </row>
    <row r="466" spans="1:3" x14ac:dyDescent="0.25">
      <c r="A466" t="s">
        <v>2278</v>
      </c>
      <c r="B466" t="s">
        <v>2279</v>
      </c>
      <c r="C466" t="s">
        <v>2277</v>
      </c>
    </row>
    <row r="467" spans="1:3" x14ac:dyDescent="0.25">
      <c r="A467" t="s">
        <v>204</v>
      </c>
      <c r="B467" t="s">
        <v>2281</v>
      </c>
      <c r="C467" t="s">
        <v>2280</v>
      </c>
    </row>
    <row r="468" spans="1:3" x14ac:dyDescent="0.25">
      <c r="A468" t="s">
        <v>205</v>
      </c>
      <c r="B468" t="s">
        <v>2283</v>
      </c>
      <c r="C468" t="s">
        <v>2282</v>
      </c>
    </row>
    <row r="469" spans="1:3" x14ac:dyDescent="0.25">
      <c r="A469" t="s">
        <v>206</v>
      </c>
      <c r="B469" t="s">
        <v>2285</v>
      </c>
      <c r="C469" t="s">
        <v>2284</v>
      </c>
    </row>
    <row r="470" spans="1:3" x14ac:dyDescent="0.25">
      <c r="A470" t="s">
        <v>207</v>
      </c>
      <c r="B470" t="s">
        <v>2287</v>
      </c>
      <c r="C470" t="s">
        <v>2286</v>
      </c>
    </row>
    <row r="471" spans="1:3" x14ac:dyDescent="0.25">
      <c r="A471" t="s">
        <v>208</v>
      </c>
      <c r="B471" t="s">
        <v>2289</v>
      </c>
      <c r="C471" t="s">
        <v>2288</v>
      </c>
    </row>
    <row r="472" spans="1:3" x14ac:dyDescent="0.25">
      <c r="A472" t="s">
        <v>209</v>
      </c>
      <c r="B472" t="s">
        <v>2291</v>
      </c>
      <c r="C472" t="s">
        <v>2290</v>
      </c>
    </row>
    <row r="473" spans="1:3" x14ac:dyDescent="0.25">
      <c r="A473" t="s">
        <v>210</v>
      </c>
      <c r="B473" t="s">
        <v>2293</v>
      </c>
      <c r="C473" t="s">
        <v>2292</v>
      </c>
    </row>
    <row r="474" spans="1:3" x14ac:dyDescent="0.25">
      <c r="A474" t="s">
        <v>211</v>
      </c>
      <c r="B474" t="s">
        <v>2295</v>
      </c>
      <c r="C474" t="s">
        <v>2294</v>
      </c>
    </row>
    <row r="475" spans="1:3" x14ac:dyDescent="0.25">
      <c r="A475" t="s">
        <v>212</v>
      </c>
      <c r="B475" t="s">
        <v>2297</v>
      </c>
      <c r="C475" t="s">
        <v>2296</v>
      </c>
    </row>
    <row r="476" spans="1:3" x14ac:dyDescent="0.25">
      <c r="A476" t="s">
        <v>213</v>
      </c>
      <c r="B476" t="s">
        <v>2299</v>
      </c>
      <c r="C476" t="s">
        <v>2298</v>
      </c>
    </row>
    <row r="477" spans="1:3" x14ac:dyDescent="0.25">
      <c r="A477" t="s">
        <v>214</v>
      </c>
      <c r="B477" t="s">
        <v>2301</v>
      </c>
      <c r="C477" t="s">
        <v>2300</v>
      </c>
    </row>
    <row r="478" spans="1:3" x14ac:dyDescent="0.25">
      <c r="A478" t="s">
        <v>215</v>
      </c>
      <c r="B478" t="s">
        <v>2303</v>
      </c>
      <c r="C478" t="s">
        <v>2302</v>
      </c>
    </row>
    <row r="479" spans="1:3" x14ac:dyDescent="0.25">
      <c r="A479" t="s">
        <v>216</v>
      </c>
      <c r="B479" t="s">
        <v>2305</v>
      </c>
      <c r="C479" t="s">
        <v>2304</v>
      </c>
    </row>
    <row r="480" spans="1:3" x14ac:dyDescent="0.25">
      <c r="A480" t="s">
        <v>217</v>
      </c>
      <c r="B480" t="s">
        <v>2307</v>
      </c>
      <c r="C480" t="s">
        <v>2306</v>
      </c>
    </row>
    <row r="481" spans="1:3" x14ac:dyDescent="0.25">
      <c r="A481" t="s">
        <v>2309</v>
      </c>
      <c r="B481" t="s">
        <v>2310</v>
      </c>
      <c r="C481" t="s">
        <v>2308</v>
      </c>
    </row>
    <row r="482" spans="1:3" x14ac:dyDescent="0.25">
      <c r="A482" t="s">
        <v>2312</v>
      </c>
      <c r="B482" t="s">
        <v>2313</v>
      </c>
      <c r="C482" t="s">
        <v>2311</v>
      </c>
    </row>
    <row r="483" spans="1:3" x14ac:dyDescent="0.25">
      <c r="A483" t="s">
        <v>2315</v>
      </c>
      <c r="B483" t="s">
        <v>2316</v>
      </c>
      <c r="C483" t="s">
        <v>2314</v>
      </c>
    </row>
    <row r="484" spans="1:3" x14ac:dyDescent="0.25">
      <c r="A484" t="s">
        <v>2318</v>
      </c>
      <c r="B484" t="s">
        <v>2319</v>
      </c>
      <c r="C484" t="s">
        <v>2317</v>
      </c>
    </row>
    <row r="485" spans="1:3" x14ac:dyDescent="0.25">
      <c r="A485" t="s">
        <v>2321</v>
      </c>
      <c r="B485" t="s">
        <v>2322</v>
      </c>
      <c r="C485" t="s">
        <v>2320</v>
      </c>
    </row>
    <row r="486" spans="1:3" x14ac:dyDescent="0.25">
      <c r="A486" t="s">
        <v>2324</v>
      </c>
      <c r="B486" t="s">
        <v>2325</v>
      </c>
      <c r="C486" t="s">
        <v>2323</v>
      </c>
    </row>
    <row r="487" spans="1:3" x14ac:dyDescent="0.25">
      <c r="A487" t="s">
        <v>2327</v>
      </c>
      <c r="B487" t="s">
        <v>2328</v>
      </c>
      <c r="C487" t="s">
        <v>2326</v>
      </c>
    </row>
    <row r="488" spans="1:3" x14ac:dyDescent="0.25">
      <c r="A488" t="s">
        <v>2330</v>
      </c>
      <c r="B488" t="s">
        <v>2331</v>
      </c>
      <c r="C488" t="s">
        <v>2329</v>
      </c>
    </row>
    <row r="489" spans="1:3" x14ac:dyDescent="0.25">
      <c r="A489" t="s">
        <v>2333</v>
      </c>
      <c r="B489" t="s">
        <v>2334</v>
      </c>
      <c r="C489" t="s">
        <v>2332</v>
      </c>
    </row>
    <row r="490" spans="1:3" x14ac:dyDescent="0.25">
      <c r="A490" t="s">
        <v>2336</v>
      </c>
      <c r="B490" t="s">
        <v>2334</v>
      </c>
      <c r="C490" t="s">
        <v>2335</v>
      </c>
    </row>
    <row r="491" spans="1:3" x14ac:dyDescent="0.25">
      <c r="A491" t="s">
        <v>2338</v>
      </c>
      <c r="B491" t="s">
        <v>2339</v>
      </c>
      <c r="C491" t="s">
        <v>2337</v>
      </c>
    </row>
    <row r="492" spans="1:3" x14ac:dyDescent="0.25">
      <c r="A492" t="s">
        <v>298</v>
      </c>
      <c r="B492" t="s">
        <v>2339</v>
      </c>
      <c r="C492" t="s">
        <v>303</v>
      </c>
    </row>
    <row r="493" spans="1:3" x14ac:dyDescent="0.25">
      <c r="A493" t="s">
        <v>2341</v>
      </c>
      <c r="B493" t="s">
        <v>2342</v>
      </c>
      <c r="C493" t="s">
        <v>2340</v>
      </c>
    </row>
    <row r="494" spans="1:3" x14ac:dyDescent="0.25">
      <c r="A494" t="s">
        <v>187</v>
      </c>
      <c r="B494" t="s">
        <v>2344</v>
      </c>
      <c r="C494" t="s">
        <v>2343</v>
      </c>
    </row>
    <row r="495" spans="1:3" x14ac:dyDescent="0.25">
      <c r="A495" t="s">
        <v>2346</v>
      </c>
      <c r="B495" t="s">
        <v>2347</v>
      </c>
      <c r="C495" t="s">
        <v>2345</v>
      </c>
    </row>
    <row r="496" spans="1:3" x14ac:dyDescent="0.25">
      <c r="A496" t="s">
        <v>188</v>
      </c>
      <c r="B496" t="s">
        <v>2347</v>
      </c>
      <c r="C496" t="s">
        <v>2348</v>
      </c>
    </row>
    <row r="497" spans="1:3" x14ac:dyDescent="0.25">
      <c r="A497" t="s">
        <v>2350</v>
      </c>
      <c r="B497" t="s">
        <v>2351</v>
      </c>
      <c r="C497" t="s">
        <v>2349</v>
      </c>
    </row>
    <row r="498" spans="1:3" x14ac:dyDescent="0.25">
      <c r="A498" t="s">
        <v>2353</v>
      </c>
      <c r="B498" t="s">
        <v>2354</v>
      </c>
      <c r="C498" t="s">
        <v>2352</v>
      </c>
    </row>
    <row r="499" spans="1:3" x14ac:dyDescent="0.25">
      <c r="A499" t="s">
        <v>189</v>
      </c>
      <c r="B499" t="s">
        <v>2354</v>
      </c>
      <c r="C499" t="s">
        <v>2355</v>
      </c>
    </row>
    <row r="500" spans="1:3" x14ac:dyDescent="0.25">
      <c r="A500" t="s">
        <v>2357</v>
      </c>
      <c r="B500" t="s">
        <v>2358</v>
      </c>
      <c r="C500" t="s">
        <v>2356</v>
      </c>
    </row>
    <row r="501" spans="1:3" x14ac:dyDescent="0.25">
      <c r="A501" t="s">
        <v>190</v>
      </c>
      <c r="B501" t="s">
        <v>2358</v>
      </c>
      <c r="C501" t="s">
        <v>2359</v>
      </c>
    </row>
    <row r="502" spans="1:3" x14ac:dyDescent="0.25">
      <c r="A502" t="s">
        <v>2361</v>
      </c>
      <c r="B502" t="s">
        <v>2362</v>
      </c>
      <c r="C502" t="s">
        <v>2360</v>
      </c>
    </row>
    <row r="503" spans="1:3" x14ac:dyDescent="0.25">
      <c r="A503" t="s">
        <v>2364</v>
      </c>
      <c r="B503" t="s">
        <v>2365</v>
      </c>
      <c r="C503" t="s">
        <v>2363</v>
      </c>
    </row>
    <row r="504" spans="1:3" x14ac:dyDescent="0.25">
      <c r="A504" t="s">
        <v>2367</v>
      </c>
      <c r="B504" t="s">
        <v>2368</v>
      </c>
      <c r="C504" t="s">
        <v>2366</v>
      </c>
    </row>
    <row r="505" spans="1:3" x14ac:dyDescent="0.25">
      <c r="A505" t="s">
        <v>2370</v>
      </c>
      <c r="B505" t="s">
        <v>2371</v>
      </c>
      <c r="C505" t="s">
        <v>2369</v>
      </c>
    </row>
    <row r="506" spans="1:3" x14ac:dyDescent="0.25">
      <c r="A506" t="s">
        <v>2373</v>
      </c>
      <c r="B506" t="s">
        <v>2374</v>
      </c>
      <c r="C506" t="s">
        <v>2372</v>
      </c>
    </row>
    <row r="507" spans="1:3" x14ac:dyDescent="0.25">
      <c r="A507" t="s">
        <v>2376</v>
      </c>
      <c r="B507" t="s">
        <v>2377</v>
      </c>
      <c r="C507" t="s">
        <v>2375</v>
      </c>
    </row>
    <row r="508" spans="1:3" x14ac:dyDescent="0.25">
      <c r="A508" t="s">
        <v>2379</v>
      </c>
      <c r="B508" t="s">
        <v>2380</v>
      </c>
      <c r="C508" t="s">
        <v>2378</v>
      </c>
    </row>
    <row r="509" spans="1:3" x14ac:dyDescent="0.25">
      <c r="A509" t="s">
        <v>2382</v>
      </c>
      <c r="B509" t="s">
        <v>2383</v>
      </c>
      <c r="C509" t="s">
        <v>2381</v>
      </c>
    </row>
    <row r="510" spans="1:3" x14ac:dyDescent="0.25">
      <c r="A510" t="s">
        <v>191</v>
      </c>
      <c r="B510" t="s">
        <v>2385</v>
      </c>
      <c r="C510" t="s">
        <v>2384</v>
      </c>
    </row>
    <row r="511" spans="1:3" x14ac:dyDescent="0.25">
      <c r="A511" t="s">
        <v>2387</v>
      </c>
      <c r="B511" t="s">
        <v>2388</v>
      </c>
      <c r="C511" t="s">
        <v>2386</v>
      </c>
    </row>
    <row r="512" spans="1:3" x14ac:dyDescent="0.25">
      <c r="A512" t="s">
        <v>192</v>
      </c>
      <c r="B512" t="s">
        <v>2390</v>
      </c>
      <c r="C512" t="s">
        <v>2389</v>
      </c>
    </row>
    <row r="513" spans="1:3" x14ac:dyDescent="0.25">
      <c r="A513" t="s">
        <v>2392</v>
      </c>
      <c r="B513" t="s">
        <v>2393</v>
      </c>
      <c r="C513" t="s">
        <v>2391</v>
      </c>
    </row>
    <row r="514" spans="1:3" x14ac:dyDescent="0.25">
      <c r="A514" t="s">
        <v>2395</v>
      </c>
      <c r="B514" t="s">
        <v>2396</v>
      </c>
      <c r="C514" t="s">
        <v>2394</v>
      </c>
    </row>
    <row r="515" spans="1:3" x14ac:dyDescent="0.25">
      <c r="A515" t="s">
        <v>200</v>
      </c>
      <c r="B515" t="s">
        <v>2398</v>
      </c>
      <c r="C515" t="s">
        <v>2397</v>
      </c>
    </row>
    <row r="516" spans="1:3" x14ac:dyDescent="0.25">
      <c r="A516" t="s">
        <v>202</v>
      </c>
      <c r="B516" t="s">
        <v>2400</v>
      </c>
      <c r="C516" t="s">
        <v>2399</v>
      </c>
    </row>
    <row r="517" spans="1:3" x14ac:dyDescent="0.25">
      <c r="A517" t="s">
        <v>203</v>
      </c>
      <c r="B517" t="s">
        <v>2402</v>
      </c>
      <c r="C517" t="s">
        <v>2401</v>
      </c>
    </row>
    <row r="518" spans="1:3" x14ac:dyDescent="0.25">
      <c r="A518" t="s">
        <v>201</v>
      </c>
      <c r="B518" t="s">
        <v>2403</v>
      </c>
      <c r="C518" t="s">
        <v>304</v>
      </c>
    </row>
    <row r="519" spans="1:3" x14ac:dyDescent="0.25">
      <c r="A519" t="s">
        <v>2405</v>
      </c>
      <c r="B519" t="s">
        <v>2406</v>
      </c>
      <c r="C519" t="s">
        <v>2404</v>
      </c>
    </row>
    <row r="520" spans="1:3" x14ac:dyDescent="0.25">
      <c r="A520" t="s">
        <v>193</v>
      </c>
      <c r="B520" t="s">
        <v>2408</v>
      </c>
      <c r="C520" t="s">
        <v>2407</v>
      </c>
    </row>
    <row r="521" spans="1:3" x14ac:dyDescent="0.25">
      <c r="A521" t="s">
        <v>194</v>
      </c>
      <c r="B521" t="s">
        <v>2410</v>
      </c>
      <c r="C521" t="s">
        <v>2409</v>
      </c>
    </row>
    <row r="522" spans="1:3" x14ac:dyDescent="0.25">
      <c r="A522" t="s">
        <v>195</v>
      </c>
      <c r="B522" t="s">
        <v>2412</v>
      </c>
      <c r="C522" t="s">
        <v>2411</v>
      </c>
    </row>
    <row r="523" spans="1:3" x14ac:dyDescent="0.25">
      <c r="A523" t="s">
        <v>197</v>
      </c>
      <c r="B523" t="s">
        <v>515</v>
      </c>
      <c r="C523" t="s">
        <v>2413</v>
      </c>
    </row>
    <row r="524" spans="1:3" x14ac:dyDescent="0.25">
      <c r="A524" t="s">
        <v>196</v>
      </c>
      <c r="B524" t="s">
        <v>2415</v>
      </c>
      <c r="C524" t="s">
        <v>2414</v>
      </c>
    </row>
    <row r="525" spans="1:3" x14ac:dyDescent="0.25">
      <c r="A525" t="s">
        <v>257</v>
      </c>
      <c r="B525" t="s">
        <v>2417</v>
      </c>
      <c r="C525" t="s">
        <v>2416</v>
      </c>
    </row>
    <row r="526" spans="1:3" x14ac:dyDescent="0.25">
      <c r="A526" t="s">
        <v>186</v>
      </c>
      <c r="B526" t="s">
        <v>2419</v>
      </c>
      <c r="C526" t="s">
        <v>2418</v>
      </c>
    </row>
    <row r="527" spans="1:3" x14ac:dyDescent="0.25">
      <c r="A527" t="s">
        <v>256</v>
      </c>
      <c r="B527" t="s">
        <v>2421</v>
      </c>
      <c r="C527" t="s">
        <v>2420</v>
      </c>
    </row>
    <row r="528" spans="1:3" x14ac:dyDescent="0.25">
      <c r="A528" t="s">
        <v>2423</v>
      </c>
      <c r="B528" t="s">
        <v>2424</v>
      </c>
      <c r="C528" t="s">
        <v>2422</v>
      </c>
    </row>
    <row r="529" spans="1:3" x14ac:dyDescent="0.25">
      <c r="A529" t="s">
        <v>258</v>
      </c>
      <c r="B529" t="s">
        <v>2426</v>
      </c>
      <c r="C529" t="s">
        <v>2425</v>
      </c>
    </row>
    <row r="530" spans="1:3" x14ac:dyDescent="0.25">
      <c r="A530" t="s">
        <v>465</v>
      </c>
      <c r="B530" t="s">
        <v>2428</v>
      </c>
      <c r="C530" t="s">
        <v>2427</v>
      </c>
    </row>
    <row r="531" spans="1:3" x14ac:dyDescent="0.25">
      <c r="A531" t="s">
        <v>259</v>
      </c>
      <c r="B531" t="s">
        <v>2430</v>
      </c>
      <c r="C531" t="s">
        <v>2429</v>
      </c>
    </row>
    <row r="532" spans="1:3" x14ac:dyDescent="0.25">
      <c r="A532" t="s">
        <v>2432</v>
      </c>
      <c r="B532" t="s">
        <v>2433</v>
      </c>
      <c r="C532" t="s">
        <v>2431</v>
      </c>
    </row>
    <row r="533" spans="1:3" x14ac:dyDescent="0.25">
      <c r="A533" t="s">
        <v>2435</v>
      </c>
      <c r="B533" t="s">
        <v>2436</v>
      </c>
      <c r="C533" t="s">
        <v>2434</v>
      </c>
    </row>
    <row r="534" spans="1:3" x14ac:dyDescent="0.25">
      <c r="A534" t="s">
        <v>2438</v>
      </c>
      <c r="B534" t="s">
        <v>2436</v>
      </c>
      <c r="C534" t="s">
        <v>2437</v>
      </c>
    </row>
    <row r="535" spans="1:3" x14ac:dyDescent="0.25">
      <c r="A535" t="s">
        <v>2440</v>
      </c>
      <c r="B535" t="s">
        <v>2436</v>
      </c>
      <c r="C535" t="s">
        <v>2439</v>
      </c>
    </row>
    <row r="536" spans="1:3" x14ac:dyDescent="0.25">
      <c r="A536" t="s">
        <v>2442</v>
      </c>
      <c r="B536" t="s">
        <v>2436</v>
      </c>
      <c r="C536" t="s">
        <v>2441</v>
      </c>
    </row>
    <row r="537" spans="1:3" x14ac:dyDescent="0.25">
      <c r="A537" t="s">
        <v>2444</v>
      </c>
      <c r="B537" t="s">
        <v>2445</v>
      </c>
      <c r="C537" t="s">
        <v>2443</v>
      </c>
    </row>
    <row r="538" spans="1:3" x14ac:dyDescent="0.25">
      <c r="A538" t="s">
        <v>2447</v>
      </c>
      <c r="B538" t="s">
        <v>2445</v>
      </c>
      <c r="C538" t="s">
        <v>2446</v>
      </c>
    </row>
    <row r="539" spans="1:3" x14ac:dyDescent="0.25">
      <c r="A539" t="s">
        <v>2449</v>
      </c>
      <c r="B539" t="s">
        <v>2445</v>
      </c>
      <c r="C539" t="s">
        <v>2448</v>
      </c>
    </row>
    <row r="540" spans="1:3" x14ac:dyDescent="0.25">
      <c r="A540" t="s">
        <v>2451</v>
      </c>
      <c r="B540" t="s">
        <v>2452</v>
      </c>
      <c r="C540" t="s">
        <v>2450</v>
      </c>
    </row>
    <row r="541" spans="1:3" x14ac:dyDescent="0.25">
      <c r="A541" t="s">
        <v>2454</v>
      </c>
      <c r="B541" t="s">
        <v>2455</v>
      </c>
      <c r="C541" t="s">
        <v>2453</v>
      </c>
    </row>
    <row r="542" spans="1:3" x14ac:dyDescent="0.25">
      <c r="A542" t="s">
        <v>2457</v>
      </c>
      <c r="B542" t="s">
        <v>2455</v>
      </c>
      <c r="C542" t="s">
        <v>2456</v>
      </c>
    </row>
    <row r="543" spans="1:3" x14ac:dyDescent="0.25">
      <c r="A543" t="s">
        <v>2459</v>
      </c>
      <c r="B543" t="s">
        <v>2460</v>
      </c>
      <c r="C543" t="s">
        <v>2458</v>
      </c>
    </row>
    <row r="544" spans="1:3" x14ac:dyDescent="0.25">
      <c r="A544" t="s">
        <v>2462</v>
      </c>
      <c r="B544" t="s">
        <v>2463</v>
      </c>
      <c r="C544" t="s">
        <v>2461</v>
      </c>
    </row>
    <row r="545" spans="1:3" x14ac:dyDescent="0.25">
      <c r="A545" t="s">
        <v>2465</v>
      </c>
      <c r="B545" t="s">
        <v>2466</v>
      </c>
      <c r="C545" t="s">
        <v>2464</v>
      </c>
    </row>
    <row r="546" spans="1:3" x14ac:dyDescent="0.25">
      <c r="A546" t="s">
        <v>2468</v>
      </c>
      <c r="B546" t="s">
        <v>2469</v>
      </c>
      <c r="C546" t="s">
        <v>2467</v>
      </c>
    </row>
    <row r="547" spans="1:3" x14ac:dyDescent="0.25">
      <c r="A547" t="s">
        <v>2471</v>
      </c>
      <c r="B547" t="s">
        <v>2472</v>
      </c>
      <c r="C547" t="s">
        <v>2470</v>
      </c>
    </row>
    <row r="548" spans="1:3" x14ac:dyDescent="0.25">
      <c r="A548" t="s">
        <v>172</v>
      </c>
      <c r="B548" t="s">
        <v>2474</v>
      </c>
      <c r="C548" t="s">
        <v>2473</v>
      </c>
    </row>
    <row r="549" spans="1:3" x14ac:dyDescent="0.25">
      <c r="A549" t="s">
        <v>2476</v>
      </c>
      <c r="B549" t="s">
        <v>2477</v>
      </c>
      <c r="C549" t="s">
        <v>2475</v>
      </c>
    </row>
    <row r="550" spans="1:3" x14ac:dyDescent="0.25">
      <c r="A550" t="s">
        <v>2479</v>
      </c>
      <c r="B550" t="s">
        <v>2480</v>
      </c>
      <c r="C550" t="s">
        <v>2478</v>
      </c>
    </row>
    <row r="551" spans="1:3" x14ac:dyDescent="0.25">
      <c r="A551" t="s">
        <v>2482</v>
      </c>
      <c r="B551" t="s">
        <v>2480</v>
      </c>
      <c r="C551" t="s">
        <v>2481</v>
      </c>
    </row>
    <row r="552" spans="1:3" x14ac:dyDescent="0.25">
      <c r="A552" t="s">
        <v>173</v>
      </c>
      <c r="B552" t="s">
        <v>2484</v>
      </c>
      <c r="C552" t="s">
        <v>2483</v>
      </c>
    </row>
    <row r="553" spans="1:3" x14ac:dyDescent="0.25">
      <c r="A553" t="s">
        <v>2486</v>
      </c>
      <c r="B553" t="s">
        <v>2487</v>
      </c>
      <c r="C553" t="s">
        <v>2485</v>
      </c>
    </row>
    <row r="554" spans="1:3" x14ac:dyDescent="0.25">
      <c r="A554" t="s">
        <v>271</v>
      </c>
      <c r="B554" t="s">
        <v>2489</v>
      </c>
      <c r="C554" t="s">
        <v>2488</v>
      </c>
    </row>
    <row r="555" spans="1:3" x14ac:dyDescent="0.25">
      <c r="A555" t="s">
        <v>174</v>
      </c>
      <c r="B555" t="s">
        <v>2491</v>
      </c>
      <c r="C555" t="s">
        <v>2490</v>
      </c>
    </row>
    <row r="556" spans="1:3" x14ac:dyDescent="0.25">
      <c r="A556" t="s">
        <v>2493</v>
      </c>
      <c r="B556" t="s">
        <v>2494</v>
      </c>
      <c r="C556" t="s">
        <v>2492</v>
      </c>
    </row>
    <row r="557" spans="1:3" x14ac:dyDescent="0.25">
      <c r="A557" t="s">
        <v>2496</v>
      </c>
      <c r="B557" t="s">
        <v>2497</v>
      </c>
      <c r="C557" t="s">
        <v>2495</v>
      </c>
    </row>
    <row r="558" spans="1:3" x14ac:dyDescent="0.25">
      <c r="A558" t="s">
        <v>2499</v>
      </c>
      <c r="B558" t="s">
        <v>2500</v>
      </c>
      <c r="C558" t="s">
        <v>2498</v>
      </c>
    </row>
    <row r="559" spans="1:3" x14ac:dyDescent="0.25">
      <c r="A559" t="s">
        <v>2502</v>
      </c>
      <c r="B559" t="s">
        <v>2503</v>
      </c>
      <c r="C559" t="s">
        <v>2501</v>
      </c>
    </row>
    <row r="560" spans="1:3" x14ac:dyDescent="0.25">
      <c r="A560" t="s">
        <v>2505</v>
      </c>
      <c r="B560" t="s">
        <v>2506</v>
      </c>
      <c r="C560" t="s">
        <v>2504</v>
      </c>
    </row>
    <row r="561" spans="1:3" x14ac:dyDescent="0.25">
      <c r="A561" t="s">
        <v>2508</v>
      </c>
      <c r="B561" t="s">
        <v>2509</v>
      </c>
      <c r="C561" t="s">
        <v>2507</v>
      </c>
    </row>
    <row r="562" spans="1:3" x14ac:dyDescent="0.25">
      <c r="A562" t="s">
        <v>2511</v>
      </c>
      <c r="B562" t="s">
        <v>2512</v>
      </c>
      <c r="C562" t="s">
        <v>2510</v>
      </c>
    </row>
    <row r="563" spans="1:3" x14ac:dyDescent="0.25">
      <c r="A563" t="s">
        <v>2514</v>
      </c>
      <c r="B563" t="s">
        <v>2515</v>
      </c>
      <c r="C563" t="s">
        <v>2513</v>
      </c>
    </row>
    <row r="564" spans="1:3" x14ac:dyDescent="0.25">
      <c r="A564" t="s">
        <v>2517</v>
      </c>
      <c r="B564" t="s">
        <v>2515</v>
      </c>
      <c r="C564" t="s">
        <v>2516</v>
      </c>
    </row>
    <row r="565" spans="1:3" x14ac:dyDescent="0.25">
      <c r="A565" t="s">
        <v>2519</v>
      </c>
      <c r="B565" t="s">
        <v>2515</v>
      </c>
      <c r="C565" t="s">
        <v>2518</v>
      </c>
    </row>
    <row r="566" spans="1:3" x14ac:dyDescent="0.25">
      <c r="A566" t="s">
        <v>2521</v>
      </c>
      <c r="B566" t="s">
        <v>2522</v>
      </c>
      <c r="C566" t="s">
        <v>2520</v>
      </c>
    </row>
    <row r="567" spans="1:3" x14ac:dyDescent="0.25">
      <c r="A567" t="s">
        <v>2524</v>
      </c>
      <c r="B567" t="s">
        <v>2525</v>
      </c>
      <c r="C567" t="s">
        <v>2523</v>
      </c>
    </row>
    <row r="568" spans="1:3" x14ac:dyDescent="0.25">
      <c r="A568" t="s">
        <v>2527</v>
      </c>
      <c r="B568" t="s">
        <v>2528</v>
      </c>
      <c r="C568" t="s">
        <v>2526</v>
      </c>
    </row>
    <row r="569" spans="1:3" x14ac:dyDescent="0.25">
      <c r="A569" t="s">
        <v>2530</v>
      </c>
      <c r="B569" t="s">
        <v>2531</v>
      </c>
      <c r="C569" t="s">
        <v>2529</v>
      </c>
    </row>
    <row r="570" spans="1:3" x14ac:dyDescent="0.25">
      <c r="A570" t="s">
        <v>2533</v>
      </c>
      <c r="B570" t="s">
        <v>2534</v>
      </c>
      <c r="C570" t="s">
        <v>2532</v>
      </c>
    </row>
    <row r="571" spans="1:3" x14ac:dyDescent="0.25">
      <c r="A571" t="s">
        <v>2536</v>
      </c>
      <c r="B571" t="s">
        <v>2537</v>
      </c>
      <c r="C571" t="s">
        <v>2535</v>
      </c>
    </row>
    <row r="572" spans="1:3" x14ac:dyDescent="0.25">
      <c r="A572" t="s">
        <v>2539</v>
      </c>
      <c r="B572" t="s">
        <v>2540</v>
      </c>
      <c r="C572" t="s">
        <v>2538</v>
      </c>
    </row>
    <row r="573" spans="1:3" x14ac:dyDescent="0.25">
      <c r="A573" t="s">
        <v>2542</v>
      </c>
      <c r="B573" t="s">
        <v>2543</v>
      </c>
      <c r="C573" t="s">
        <v>2541</v>
      </c>
    </row>
    <row r="574" spans="1:3" x14ac:dyDescent="0.25">
      <c r="A574" t="s">
        <v>2545</v>
      </c>
      <c r="B574" t="s">
        <v>2546</v>
      </c>
      <c r="C574" t="s">
        <v>2544</v>
      </c>
    </row>
    <row r="575" spans="1:3" x14ac:dyDescent="0.25">
      <c r="A575" t="s">
        <v>2548</v>
      </c>
      <c r="B575" t="s">
        <v>2549</v>
      </c>
      <c r="C575" t="s">
        <v>2547</v>
      </c>
    </row>
    <row r="576" spans="1:3" x14ac:dyDescent="0.25">
      <c r="A576" t="s">
        <v>2551</v>
      </c>
      <c r="B576" t="s">
        <v>2552</v>
      </c>
      <c r="C576" t="s">
        <v>2550</v>
      </c>
    </row>
    <row r="577" spans="1:3" x14ac:dyDescent="0.25">
      <c r="A577" t="s">
        <v>2554</v>
      </c>
      <c r="B577" t="s">
        <v>2555</v>
      </c>
      <c r="C577" t="s">
        <v>2553</v>
      </c>
    </row>
    <row r="578" spans="1:3" x14ac:dyDescent="0.25">
      <c r="A578" t="s">
        <v>2556</v>
      </c>
      <c r="B578" t="s">
        <v>2557</v>
      </c>
      <c r="C578" t="s">
        <v>2553</v>
      </c>
    </row>
    <row r="579" spans="1:3" x14ac:dyDescent="0.25">
      <c r="A579" t="s">
        <v>2559</v>
      </c>
      <c r="B579" t="s">
        <v>2560</v>
      </c>
      <c r="C579" t="s">
        <v>2558</v>
      </c>
    </row>
    <row r="580" spans="1:3" x14ac:dyDescent="0.25">
      <c r="A580" t="s">
        <v>2562</v>
      </c>
      <c r="B580" t="s">
        <v>2563</v>
      </c>
      <c r="C580" t="s">
        <v>2561</v>
      </c>
    </row>
    <row r="581" spans="1:3" x14ac:dyDescent="0.25">
      <c r="A581" t="s">
        <v>2565</v>
      </c>
      <c r="B581" t="s">
        <v>2566</v>
      </c>
      <c r="C581" t="s">
        <v>2564</v>
      </c>
    </row>
    <row r="582" spans="1:3" x14ac:dyDescent="0.25">
      <c r="A582" t="s">
        <v>2568</v>
      </c>
      <c r="B582" t="s">
        <v>2569</v>
      </c>
      <c r="C582" t="s">
        <v>2567</v>
      </c>
    </row>
    <row r="583" spans="1:3" x14ac:dyDescent="0.25">
      <c r="A583" t="s">
        <v>2571</v>
      </c>
      <c r="B583" t="s">
        <v>2572</v>
      </c>
      <c r="C583" t="s">
        <v>2570</v>
      </c>
    </row>
    <row r="584" spans="1:3" x14ac:dyDescent="0.25">
      <c r="A584" t="s">
        <v>2574</v>
      </c>
      <c r="B584" t="s">
        <v>2575</v>
      </c>
      <c r="C584" t="s">
        <v>2573</v>
      </c>
    </row>
    <row r="585" spans="1:3" x14ac:dyDescent="0.25">
      <c r="A585" t="s">
        <v>2577</v>
      </c>
      <c r="B585" t="s">
        <v>2578</v>
      </c>
      <c r="C585" t="s">
        <v>2576</v>
      </c>
    </row>
    <row r="586" spans="1:3" x14ac:dyDescent="0.25">
      <c r="A586" t="s">
        <v>2580</v>
      </c>
      <c r="B586" t="s">
        <v>2581</v>
      </c>
      <c r="C586" t="s">
        <v>2579</v>
      </c>
    </row>
    <row r="587" spans="1:3" x14ac:dyDescent="0.25">
      <c r="A587" t="s">
        <v>2583</v>
      </c>
      <c r="B587" t="s">
        <v>2584</v>
      </c>
      <c r="C587" t="s">
        <v>2582</v>
      </c>
    </row>
    <row r="588" spans="1:3" x14ac:dyDescent="0.25">
      <c r="A588" t="s">
        <v>2586</v>
      </c>
      <c r="B588" t="s">
        <v>2587</v>
      </c>
      <c r="C588" t="s">
        <v>2585</v>
      </c>
    </row>
    <row r="589" spans="1:3" x14ac:dyDescent="0.25">
      <c r="A589" t="s">
        <v>2589</v>
      </c>
      <c r="B589" t="s">
        <v>2590</v>
      </c>
      <c r="C589" t="s">
        <v>2588</v>
      </c>
    </row>
    <row r="590" spans="1:3" x14ac:dyDescent="0.25">
      <c r="A590" t="s">
        <v>2592</v>
      </c>
      <c r="B590" t="s">
        <v>2593</v>
      </c>
      <c r="C590" t="s">
        <v>2591</v>
      </c>
    </row>
    <row r="591" spans="1:3" x14ac:dyDescent="0.25">
      <c r="A591" t="s">
        <v>2595</v>
      </c>
      <c r="B591" t="s">
        <v>2596</v>
      </c>
      <c r="C591" t="s">
        <v>2594</v>
      </c>
    </row>
    <row r="592" spans="1:3" x14ac:dyDescent="0.25">
      <c r="A592" t="s">
        <v>2598</v>
      </c>
      <c r="B592" t="s">
        <v>2599</v>
      </c>
      <c r="C592" t="s">
        <v>2597</v>
      </c>
    </row>
    <row r="593" spans="1:3" x14ac:dyDescent="0.25">
      <c r="A593" t="s">
        <v>2601</v>
      </c>
      <c r="B593" t="s">
        <v>2602</v>
      </c>
      <c r="C593" t="s">
        <v>2600</v>
      </c>
    </row>
    <row r="594" spans="1:3" x14ac:dyDescent="0.25">
      <c r="A594" t="s">
        <v>2604</v>
      </c>
      <c r="B594" t="s">
        <v>2605</v>
      </c>
      <c r="C594" t="s">
        <v>2603</v>
      </c>
    </row>
    <row r="595" spans="1:3" x14ac:dyDescent="0.25">
      <c r="A595" t="s">
        <v>2607</v>
      </c>
      <c r="B595" t="s">
        <v>2608</v>
      </c>
      <c r="C595" t="s">
        <v>2606</v>
      </c>
    </row>
    <row r="596" spans="1:3" x14ac:dyDescent="0.25">
      <c r="A596" t="s">
        <v>2610</v>
      </c>
      <c r="B596" t="s">
        <v>2611</v>
      </c>
      <c r="C596" t="s">
        <v>2609</v>
      </c>
    </row>
    <row r="597" spans="1:3" x14ac:dyDescent="0.25">
      <c r="A597" t="s">
        <v>2613</v>
      </c>
      <c r="B597" t="s">
        <v>2614</v>
      </c>
      <c r="C597" t="s">
        <v>2612</v>
      </c>
    </row>
    <row r="598" spans="1:3" x14ac:dyDescent="0.25">
      <c r="A598" t="s">
        <v>2616</v>
      </c>
      <c r="B598" t="s">
        <v>2617</v>
      </c>
      <c r="C598" t="s">
        <v>2615</v>
      </c>
    </row>
    <row r="599" spans="1:3" x14ac:dyDescent="0.25">
      <c r="A599" t="s">
        <v>2619</v>
      </c>
      <c r="B599" t="s">
        <v>2620</v>
      </c>
      <c r="C599" t="s">
        <v>2618</v>
      </c>
    </row>
    <row r="600" spans="1:3" x14ac:dyDescent="0.25">
      <c r="A600" t="s">
        <v>2622</v>
      </c>
      <c r="B600" t="s">
        <v>2623</v>
      </c>
      <c r="C600" t="s">
        <v>2621</v>
      </c>
    </row>
    <row r="601" spans="1:3" x14ac:dyDescent="0.25">
      <c r="A601" t="s">
        <v>2625</v>
      </c>
      <c r="B601" t="s">
        <v>2626</v>
      </c>
      <c r="C601" t="s">
        <v>2624</v>
      </c>
    </row>
    <row r="602" spans="1:3" x14ac:dyDescent="0.25">
      <c r="A602" t="s">
        <v>2628</v>
      </c>
      <c r="B602" t="s">
        <v>2629</v>
      </c>
      <c r="C602" t="s">
        <v>2627</v>
      </c>
    </row>
    <row r="603" spans="1:3" x14ac:dyDescent="0.25">
      <c r="A603" t="s">
        <v>2631</v>
      </c>
      <c r="B603" t="s">
        <v>2632</v>
      </c>
      <c r="C603" t="s">
        <v>2630</v>
      </c>
    </row>
    <row r="604" spans="1:3" x14ac:dyDescent="0.25">
      <c r="A604" t="s">
        <v>2634</v>
      </c>
      <c r="B604" t="s">
        <v>2635</v>
      </c>
      <c r="C604" t="s">
        <v>2633</v>
      </c>
    </row>
    <row r="605" spans="1:3" x14ac:dyDescent="0.25">
      <c r="A605" t="s">
        <v>2636</v>
      </c>
      <c r="B605" t="s">
        <v>2635</v>
      </c>
      <c r="C605" t="s">
        <v>2633</v>
      </c>
    </row>
    <row r="606" spans="1:3" x14ac:dyDescent="0.25">
      <c r="A606" t="s">
        <v>2638</v>
      </c>
      <c r="B606" t="s">
        <v>2639</v>
      </c>
      <c r="C606" t="s">
        <v>2637</v>
      </c>
    </row>
    <row r="607" spans="1:3" x14ac:dyDescent="0.25">
      <c r="A607" t="s">
        <v>2641</v>
      </c>
      <c r="B607" t="s">
        <v>2642</v>
      </c>
      <c r="C607" t="s">
        <v>2640</v>
      </c>
    </row>
    <row r="608" spans="1:3" x14ac:dyDescent="0.25">
      <c r="A608" t="s">
        <v>2644</v>
      </c>
      <c r="B608" t="s">
        <v>2645</v>
      </c>
      <c r="C608" t="s">
        <v>2643</v>
      </c>
    </row>
    <row r="609" spans="1:3" x14ac:dyDescent="0.25">
      <c r="A609" t="s">
        <v>506</v>
      </c>
      <c r="B609" t="s">
        <v>2645</v>
      </c>
      <c r="C609" t="s">
        <v>2646</v>
      </c>
    </row>
    <row r="610" spans="1:3" x14ac:dyDescent="0.25">
      <c r="A610" t="s">
        <v>249</v>
      </c>
      <c r="B610" t="s">
        <v>248</v>
      </c>
      <c r="C610" t="s">
        <v>2647</v>
      </c>
    </row>
    <row r="611" spans="1:3" x14ac:dyDescent="0.25">
      <c r="A611" t="s">
        <v>2649</v>
      </c>
      <c r="B611" t="s">
        <v>2650</v>
      </c>
      <c r="C611" t="s">
        <v>2648</v>
      </c>
    </row>
    <row r="612" spans="1:3" x14ac:dyDescent="0.25">
      <c r="A612" t="s">
        <v>255</v>
      </c>
      <c r="B612" t="s">
        <v>2652</v>
      </c>
      <c r="C612" t="s">
        <v>2651</v>
      </c>
    </row>
    <row r="613" spans="1:3" x14ac:dyDescent="0.25">
      <c r="A613" t="s">
        <v>2654</v>
      </c>
      <c r="B613" t="s">
        <v>2655</v>
      </c>
      <c r="C613" t="s">
        <v>2653</v>
      </c>
    </row>
    <row r="614" spans="1:3" x14ac:dyDescent="0.25">
      <c r="A614" t="s">
        <v>2657</v>
      </c>
      <c r="B614" t="s">
        <v>2658</v>
      </c>
      <c r="C614" t="s">
        <v>2656</v>
      </c>
    </row>
    <row r="615" spans="1:3" x14ac:dyDescent="0.25">
      <c r="A615" t="s">
        <v>2660</v>
      </c>
      <c r="B615" t="s">
        <v>2658</v>
      </c>
      <c r="C615" t="s">
        <v>2659</v>
      </c>
    </row>
    <row r="616" spans="1:3" x14ac:dyDescent="0.25">
      <c r="A616" t="s">
        <v>2662</v>
      </c>
      <c r="B616" t="s">
        <v>2658</v>
      </c>
      <c r="C616" t="s">
        <v>2661</v>
      </c>
    </row>
    <row r="617" spans="1:3" x14ac:dyDescent="0.25">
      <c r="A617" t="s">
        <v>2664</v>
      </c>
      <c r="B617" t="s">
        <v>2665</v>
      </c>
      <c r="C617" t="s">
        <v>2663</v>
      </c>
    </row>
    <row r="618" spans="1:3" x14ac:dyDescent="0.25">
      <c r="A618" t="s">
        <v>2667</v>
      </c>
      <c r="B618" t="s">
        <v>239</v>
      </c>
      <c r="C618" t="s">
        <v>2666</v>
      </c>
    </row>
    <row r="619" spans="1:3" x14ac:dyDescent="0.25">
      <c r="A619" t="s">
        <v>2668</v>
      </c>
      <c r="B619" t="s">
        <v>2669</v>
      </c>
      <c r="C619" t="s">
        <v>2666</v>
      </c>
    </row>
    <row r="620" spans="1:3" x14ac:dyDescent="0.25">
      <c r="A620" t="s">
        <v>2671</v>
      </c>
      <c r="B620" t="s">
        <v>2669</v>
      </c>
      <c r="C620" t="s">
        <v>2670</v>
      </c>
    </row>
    <row r="621" spans="1:3" x14ac:dyDescent="0.25">
      <c r="A621" t="s">
        <v>2673</v>
      </c>
      <c r="B621" t="s">
        <v>241</v>
      </c>
      <c r="C621" t="s">
        <v>2672</v>
      </c>
    </row>
    <row r="622" spans="1:3" x14ac:dyDescent="0.25">
      <c r="A622" t="s">
        <v>240</v>
      </c>
      <c r="B622" t="s">
        <v>241</v>
      </c>
      <c r="C622" t="s">
        <v>2674</v>
      </c>
    </row>
    <row r="623" spans="1:3" x14ac:dyDescent="0.25">
      <c r="A623" t="s">
        <v>2676</v>
      </c>
      <c r="B623" t="s">
        <v>2677</v>
      </c>
      <c r="C623" t="s">
        <v>2675</v>
      </c>
    </row>
    <row r="624" spans="1:3" x14ac:dyDescent="0.25">
      <c r="A624" t="s">
        <v>2679</v>
      </c>
      <c r="B624" t="s">
        <v>2680</v>
      </c>
      <c r="C624" t="s">
        <v>2678</v>
      </c>
    </row>
    <row r="625" spans="1:3" x14ac:dyDescent="0.25">
      <c r="A625" t="s">
        <v>2682</v>
      </c>
      <c r="B625" t="s">
        <v>2683</v>
      </c>
      <c r="C625" t="s">
        <v>2681</v>
      </c>
    </row>
    <row r="626" spans="1:3" x14ac:dyDescent="0.25">
      <c r="A626" t="s">
        <v>242</v>
      </c>
      <c r="B626" t="s">
        <v>2683</v>
      </c>
      <c r="C626" t="s">
        <v>2684</v>
      </c>
    </row>
    <row r="627" spans="1:3" x14ac:dyDescent="0.25">
      <c r="A627" t="s">
        <v>2686</v>
      </c>
      <c r="B627" t="s">
        <v>2687</v>
      </c>
      <c r="C627" t="s">
        <v>2685</v>
      </c>
    </row>
    <row r="628" spans="1:3" x14ac:dyDescent="0.25">
      <c r="A628" t="s">
        <v>2689</v>
      </c>
      <c r="B628" t="s">
        <v>2690</v>
      </c>
      <c r="C628" t="s">
        <v>2688</v>
      </c>
    </row>
    <row r="629" spans="1:3" x14ac:dyDescent="0.25">
      <c r="A629" t="s">
        <v>2692</v>
      </c>
      <c r="B629" t="s">
        <v>2693</v>
      </c>
      <c r="C629" t="s">
        <v>2691</v>
      </c>
    </row>
    <row r="630" spans="1:3" x14ac:dyDescent="0.25">
      <c r="A630" t="s">
        <v>2695</v>
      </c>
      <c r="B630" t="s">
        <v>2696</v>
      </c>
      <c r="C630" t="s">
        <v>2694</v>
      </c>
    </row>
    <row r="631" spans="1:3" x14ac:dyDescent="0.25">
      <c r="A631" t="s">
        <v>2698</v>
      </c>
      <c r="B631" t="s">
        <v>244</v>
      </c>
      <c r="C631" t="s">
        <v>2697</v>
      </c>
    </row>
    <row r="632" spans="1:3" x14ac:dyDescent="0.25">
      <c r="A632" t="s">
        <v>243</v>
      </c>
      <c r="B632" t="s">
        <v>244</v>
      </c>
      <c r="C632" t="s">
        <v>2699</v>
      </c>
    </row>
    <row r="633" spans="1:3" x14ac:dyDescent="0.25">
      <c r="A633" t="s">
        <v>2701</v>
      </c>
      <c r="B633" t="s">
        <v>2702</v>
      </c>
      <c r="C633" t="s">
        <v>2700</v>
      </c>
    </row>
    <row r="634" spans="1:3" x14ac:dyDescent="0.25">
      <c r="A634" t="s">
        <v>2704</v>
      </c>
      <c r="B634" t="s">
        <v>2705</v>
      </c>
      <c r="C634" t="s">
        <v>2703</v>
      </c>
    </row>
    <row r="635" spans="1:3" x14ac:dyDescent="0.25">
      <c r="A635" t="s">
        <v>245</v>
      </c>
      <c r="B635" t="s">
        <v>2705</v>
      </c>
      <c r="C635" t="s">
        <v>2706</v>
      </c>
    </row>
    <row r="636" spans="1:3" x14ac:dyDescent="0.25">
      <c r="A636" t="s">
        <v>2708</v>
      </c>
      <c r="B636" t="s">
        <v>2709</v>
      </c>
      <c r="C636" t="s">
        <v>2707</v>
      </c>
    </row>
    <row r="637" spans="1:3" x14ac:dyDescent="0.25">
      <c r="A637" t="s">
        <v>2711</v>
      </c>
      <c r="B637" t="s">
        <v>2712</v>
      </c>
      <c r="C637" t="s">
        <v>2710</v>
      </c>
    </row>
    <row r="638" spans="1:3" x14ac:dyDescent="0.25">
      <c r="A638" t="s">
        <v>246</v>
      </c>
      <c r="B638" t="s">
        <v>2714</v>
      </c>
      <c r="C638" t="s">
        <v>2713</v>
      </c>
    </row>
    <row r="639" spans="1:3" x14ac:dyDescent="0.25">
      <c r="A639" t="s">
        <v>2716</v>
      </c>
      <c r="B639" t="s">
        <v>2717</v>
      </c>
      <c r="C639" t="s">
        <v>2715</v>
      </c>
    </row>
    <row r="640" spans="1:3" x14ac:dyDescent="0.25">
      <c r="A640" t="s">
        <v>264</v>
      </c>
      <c r="B640" t="s">
        <v>2718</v>
      </c>
      <c r="C640" t="s">
        <v>305</v>
      </c>
    </row>
    <row r="641" spans="1:3" x14ac:dyDescent="0.25">
      <c r="A641" t="s">
        <v>2720</v>
      </c>
      <c r="B641" t="s">
        <v>2721</v>
      </c>
      <c r="C641" t="s">
        <v>2719</v>
      </c>
    </row>
    <row r="642" spans="1:3" x14ac:dyDescent="0.25">
      <c r="A642" t="s">
        <v>2723</v>
      </c>
      <c r="B642" t="s">
        <v>2724</v>
      </c>
      <c r="C642" t="s">
        <v>2722</v>
      </c>
    </row>
    <row r="643" spans="1:3" x14ac:dyDescent="0.25">
      <c r="A643" t="s">
        <v>2726</v>
      </c>
      <c r="B643" t="s">
        <v>2727</v>
      </c>
      <c r="C643" t="s">
        <v>2725</v>
      </c>
    </row>
    <row r="644" spans="1:3" x14ac:dyDescent="0.25">
      <c r="A644" t="s">
        <v>236</v>
      </c>
      <c r="B644" t="s">
        <v>235</v>
      </c>
      <c r="C644" t="s">
        <v>2728</v>
      </c>
    </row>
    <row r="645" spans="1:3" x14ac:dyDescent="0.25">
      <c r="A645" t="s">
        <v>2730</v>
      </c>
      <c r="B645" t="s">
        <v>2731</v>
      </c>
      <c r="C645" t="s">
        <v>2729</v>
      </c>
    </row>
    <row r="646" spans="1:3" x14ac:dyDescent="0.25">
      <c r="A646" t="s">
        <v>460</v>
      </c>
      <c r="B646" t="s">
        <v>2733</v>
      </c>
      <c r="C646" t="s">
        <v>2732</v>
      </c>
    </row>
    <row r="647" spans="1:3" x14ac:dyDescent="0.25">
      <c r="A647" t="s">
        <v>2735</v>
      </c>
      <c r="B647" t="s">
        <v>2736</v>
      </c>
      <c r="C647" t="s">
        <v>2734</v>
      </c>
    </row>
    <row r="648" spans="1:3" x14ac:dyDescent="0.25">
      <c r="A648" t="s">
        <v>462</v>
      </c>
      <c r="B648" t="s">
        <v>2738</v>
      </c>
      <c r="C648" t="s">
        <v>2737</v>
      </c>
    </row>
    <row r="649" spans="1:3" x14ac:dyDescent="0.25">
      <c r="A649" t="s">
        <v>2740</v>
      </c>
      <c r="B649" t="s">
        <v>2741</v>
      </c>
      <c r="C649" t="s">
        <v>2739</v>
      </c>
    </row>
    <row r="650" spans="1:3" x14ac:dyDescent="0.25">
      <c r="A650" t="s">
        <v>237</v>
      </c>
      <c r="B650" t="s">
        <v>2743</v>
      </c>
      <c r="C650" t="s">
        <v>2742</v>
      </c>
    </row>
    <row r="651" spans="1:3" x14ac:dyDescent="0.25">
      <c r="A651" t="s">
        <v>2745</v>
      </c>
      <c r="B651" t="s">
        <v>2746</v>
      </c>
      <c r="C651" t="s">
        <v>2744</v>
      </c>
    </row>
    <row r="652" spans="1:3" x14ac:dyDescent="0.25">
      <c r="A652" t="s">
        <v>464</v>
      </c>
      <c r="B652" t="s">
        <v>2748</v>
      </c>
      <c r="C652" t="s">
        <v>2747</v>
      </c>
    </row>
    <row r="653" spans="1:3" x14ac:dyDescent="0.25">
      <c r="A653" t="s">
        <v>2750</v>
      </c>
      <c r="B653" t="s">
        <v>2751</v>
      </c>
      <c r="C653" t="s">
        <v>2749</v>
      </c>
    </row>
    <row r="654" spans="1:3" x14ac:dyDescent="0.25">
      <c r="A654" t="s">
        <v>265</v>
      </c>
      <c r="B654" t="s">
        <v>2753</v>
      </c>
      <c r="C654" t="s">
        <v>2752</v>
      </c>
    </row>
    <row r="655" spans="1:3" x14ac:dyDescent="0.25">
      <c r="A655" t="s">
        <v>2755</v>
      </c>
      <c r="B655" t="s">
        <v>2756</v>
      </c>
      <c r="C655" t="s">
        <v>2754</v>
      </c>
    </row>
    <row r="656" spans="1:3" x14ac:dyDescent="0.25">
      <c r="A656" t="s">
        <v>251</v>
      </c>
      <c r="B656" t="s">
        <v>252</v>
      </c>
      <c r="C656" t="s">
        <v>2757</v>
      </c>
    </row>
    <row r="657" spans="1:3" x14ac:dyDescent="0.25">
      <c r="A657" t="s">
        <v>253</v>
      </c>
      <c r="B657" t="s">
        <v>2759</v>
      </c>
      <c r="C657" t="s">
        <v>2758</v>
      </c>
    </row>
    <row r="658" spans="1:3" x14ac:dyDescent="0.25">
      <c r="A658" t="s">
        <v>254</v>
      </c>
      <c r="B658" t="s">
        <v>658</v>
      </c>
      <c r="C658" t="s">
        <v>2760</v>
      </c>
    </row>
    <row r="659" spans="1:3" x14ac:dyDescent="0.25">
      <c r="A659" t="s">
        <v>2762</v>
      </c>
      <c r="B659" t="s">
        <v>250</v>
      </c>
      <c r="C659" t="s">
        <v>2761</v>
      </c>
    </row>
    <row r="660" spans="1:3" x14ac:dyDescent="0.25">
      <c r="A660" t="s">
        <v>2764</v>
      </c>
      <c r="B660" t="s">
        <v>2765</v>
      </c>
      <c r="C660" t="s">
        <v>2763</v>
      </c>
    </row>
    <row r="661" spans="1:3" x14ac:dyDescent="0.25">
      <c r="A661" t="s">
        <v>2767</v>
      </c>
      <c r="B661" t="s">
        <v>2768</v>
      </c>
      <c r="C661" t="s">
        <v>2766</v>
      </c>
    </row>
    <row r="662" spans="1:3" x14ac:dyDescent="0.25">
      <c r="A662" t="s">
        <v>2770</v>
      </c>
      <c r="B662" t="s">
        <v>2771</v>
      </c>
      <c r="C662" t="s">
        <v>2769</v>
      </c>
    </row>
    <row r="663" spans="1:3" x14ac:dyDescent="0.25">
      <c r="A663" t="s">
        <v>229</v>
      </c>
      <c r="B663" t="s">
        <v>230</v>
      </c>
      <c r="C663" t="s">
        <v>2772</v>
      </c>
    </row>
    <row r="664" spans="1:3" x14ac:dyDescent="0.25">
      <c r="A664" t="s">
        <v>231</v>
      </c>
      <c r="B664" t="s">
        <v>232</v>
      </c>
      <c r="C664" t="s">
        <v>2773</v>
      </c>
    </row>
    <row r="665" spans="1:3" x14ac:dyDescent="0.25">
      <c r="A665" t="s">
        <v>233</v>
      </c>
      <c r="B665" t="s">
        <v>234</v>
      </c>
      <c r="C665" t="s">
        <v>2774</v>
      </c>
    </row>
    <row r="666" spans="1:3" x14ac:dyDescent="0.25">
      <c r="A666" t="s">
        <v>2776</v>
      </c>
      <c r="B666" t="s">
        <v>2777</v>
      </c>
      <c r="C666" t="s">
        <v>2775</v>
      </c>
    </row>
    <row r="667" spans="1:3" x14ac:dyDescent="0.25">
      <c r="A667" t="s">
        <v>2779</v>
      </c>
      <c r="B667" t="s">
        <v>2777</v>
      </c>
      <c r="C667" t="s">
        <v>2778</v>
      </c>
    </row>
    <row r="668" spans="1:3" x14ac:dyDescent="0.25">
      <c r="A668" t="s">
        <v>2781</v>
      </c>
      <c r="B668" t="s">
        <v>2782</v>
      </c>
      <c r="C668" t="s">
        <v>2780</v>
      </c>
    </row>
    <row r="669" spans="1:3" x14ac:dyDescent="0.25">
      <c r="A669" t="s">
        <v>2784</v>
      </c>
      <c r="B669" t="s">
        <v>2785</v>
      </c>
      <c r="C669" t="s">
        <v>2783</v>
      </c>
    </row>
    <row r="670" spans="1:3" x14ac:dyDescent="0.25">
      <c r="A670" t="s">
        <v>2787</v>
      </c>
      <c r="B670" t="s">
        <v>2788</v>
      </c>
      <c r="C670" t="s">
        <v>2786</v>
      </c>
    </row>
    <row r="671" spans="1:3" x14ac:dyDescent="0.25">
      <c r="A671" t="s">
        <v>2790</v>
      </c>
      <c r="B671" t="s">
        <v>260</v>
      </c>
      <c r="C671" t="s">
        <v>2789</v>
      </c>
    </row>
    <row r="672" spans="1:3" x14ac:dyDescent="0.25">
      <c r="A672" t="s">
        <v>223</v>
      </c>
      <c r="B672" t="s">
        <v>260</v>
      </c>
      <c r="C672" t="s">
        <v>2791</v>
      </c>
    </row>
    <row r="673" spans="1:3" x14ac:dyDescent="0.25">
      <c r="A673" t="s">
        <v>2793</v>
      </c>
      <c r="B673" t="s">
        <v>2794</v>
      </c>
      <c r="C673" t="s">
        <v>2792</v>
      </c>
    </row>
    <row r="674" spans="1:3" x14ac:dyDescent="0.25">
      <c r="A674" t="s">
        <v>2796</v>
      </c>
      <c r="B674" t="s">
        <v>2797</v>
      </c>
      <c r="C674" t="s">
        <v>2795</v>
      </c>
    </row>
    <row r="675" spans="1:3" x14ac:dyDescent="0.25">
      <c r="A675" t="s">
        <v>2799</v>
      </c>
      <c r="B675" t="s">
        <v>2800</v>
      </c>
      <c r="C675" t="s">
        <v>2798</v>
      </c>
    </row>
    <row r="676" spans="1:3" x14ac:dyDescent="0.25">
      <c r="A676" t="s">
        <v>2802</v>
      </c>
      <c r="B676" t="s">
        <v>2803</v>
      </c>
      <c r="C676" t="s">
        <v>2801</v>
      </c>
    </row>
    <row r="677" spans="1:3" x14ac:dyDescent="0.25">
      <c r="A677" t="s">
        <v>2805</v>
      </c>
      <c r="B677" t="s">
        <v>2806</v>
      </c>
      <c r="C677" t="s">
        <v>2804</v>
      </c>
    </row>
    <row r="678" spans="1:3" x14ac:dyDescent="0.25">
      <c r="A678" t="s">
        <v>2808</v>
      </c>
      <c r="B678" t="s">
        <v>2809</v>
      </c>
      <c r="C678" t="s">
        <v>2807</v>
      </c>
    </row>
    <row r="679" spans="1:3" x14ac:dyDescent="0.25">
      <c r="A679" t="s">
        <v>2811</v>
      </c>
      <c r="B679" t="s">
        <v>2812</v>
      </c>
      <c r="C679" t="s">
        <v>2810</v>
      </c>
    </row>
    <row r="680" spans="1:3" x14ac:dyDescent="0.25">
      <c r="A680" t="s">
        <v>2814</v>
      </c>
      <c r="B680" t="s">
        <v>2815</v>
      </c>
      <c r="C680" t="s">
        <v>2813</v>
      </c>
    </row>
    <row r="681" spans="1:3" x14ac:dyDescent="0.25">
      <c r="A681" t="s">
        <v>2817</v>
      </c>
      <c r="B681" t="s">
        <v>2818</v>
      </c>
      <c r="C681" t="s">
        <v>2816</v>
      </c>
    </row>
    <row r="682" spans="1:3" x14ac:dyDescent="0.25">
      <c r="A682" t="s">
        <v>2820</v>
      </c>
      <c r="B682" t="s">
        <v>2821</v>
      </c>
      <c r="C682" t="s">
        <v>2819</v>
      </c>
    </row>
    <row r="683" spans="1:3" x14ac:dyDescent="0.25">
      <c r="A683" t="s">
        <v>2823</v>
      </c>
      <c r="B683" t="s">
        <v>2824</v>
      </c>
      <c r="C683" t="s">
        <v>2822</v>
      </c>
    </row>
    <row r="684" spans="1:3" x14ac:dyDescent="0.25">
      <c r="A684" t="s">
        <v>2826</v>
      </c>
      <c r="B684" t="s">
        <v>2827</v>
      </c>
      <c r="C684" t="s">
        <v>2825</v>
      </c>
    </row>
    <row r="685" spans="1:3" x14ac:dyDescent="0.25">
      <c r="A685" t="s">
        <v>2829</v>
      </c>
      <c r="B685" t="s">
        <v>2830</v>
      </c>
      <c r="C685" t="s">
        <v>2828</v>
      </c>
    </row>
    <row r="686" spans="1:3" x14ac:dyDescent="0.25">
      <c r="A686" t="s">
        <v>2832</v>
      </c>
      <c r="B686" t="s">
        <v>2833</v>
      </c>
      <c r="C686" t="s">
        <v>2831</v>
      </c>
    </row>
    <row r="687" spans="1:3" x14ac:dyDescent="0.25">
      <c r="A687" t="s">
        <v>2835</v>
      </c>
      <c r="B687" t="s">
        <v>2836</v>
      </c>
      <c r="C687" t="s">
        <v>2834</v>
      </c>
    </row>
    <row r="688" spans="1:3" x14ac:dyDescent="0.25">
      <c r="A688" t="s">
        <v>2838</v>
      </c>
      <c r="B688" t="s">
        <v>2839</v>
      </c>
      <c r="C688" t="s">
        <v>2837</v>
      </c>
    </row>
    <row r="689" spans="1:3" x14ac:dyDescent="0.25">
      <c r="A689" t="s">
        <v>2841</v>
      </c>
      <c r="B689" t="s">
        <v>2842</v>
      </c>
      <c r="C689" t="s">
        <v>2840</v>
      </c>
    </row>
    <row r="690" spans="1:3" x14ac:dyDescent="0.25">
      <c r="A690" t="s">
        <v>2844</v>
      </c>
      <c r="B690" t="s">
        <v>2845</v>
      </c>
      <c r="C690" t="s">
        <v>2843</v>
      </c>
    </row>
    <row r="691" spans="1:3" x14ac:dyDescent="0.25">
      <c r="A691" t="s">
        <v>2847</v>
      </c>
      <c r="B691" t="s">
        <v>2848</v>
      </c>
      <c r="C691" t="s">
        <v>2846</v>
      </c>
    </row>
    <row r="692" spans="1:3" x14ac:dyDescent="0.25">
      <c r="A692" t="s">
        <v>2850</v>
      </c>
      <c r="B692" t="s">
        <v>2851</v>
      </c>
      <c r="C692" t="s">
        <v>2849</v>
      </c>
    </row>
    <row r="693" spans="1:3" x14ac:dyDescent="0.25">
      <c r="A693" t="s">
        <v>2853</v>
      </c>
      <c r="B693" t="s">
        <v>2854</v>
      </c>
      <c r="C693" t="s">
        <v>2852</v>
      </c>
    </row>
    <row r="694" spans="1:3" x14ac:dyDescent="0.25">
      <c r="A694" t="s">
        <v>2856</v>
      </c>
      <c r="B694" t="s">
        <v>2857</v>
      </c>
      <c r="C694" t="s">
        <v>2855</v>
      </c>
    </row>
    <row r="695" spans="1:3" x14ac:dyDescent="0.25">
      <c r="A695" t="s">
        <v>2859</v>
      </c>
      <c r="B695" t="s">
        <v>2860</v>
      </c>
      <c r="C695" t="s">
        <v>2858</v>
      </c>
    </row>
    <row r="696" spans="1:3" x14ac:dyDescent="0.25">
      <c r="A696" t="s">
        <v>2862</v>
      </c>
      <c r="B696" t="s">
        <v>2863</v>
      </c>
      <c r="C696" t="s">
        <v>2861</v>
      </c>
    </row>
    <row r="697" spans="1:3" x14ac:dyDescent="0.25">
      <c r="A697" t="s">
        <v>2865</v>
      </c>
      <c r="B697" t="s">
        <v>2866</v>
      </c>
      <c r="C697" t="s">
        <v>2864</v>
      </c>
    </row>
    <row r="698" spans="1:3" x14ac:dyDescent="0.25">
      <c r="A698" t="s">
        <v>2868</v>
      </c>
      <c r="B698" t="s">
        <v>2869</v>
      </c>
      <c r="C698" t="s">
        <v>2867</v>
      </c>
    </row>
    <row r="699" spans="1:3" x14ac:dyDescent="0.25">
      <c r="A699" t="s">
        <v>2871</v>
      </c>
      <c r="B699" t="s">
        <v>2872</v>
      </c>
      <c r="C699" t="s">
        <v>2870</v>
      </c>
    </row>
    <row r="700" spans="1:3" x14ac:dyDescent="0.25">
      <c r="A700" t="s">
        <v>2874</v>
      </c>
      <c r="B700" t="s">
        <v>2875</v>
      </c>
      <c r="C700" t="s">
        <v>2873</v>
      </c>
    </row>
    <row r="701" spans="1:3" x14ac:dyDescent="0.25">
      <c r="A701" t="s">
        <v>2877</v>
      </c>
      <c r="B701" t="s">
        <v>2878</v>
      </c>
      <c r="C701" t="s">
        <v>2876</v>
      </c>
    </row>
    <row r="702" spans="1:3" x14ac:dyDescent="0.25">
      <c r="A702" t="s">
        <v>2880</v>
      </c>
      <c r="B702" t="s">
        <v>2881</v>
      </c>
      <c r="C702" t="s">
        <v>2879</v>
      </c>
    </row>
    <row r="703" spans="1:3" x14ac:dyDescent="0.25">
      <c r="A703" t="s">
        <v>2883</v>
      </c>
      <c r="B703" t="s">
        <v>2884</v>
      </c>
      <c r="C703" t="s">
        <v>2882</v>
      </c>
    </row>
    <row r="704" spans="1:3" x14ac:dyDescent="0.25">
      <c r="A704" t="s">
        <v>2886</v>
      </c>
      <c r="B704" t="s">
        <v>2887</v>
      </c>
      <c r="C704" t="s">
        <v>2885</v>
      </c>
    </row>
    <row r="705" spans="1:3" x14ac:dyDescent="0.25">
      <c r="A705" t="s">
        <v>2889</v>
      </c>
      <c r="B705" t="s">
        <v>2890</v>
      </c>
      <c r="C705" t="s">
        <v>2888</v>
      </c>
    </row>
    <row r="706" spans="1:3" x14ac:dyDescent="0.25">
      <c r="A706" t="s">
        <v>2892</v>
      </c>
      <c r="B706" t="s">
        <v>2893</v>
      </c>
      <c r="C706" t="s">
        <v>2891</v>
      </c>
    </row>
    <row r="707" spans="1:3" x14ac:dyDescent="0.25">
      <c r="A707" t="s">
        <v>2895</v>
      </c>
      <c r="B707" t="s">
        <v>2896</v>
      </c>
      <c r="C707" t="s">
        <v>2894</v>
      </c>
    </row>
    <row r="708" spans="1:3" x14ac:dyDescent="0.25">
      <c r="A708" t="s">
        <v>2898</v>
      </c>
      <c r="B708" t="s">
        <v>2899</v>
      </c>
      <c r="C708" t="s">
        <v>2897</v>
      </c>
    </row>
    <row r="709" spans="1:3" x14ac:dyDescent="0.25">
      <c r="A709" t="s">
        <v>2901</v>
      </c>
      <c r="B709" t="s">
        <v>2902</v>
      </c>
      <c r="C709" t="s">
        <v>2900</v>
      </c>
    </row>
    <row r="710" spans="1:3" x14ac:dyDescent="0.25">
      <c r="A710" t="s">
        <v>2904</v>
      </c>
      <c r="B710" t="s">
        <v>2905</v>
      </c>
      <c r="C710" t="s">
        <v>2903</v>
      </c>
    </row>
    <row r="711" spans="1:3" x14ac:dyDescent="0.25">
      <c r="A711" t="s">
        <v>2907</v>
      </c>
      <c r="B711" t="s">
        <v>2908</v>
      </c>
      <c r="C711" t="s">
        <v>2906</v>
      </c>
    </row>
    <row r="712" spans="1:3" x14ac:dyDescent="0.25">
      <c r="A712" t="s">
        <v>2910</v>
      </c>
      <c r="B712" t="s">
        <v>2911</v>
      </c>
      <c r="C712" t="s">
        <v>2909</v>
      </c>
    </row>
    <row r="713" spans="1:3" x14ac:dyDescent="0.25">
      <c r="A713" t="s">
        <v>2913</v>
      </c>
      <c r="B713" t="s">
        <v>2914</v>
      </c>
      <c r="C713" t="s">
        <v>2912</v>
      </c>
    </row>
    <row r="714" spans="1:3" x14ac:dyDescent="0.25">
      <c r="A714" t="s">
        <v>2916</v>
      </c>
      <c r="B714" t="s">
        <v>2917</v>
      </c>
      <c r="C714" t="s">
        <v>2915</v>
      </c>
    </row>
    <row r="715" spans="1:3" x14ac:dyDescent="0.25">
      <c r="A715" t="s">
        <v>517</v>
      </c>
      <c r="B715" t="s">
        <v>2919</v>
      </c>
      <c r="C715" t="s">
        <v>2918</v>
      </c>
    </row>
    <row r="716" spans="1:3" x14ac:dyDescent="0.25">
      <c r="A716" t="s">
        <v>2921</v>
      </c>
      <c r="B716" t="s">
        <v>2922</v>
      </c>
      <c r="C716" t="s">
        <v>2920</v>
      </c>
    </row>
    <row r="717" spans="1:3" x14ac:dyDescent="0.25">
      <c r="A717" t="s">
        <v>2924</v>
      </c>
      <c r="B717" t="s">
        <v>2925</v>
      </c>
      <c r="C717" t="s">
        <v>2923</v>
      </c>
    </row>
    <row r="718" spans="1:3" x14ac:dyDescent="0.25">
      <c r="A718" t="s">
        <v>2927</v>
      </c>
      <c r="B718" t="s">
        <v>2928</v>
      </c>
      <c r="C718" t="s">
        <v>2926</v>
      </c>
    </row>
    <row r="719" spans="1:3" x14ac:dyDescent="0.25">
      <c r="A719" t="s">
        <v>2930</v>
      </c>
      <c r="B719" t="s">
        <v>2931</v>
      </c>
      <c r="C719" t="s">
        <v>2929</v>
      </c>
    </row>
    <row r="720" spans="1:3" x14ac:dyDescent="0.25">
      <c r="A720" t="s">
        <v>2933</v>
      </c>
      <c r="B720" t="s">
        <v>2931</v>
      </c>
      <c r="C720" t="s">
        <v>2932</v>
      </c>
    </row>
    <row r="721" spans="1:3" x14ac:dyDescent="0.25">
      <c r="A721" t="s">
        <v>2935</v>
      </c>
      <c r="B721" t="s">
        <v>2936</v>
      </c>
      <c r="C721" t="s">
        <v>2934</v>
      </c>
    </row>
    <row r="722" spans="1:3" x14ac:dyDescent="0.25">
      <c r="A722" t="s">
        <v>2938</v>
      </c>
      <c r="B722" t="s">
        <v>2939</v>
      </c>
      <c r="C722" t="s">
        <v>2937</v>
      </c>
    </row>
    <row r="723" spans="1:3" x14ac:dyDescent="0.25">
      <c r="A723" t="s">
        <v>2941</v>
      </c>
      <c r="B723" t="s">
        <v>2942</v>
      </c>
      <c r="C723" t="s">
        <v>2940</v>
      </c>
    </row>
    <row r="724" spans="1:3" x14ac:dyDescent="0.25">
      <c r="A724" t="s">
        <v>2944</v>
      </c>
      <c r="B724" t="s">
        <v>2945</v>
      </c>
      <c r="C724" t="s">
        <v>2943</v>
      </c>
    </row>
    <row r="725" spans="1:3" x14ac:dyDescent="0.25">
      <c r="A725" t="s">
        <v>2947</v>
      </c>
      <c r="B725" t="s">
        <v>2948</v>
      </c>
      <c r="C725" t="s">
        <v>2946</v>
      </c>
    </row>
    <row r="726" spans="1:3" x14ac:dyDescent="0.25">
      <c r="A726" t="s">
        <v>2950</v>
      </c>
      <c r="B726" t="s">
        <v>2951</v>
      </c>
      <c r="C726" t="s">
        <v>2949</v>
      </c>
    </row>
    <row r="727" spans="1:3" x14ac:dyDescent="0.25">
      <c r="A727" t="s">
        <v>2953</v>
      </c>
      <c r="B727" t="s">
        <v>2954</v>
      </c>
      <c r="C727" t="s">
        <v>2952</v>
      </c>
    </row>
    <row r="728" spans="1:3" x14ac:dyDescent="0.25">
      <c r="A728" t="s">
        <v>2956</v>
      </c>
      <c r="B728" t="s">
        <v>2957</v>
      </c>
      <c r="C728" t="s">
        <v>2955</v>
      </c>
    </row>
    <row r="729" spans="1:3" x14ac:dyDescent="0.25">
      <c r="A729" t="s">
        <v>2959</v>
      </c>
      <c r="B729" t="s">
        <v>2960</v>
      </c>
      <c r="C729" t="s">
        <v>2958</v>
      </c>
    </row>
    <row r="730" spans="1:3" x14ac:dyDescent="0.25">
      <c r="A730" t="s">
        <v>2962</v>
      </c>
      <c r="B730" t="s">
        <v>2931</v>
      </c>
      <c r="C730" t="s">
        <v>2961</v>
      </c>
    </row>
    <row r="731" spans="1:3" x14ac:dyDescent="0.25">
      <c r="A731" t="s">
        <v>2964</v>
      </c>
      <c r="B731" t="s">
        <v>2965</v>
      </c>
      <c r="C731" t="s">
        <v>2963</v>
      </c>
    </row>
    <row r="732" spans="1:3" x14ac:dyDescent="0.25">
      <c r="A732" t="s">
        <v>2967</v>
      </c>
      <c r="B732" t="s">
        <v>2968</v>
      </c>
      <c r="C732" t="s">
        <v>2966</v>
      </c>
    </row>
    <row r="733" spans="1:3" x14ac:dyDescent="0.25">
      <c r="A733" t="s">
        <v>2970</v>
      </c>
      <c r="B733" t="s">
        <v>2971</v>
      </c>
      <c r="C733" t="s">
        <v>2969</v>
      </c>
    </row>
    <row r="734" spans="1:3" x14ac:dyDescent="0.25">
      <c r="A734" t="s">
        <v>2973</v>
      </c>
      <c r="B734" t="s">
        <v>2974</v>
      </c>
      <c r="C734" t="s">
        <v>2972</v>
      </c>
    </row>
    <row r="735" spans="1:3" x14ac:dyDescent="0.25">
      <c r="A735" t="s">
        <v>2976</v>
      </c>
      <c r="B735" t="s">
        <v>2977</v>
      </c>
      <c r="C735" t="s">
        <v>2975</v>
      </c>
    </row>
    <row r="736" spans="1:3" x14ac:dyDescent="0.25">
      <c r="A736" t="s">
        <v>2979</v>
      </c>
      <c r="B736" t="s">
        <v>2980</v>
      </c>
      <c r="C736" t="s">
        <v>2978</v>
      </c>
    </row>
    <row r="737" spans="1:3" x14ac:dyDescent="0.25">
      <c r="A737" t="s">
        <v>2982</v>
      </c>
      <c r="B737" t="s">
        <v>2983</v>
      </c>
      <c r="C737" t="s">
        <v>2981</v>
      </c>
    </row>
    <row r="738" spans="1:3" x14ac:dyDescent="0.25">
      <c r="A738" t="s">
        <v>2985</v>
      </c>
      <c r="B738" t="s">
        <v>2986</v>
      </c>
      <c r="C738" t="s">
        <v>2984</v>
      </c>
    </row>
    <row r="739" spans="1:3" x14ac:dyDescent="0.25">
      <c r="A739" t="s">
        <v>2988</v>
      </c>
      <c r="B739" t="s">
        <v>2989</v>
      </c>
      <c r="C739" t="s">
        <v>2987</v>
      </c>
    </row>
    <row r="740" spans="1:3" x14ac:dyDescent="0.25">
      <c r="A740" t="s">
        <v>2991</v>
      </c>
      <c r="B740" t="s">
        <v>2992</v>
      </c>
      <c r="C740" t="s">
        <v>2990</v>
      </c>
    </row>
    <row r="741" spans="1:3" x14ac:dyDescent="0.25">
      <c r="A741" t="s">
        <v>2994</v>
      </c>
      <c r="B741" t="s">
        <v>2995</v>
      </c>
      <c r="C741" t="s">
        <v>2993</v>
      </c>
    </row>
    <row r="742" spans="1:3" x14ac:dyDescent="0.25">
      <c r="A742" t="s">
        <v>2997</v>
      </c>
      <c r="B742" t="s">
        <v>2998</v>
      </c>
      <c r="C742" t="s">
        <v>2996</v>
      </c>
    </row>
    <row r="743" spans="1:3" x14ac:dyDescent="0.25">
      <c r="A743" t="s">
        <v>3000</v>
      </c>
      <c r="B743" t="s">
        <v>3001</v>
      </c>
      <c r="C743" t="s">
        <v>2999</v>
      </c>
    </row>
    <row r="744" spans="1:3" x14ac:dyDescent="0.25">
      <c r="A744" t="s">
        <v>3003</v>
      </c>
      <c r="B744" t="s">
        <v>3004</v>
      </c>
      <c r="C744" t="s">
        <v>3002</v>
      </c>
    </row>
    <row r="745" spans="1:3" x14ac:dyDescent="0.25">
      <c r="A745" t="s">
        <v>3006</v>
      </c>
      <c r="B745" t="s">
        <v>3007</v>
      </c>
      <c r="C745" t="s">
        <v>3005</v>
      </c>
    </row>
    <row r="746" spans="1:3" x14ac:dyDescent="0.25">
      <c r="A746" t="s">
        <v>3009</v>
      </c>
      <c r="B746" t="s">
        <v>3010</v>
      </c>
      <c r="C746" t="s">
        <v>3008</v>
      </c>
    </row>
    <row r="747" spans="1:3" x14ac:dyDescent="0.25">
      <c r="A747" t="s">
        <v>3012</v>
      </c>
      <c r="B747" t="s">
        <v>3013</v>
      </c>
      <c r="C747" t="s">
        <v>3011</v>
      </c>
    </row>
    <row r="748" spans="1:3" x14ac:dyDescent="0.25">
      <c r="A748" t="s">
        <v>3015</v>
      </c>
      <c r="B748" t="s">
        <v>3016</v>
      </c>
      <c r="C748" t="s">
        <v>3014</v>
      </c>
    </row>
    <row r="749" spans="1:3" x14ac:dyDescent="0.25">
      <c r="A749" t="s">
        <v>220</v>
      </c>
      <c r="B749" t="s">
        <v>508</v>
      </c>
      <c r="C749" t="s">
        <v>3017</v>
      </c>
    </row>
    <row r="750" spans="1:3" x14ac:dyDescent="0.25">
      <c r="A750" t="s">
        <v>3019</v>
      </c>
      <c r="B750" t="s">
        <v>3020</v>
      </c>
      <c r="C750" t="s">
        <v>3018</v>
      </c>
    </row>
    <row r="751" spans="1:3" x14ac:dyDescent="0.25">
      <c r="A751" t="s">
        <v>3022</v>
      </c>
      <c r="B751" t="s">
        <v>3023</v>
      </c>
      <c r="C751" t="s">
        <v>3021</v>
      </c>
    </row>
    <row r="752" spans="1:3" x14ac:dyDescent="0.25">
      <c r="A752" t="s">
        <v>218</v>
      </c>
      <c r="B752" t="s">
        <v>3025</v>
      </c>
      <c r="C752" t="s">
        <v>3024</v>
      </c>
    </row>
    <row r="753" spans="1:3" x14ac:dyDescent="0.25">
      <c r="A753" t="s">
        <v>221</v>
      </c>
      <c r="B753" t="s">
        <v>509</v>
      </c>
      <c r="C753" t="s">
        <v>3026</v>
      </c>
    </row>
    <row r="754" spans="1:3" x14ac:dyDescent="0.25">
      <c r="A754" t="s">
        <v>3028</v>
      </c>
      <c r="B754" t="s">
        <v>3029</v>
      </c>
      <c r="C754" t="s">
        <v>3027</v>
      </c>
    </row>
    <row r="755" spans="1:3" x14ac:dyDescent="0.25">
      <c r="A755" t="s">
        <v>3031</v>
      </c>
      <c r="B755" t="s">
        <v>3032</v>
      </c>
      <c r="C755" t="s">
        <v>3030</v>
      </c>
    </row>
    <row r="756" spans="1:3" x14ac:dyDescent="0.25">
      <c r="A756" t="s">
        <v>219</v>
      </c>
      <c r="B756" t="s">
        <v>3034</v>
      </c>
      <c r="C756" t="s">
        <v>3033</v>
      </c>
    </row>
    <row r="757" spans="1:3" x14ac:dyDescent="0.25">
      <c r="A757" t="s">
        <v>3036</v>
      </c>
      <c r="B757" t="s">
        <v>3037</v>
      </c>
      <c r="C757" t="s">
        <v>3035</v>
      </c>
    </row>
    <row r="758" spans="1:3" x14ac:dyDescent="0.25">
      <c r="A758" t="s">
        <v>3039</v>
      </c>
      <c r="B758" t="s">
        <v>3040</v>
      </c>
      <c r="C758" t="s">
        <v>3038</v>
      </c>
    </row>
    <row r="759" spans="1:3" x14ac:dyDescent="0.25">
      <c r="A759" t="s">
        <v>3041</v>
      </c>
      <c r="B759" t="s">
        <v>3042</v>
      </c>
      <c r="C759" t="s">
        <v>263</v>
      </c>
    </row>
    <row r="760" spans="1:3" x14ac:dyDescent="0.25">
      <c r="A760" t="s">
        <v>3044</v>
      </c>
      <c r="B760" t="s">
        <v>3045</v>
      </c>
      <c r="C760" t="s">
        <v>3043</v>
      </c>
    </row>
    <row r="761" spans="1:3" x14ac:dyDescent="0.25">
      <c r="A761" t="s">
        <v>3047</v>
      </c>
      <c r="B761" t="s">
        <v>3048</v>
      </c>
      <c r="C761" t="s">
        <v>3046</v>
      </c>
    </row>
    <row r="762" spans="1:3" x14ac:dyDescent="0.25">
      <c r="A762" t="s">
        <v>3050</v>
      </c>
      <c r="B762" t="s">
        <v>3051</v>
      </c>
      <c r="C762" t="s">
        <v>3049</v>
      </c>
    </row>
    <row r="763" spans="1:3" x14ac:dyDescent="0.25">
      <c r="A763" t="s">
        <v>3053</v>
      </c>
      <c r="B763" t="s">
        <v>3054</v>
      </c>
      <c r="C763" t="s">
        <v>3052</v>
      </c>
    </row>
    <row r="764" spans="1:3" x14ac:dyDescent="0.25">
      <c r="A764" t="s">
        <v>3056</v>
      </c>
      <c r="B764" t="s">
        <v>3057</v>
      </c>
      <c r="C764" t="s">
        <v>3055</v>
      </c>
    </row>
    <row r="765" spans="1:3" x14ac:dyDescent="0.25">
      <c r="A765" t="s">
        <v>3059</v>
      </c>
      <c r="B765" t="s">
        <v>3060</v>
      </c>
      <c r="C765" t="s">
        <v>3058</v>
      </c>
    </row>
    <row r="766" spans="1:3" x14ac:dyDescent="0.25">
      <c r="A766" t="s">
        <v>3062</v>
      </c>
      <c r="B766" t="s">
        <v>3063</v>
      </c>
      <c r="C766" t="s">
        <v>3061</v>
      </c>
    </row>
    <row r="767" spans="1:3" x14ac:dyDescent="0.25">
      <c r="A767" t="s">
        <v>3065</v>
      </c>
      <c r="B767" t="s">
        <v>3066</v>
      </c>
      <c r="C767" t="s">
        <v>3064</v>
      </c>
    </row>
    <row r="768" spans="1:3" x14ac:dyDescent="0.25">
      <c r="A768" t="s">
        <v>3068</v>
      </c>
      <c r="B768" t="s">
        <v>3066</v>
      </c>
      <c r="C768" t="s">
        <v>3067</v>
      </c>
    </row>
    <row r="769" spans="1:3" x14ac:dyDescent="0.25">
      <c r="A769" t="s">
        <v>3070</v>
      </c>
      <c r="B769" t="s">
        <v>3071</v>
      </c>
      <c r="C769" t="s">
        <v>3069</v>
      </c>
    </row>
    <row r="770" spans="1:3" x14ac:dyDescent="0.25">
      <c r="A770" t="s">
        <v>3073</v>
      </c>
      <c r="B770" t="s">
        <v>3074</v>
      </c>
      <c r="C770" t="s">
        <v>3072</v>
      </c>
    </row>
    <row r="771" spans="1:3" x14ac:dyDescent="0.25">
      <c r="A771" t="s">
        <v>3076</v>
      </c>
      <c r="B771" t="s">
        <v>3077</v>
      </c>
      <c r="C771" t="s">
        <v>3075</v>
      </c>
    </row>
    <row r="772" spans="1:3" x14ac:dyDescent="0.25">
      <c r="A772" t="s">
        <v>3079</v>
      </c>
      <c r="B772" t="s">
        <v>3080</v>
      </c>
      <c r="C772" t="s">
        <v>3078</v>
      </c>
    </row>
    <row r="773" spans="1:3" x14ac:dyDescent="0.25">
      <c r="A773" t="s">
        <v>3082</v>
      </c>
      <c r="B773" t="s">
        <v>3083</v>
      </c>
      <c r="C773" t="s">
        <v>3081</v>
      </c>
    </row>
    <row r="774" spans="1:3" x14ac:dyDescent="0.25">
      <c r="A774" t="s">
        <v>3085</v>
      </c>
      <c r="B774" t="s">
        <v>3086</v>
      </c>
      <c r="C774" t="s">
        <v>3084</v>
      </c>
    </row>
    <row r="775" spans="1:3" x14ac:dyDescent="0.25">
      <c r="A775" t="s">
        <v>3088</v>
      </c>
      <c r="B775" t="s">
        <v>3089</v>
      </c>
      <c r="C775" t="s">
        <v>3087</v>
      </c>
    </row>
    <row r="776" spans="1:3" x14ac:dyDescent="0.25">
      <c r="A776" t="s">
        <v>3091</v>
      </c>
      <c r="B776" t="s">
        <v>3092</v>
      </c>
      <c r="C776" t="s">
        <v>3090</v>
      </c>
    </row>
    <row r="777" spans="1:3" x14ac:dyDescent="0.25">
      <c r="A777" t="s">
        <v>222</v>
      </c>
      <c r="B777" t="s">
        <v>3094</v>
      </c>
      <c r="C777" t="s">
        <v>3093</v>
      </c>
    </row>
    <row r="778" spans="1:3" x14ac:dyDescent="0.25">
      <c r="A778" t="s">
        <v>3096</v>
      </c>
      <c r="B778" t="s">
        <v>3097</v>
      </c>
      <c r="C778" t="s">
        <v>3095</v>
      </c>
    </row>
    <row r="779" spans="1:3" x14ac:dyDescent="0.25">
      <c r="A779" t="s">
        <v>3099</v>
      </c>
      <c r="B779" t="s">
        <v>3100</v>
      </c>
      <c r="C779" t="s">
        <v>3098</v>
      </c>
    </row>
    <row r="780" spans="1:3" x14ac:dyDescent="0.25">
      <c r="A780" t="s">
        <v>3102</v>
      </c>
      <c r="B780" t="s">
        <v>3103</v>
      </c>
      <c r="C780" t="s">
        <v>3101</v>
      </c>
    </row>
    <row r="781" spans="1:3" x14ac:dyDescent="0.25">
      <c r="A781" t="s">
        <v>3105</v>
      </c>
      <c r="B781" t="s">
        <v>3103</v>
      </c>
      <c r="C781" t="s">
        <v>3104</v>
      </c>
    </row>
    <row r="782" spans="1:3" x14ac:dyDescent="0.25">
      <c r="A782" t="s">
        <v>3107</v>
      </c>
      <c r="B782" t="s">
        <v>3108</v>
      </c>
      <c r="C782" t="s">
        <v>3106</v>
      </c>
    </row>
    <row r="783" spans="1:3" x14ac:dyDescent="0.25">
      <c r="A783" t="s">
        <v>3110</v>
      </c>
      <c r="B783" t="s">
        <v>3108</v>
      </c>
      <c r="C783" t="s">
        <v>3109</v>
      </c>
    </row>
    <row r="784" spans="1:3" x14ac:dyDescent="0.25">
      <c r="A784" t="s">
        <v>3112</v>
      </c>
      <c r="B784" t="s">
        <v>3113</v>
      </c>
      <c r="C784" t="s">
        <v>3111</v>
      </c>
    </row>
    <row r="785" spans="1:3" x14ac:dyDescent="0.25">
      <c r="A785" t="s">
        <v>3115</v>
      </c>
      <c r="B785" t="s">
        <v>3113</v>
      </c>
      <c r="C785" t="s">
        <v>3114</v>
      </c>
    </row>
    <row r="786" spans="1:3" x14ac:dyDescent="0.25">
      <c r="A786" t="s">
        <v>3117</v>
      </c>
      <c r="B786" t="s">
        <v>3118</v>
      </c>
      <c r="C786" t="s">
        <v>3116</v>
      </c>
    </row>
    <row r="787" spans="1:3" x14ac:dyDescent="0.25">
      <c r="A787" t="s">
        <v>3120</v>
      </c>
      <c r="B787" t="s">
        <v>3118</v>
      </c>
      <c r="C787" t="s">
        <v>3119</v>
      </c>
    </row>
    <row r="788" spans="1:3" x14ac:dyDescent="0.25">
      <c r="A788" t="s">
        <v>3122</v>
      </c>
      <c r="B788" t="s">
        <v>3123</v>
      </c>
      <c r="C788" t="s">
        <v>3121</v>
      </c>
    </row>
    <row r="789" spans="1:3" x14ac:dyDescent="0.25">
      <c r="A789" t="s">
        <v>3125</v>
      </c>
      <c r="B789" t="s">
        <v>3126</v>
      </c>
      <c r="C789" t="s">
        <v>3124</v>
      </c>
    </row>
    <row r="790" spans="1:3" x14ac:dyDescent="0.25">
      <c r="A790" t="s">
        <v>3128</v>
      </c>
      <c r="B790" t="s">
        <v>3129</v>
      </c>
      <c r="C790" t="s">
        <v>3127</v>
      </c>
    </row>
    <row r="791" spans="1:3" x14ac:dyDescent="0.25">
      <c r="A791" t="s">
        <v>3131</v>
      </c>
      <c r="B791" t="s">
        <v>3132</v>
      </c>
      <c r="C791" t="s">
        <v>3130</v>
      </c>
    </row>
    <row r="792" spans="1:3" x14ac:dyDescent="0.25">
      <c r="A792" t="s">
        <v>3134</v>
      </c>
      <c r="B792" t="s">
        <v>3135</v>
      </c>
      <c r="C792" t="s">
        <v>3133</v>
      </c>
    </row>
    <row r="793" spans="1:3" x14ac:dyDescent="0.25">
      <c r="A793" t="s">
        <v>3137</v>
      </c>
      <c r="B793" t="s">
        <v>3138</v>
      </c>
      <c r="C793" t="s">
        <v>3136</v>
      </c>
    </row>
    <row r="794" spans="1:3" x14ac:dyDescent="0.25">
      <c r="A794" t="s">
        <v>3140</v>
      </c>
      <c r="B794" t="s">
        <v>3141</v>
      </c>
      <c r="C794" t="s">
        <v>3139</v>
      </c>
    </row>
    <row r="795" spans="1:3" x14ac:dyDescent="0.25">
      <c r="A795" t="s">
        <v>3143</v>
      </c>
      <c r="B795" t="s">
        <v>3144</v>
      </c>
      <c r="C795" t="s">
        <v>3142</v>
      </c>
    </row>
    <row r="796" spans="1:3" x14ac:dyDescent="0.25">
      <c r="A796" t="s">
        <v>2</v>
      </c>
      <c r="B796" t="s">
        <v>3</v>
      </c>
      <c r="C796" t="s">
        <v>3145</v>
      </c>
    </row>
    <row r="797" spans="1:3" x14ac:dyDescent="0.25">
      <c r="A797" t="s">
        <v>687</v>
      </c>
      <c r="B797" t="s">
        <v>688</v>
      </c>
      <c r="C797" t="s">
        <v>3146</v>
      </c>
    </row>
    <row r="798" spans="1:3" x14ac:dyDescent="0.25">
      <c r="A798" t="s">
        <v>3148</v>
      </c>
      <c r="B798" t="s">
        <v>3149</v>
      </c>
      <c r="C798" t="s">
        <v>3147</v>
      </c>
    </row>
    <row r="799" spans="1:3" x14ac:dyDescent="0.25">
      <c r="A799" t="s">
        <v>12</v>
      </c>
      <c r="B799" t="s">
        <v>13</v>
      </c>
      <c r="C799" t="s">
        <v>3150</v>
      </c>
    </row>
    <row r="800" spans="1:3" x14ac:dyDescent="0.25">
      <c r="A800" t="s">
        <v>26</v>
      </c>
      <c r="B800" t="s">
        <v>3152</v>
      </c>
      <c r="C800" t="s">
        <v>3151</v>
      </c>
    </row>
    <row r="801" spans="1:3" x14ac:dyDescent="0.25">
      <c r="A801" t="s">
        <v>22</v>
      </c>
      <c r="B801" t="s">
        <v>3154</v>
      </c>
      <c r="C801" t="s">
        <v>3153</v>
      </c>
    </row>
    <row r="802" spans="1:3" x14ac:dyDescent="0.25">
      <c r="A802" t="s">
        <v>697</v>
      </c>
      <c r="B802" t="s">
        <v>3156</v>
      </c>
      <c r="C802" t="s">
        <v>3155</v>
      </c>
    </row>
    <row r="803" spans="1:3" x14ac:dyDescent="0.25">
      <c r="A803" t="s">
        <v>3158</v>
      </c>
      <c r="B803" t="s">
        <v>3159</v>
      </c>
      <c r="C803" t="s">
        <v>3157</v>
      </c>
    </row>
    <row r="804" spans="1:3" x14ac:dyDescent="0.25">
      <c r="A804" t="s">
        <v>3161</v>
      </c>
      <c r="B804" t="s">
        <v>3159</v>
      </c>
      <c r="C804" t="s">
        <v>3160</v>
      </c>
    </row>
    <row r="805" spans="1:3" x14ac:dyDescent="0.25">
      <c r="A805" t="s">
        <v>3163</v>
      </c>
      <c r="B805" t="s">
        <v>3159</v>
      </c>
      <c r="C805" t="s">
        <v>3162</v>
      </c>
    </row>
    <row r="806" spans="1:3" x14ac:dyDescent="0.25">
      <c r="A806" t="s">
        <v>3165</v>
      </c>
      <c r="B806" t="s">
        <v>3159</v>
      </c>
      <c r="C806" t="s">
        <v>3164</v>
      </c>
    </row>
    <row r="807" spans="1:3" x14ac:dyDescent="0.25">
      <c r="A807" t="s">
        <v>342</v>
      </c>
      <c r="B807" t="s">
        <v>343</v>
      </c>
      <c r="C807" t="s">
        <v>363</v>
      </c>
    </row>
    <row r="808" spans="1:3" x14ac:dyDescent="0.25">
      <c r="A808" t="s">
        <v>3167</v>
      </c>
      <c r="B808" t="s">
        <v>3168</v>
      </c>
      <c r="C808" t="s">
        <v>3166</v>
      </c>
    </row>
    <row r="809" spans="1:3" x14ac:dyDescent="0.25">
      <c r="A809" t="s">
        <v>3170</v>
      </c>
      <c r="B809" t="s">
        <v>89</v>
      </c>
      <c r="C809" t="s">
        <v>3169</v>
      </c>
    </row>
    <row r="810" spans="1:3" x14ac:dyDescent="0.25">
      <c r="A810" t="s">
        <v>3172</v>
      </c>
      <c r="B810" t="s">
        <v>89</v>
      </c>
      <c r="C810" t="s">
        <v>3171</v>
      </c>
    </row>
    <row r="811" spans="1:3" x14ac:dyDescent="0.25">
      <c r="A811" t="s">
        <v>88</v>
      </c>
      <c r="B811" t="s">
        <v>562</v>
      </c>
      <c r="C811" t="s">
        <v>3173</v>
      </c>
    </row>
    <row r="812" spans="1:3" x14ac:dyDescent="0.25">
      <c r="A812" t="s">
        <v>3175</v>
      </c>
      <c r="B812" t="s">
        <v>3176</v>
      </c>
      <c r="C812" t="s">
        <v>3174</v>
      </c>
    </row>
    <row r="813" spans="1:3" x14ac:dyDescent="0.25">
      <c r="A813" t="s">
        <v>3178</v>
      </c>
      <c r="B813" t="s">
        <v>3179</v>
      </c>
      <c r="C813" t="s">
        <v>3177</v>
      </c>
    </row>
    <row r="814" spans="1:3" x14ac:dyDescent="0.25">
      <c r="A814" t="s">
        <v>4</v>
      </c>
      <c r="B814" t="s">
        <v>5</v>
      </c>
      <c r="C814" t="s">
        <v>3180</v>
      </c>
    </row>
    <row r="815" spans="1:3" x14ac:dyDescent="0.25">
      <c r="A815" t="s">
        <v>689</v>
      </c>
      <c r="B815" t="s">
        <v>690</v>
      </c>
      <c r="C815" t="s">
        <v>3181</v>
      </c>
    </row>
    <row r="816" spans="1:3" x14ac:dyDescent="0.25">
      <c r="A816" t="s">
        <v>14</v>
      </c>
      <c r="B816" t="s">
        <v>15</v>
      </c>
      <c r="C816" t="s">
        <v>3182</v>
      </c>
    </row>
    <row r="817" spans="1:3" x14ac:dyDescent="0.25">
      <c r="A817" t="s">
        <v>27</v>
      </c>
      <c r="B817" t="s">
        <v>3184</v>
      </c>
      <c r="C817" t="s">
        <v>3183</v>
      </c>
    </row>
    <row r="818" spans="1:3" x14ac:dyDescent="0.25">
      <c r="A818" t="s">
        <v>23</v>
      </c>
      <c r="B818" t="s">
        <v>3186</v>
      </c>
      <c r="C818" t="s">
        <v>3185</v>
      </c>
    </row>
    <row r="819" spans="1:3" x14ac:dyDescent="0.25">
      <c r="A819" t="s">
        <v>699</v>
      </c>
      <c r="B819" t="s">
        <v>700</v>
      </c>
      <c r="C819" t="s">
        <v>3187</v>
      </c>
    </row>
    <row r="820" spans="1:3" x14ac:dyDescent="0.25">
      <c r="A820" t="s">
        <v>3189</v>
      </c>
      <c r="B820" t="s">
        <v>3190</v>
      </c>
      <c r="C820" t="s">
        <v>3188</v>
      </c>
    </row>
    <row r="821" spans="1:3" x14ac:dyDescent="0.25">
      <c r="A821" t="s">
        <v>3192</v>
      </c>
      <c r="B821" t="s">
        <v>3190</v>
      </c>
      <c r="C821" t="s">
        <v>3191</v>
      </c>
    </row>
    <row r="822" spans="1:3" x14ac:dyDescent="0.25">
      <c r="A822" t="s">
        <v>3194</v>
      </c>
      <c r="B822" t="s">
        <v>3190</v>
      </c>
      <c r="C822" t="s">
        <v>3193</v>
      </c>
    </row>
    <row r="823" spans="1:3" x14ac:dyDescent="0.25">
      <c r="A823" t="s">
        <v>3196</v>
      </c>
      <c r="B823" t="s">
        <v>3190</v>
      </c>
      <c r="C823" t="s">
        <v>3195</v>
      </c>
    </row>
    <row r="824" spans="1:3" x14ac:dyDescent="0.25">
      <c r="A824" t="s">
        <v>344</v>
      </c>
      <c r="B824" t="s">
        <v>345</v>
      </c>
      <c r="C824" t="s">
        <v>364</v>
      </c>
    </row>
    <row r="825" spans="1:3" x14ac:dyDescent="0.25">
      <c r="A825" t="s">
        <v>3198</v>
      </c>
      <c r="B825" t="s">
        <v>3199</v>
      </c>
      <c r="C825" t="s">
        <v>3197</v>
      </c>
    </row>
    <row r="826" spans="1:3" x14ac:dyDescent="0.25">
      <c r="A826" t="s">
        <v>787</v>
      </c>
      <c r="B826" t="s">
        <v>788</v>
      </c>
      <c r="C826" t="s">
        <v>3200</v>
      </c>
    </row>
    <row r="827" spans="1:3" x14ac:dyDescent="0.25">
      <c r="A827" t="s">
        <v>3202</v>
      </c>
      <c r="B827" t="s">
        <v>91</v>
      </c>
      <c r="C827" t="s">
        <v>3201</v>
      </c>
    </row>
    <row r="828" spans="1:3" x14ac:dyDescent="0.25">
      <c r="A828" t="s">
        <v>3204</v>
      </c>
      <c r="B828" t="s">
        <v>91</v>
      </c>
      <c r="C828" t="s">
        <v>3203</v>
      </c>
    </row>
    <row r="829" spans="1:3" x14ac:dyDescent="0.25">
      <c r="A829" t="s">
        <v>90</v>
      </c>
      <c r="B829" t="s">
        <v>564</v>
      </c>
      <c r="C829" t="s">
        <v>3205</v>
      </c>
    </row>
    <row r="830" spans="1:3" x14ac:dyDescent="0.25">
      <c r="A830" t="s">
        <v>705</v>
      </c>
      <c r="B830" t="s">
        <v>706</v>
      </c>
      <c r="C830" t="s">
        <v>3206</v>
      </c>
    </row>
    <row r="831" spans="1:3" x14ac:dyDescent="0.25">
      <c r="A831" t="s">
        <v>711</v>
      </c>
      <c r="B831" t="s">
        <v>712</v>
      </c>
      <c r="C831" t="s">
        <v>3207</v>
      </c>
    </row>
    <row r="832" spans="1:3" x14ac:dyDescent="0.25">
      <c r="A832" t="s">
        <v>3209</v>
      </c>
      <c r="B832" t="s">
        <v>3210</v>
      </c>
      <c r="C832" t="s">
        <v>3208</v>
      </c>
    </row>
    <row r="833" spans="1:3" x14ac:dyDescent="0.25">
      <c r="A833" t="s">
        <v>6</v>
      </c>
      <c r="B833" t="s">
        <v>7</v>
      </c>
      <c r="C833" t="s">
        <v>3211</v>
      </c>
    </row>
    <row r="834" spans="1:3" x14ac:dyDescent="0.25">
      <c r="A834" t="s">
        <v>691</v>
      </c>
      <c r="B834" t="s">
        <v>692</v>
      </c>
      <c r="C834" t="s">
        <v>3212</v>
      </c>
    </row>
    <row r="835" spans="1:3" x14ac:dyDescent="0.25">
      <c r="A835" t="s">
        <v>16</v>
      </c>
      <c r="B835" t="s">
        <v>17</v>
      </c>
      <c r="C835" t="s">
        <v>3213</v>
      </c>
    </row>
    <row r="836" spans="1:3" x14ac:dyDescent="0.25">
      <c r="A836" t="s">
        <v>28</v>
      </c>
      <c r="B836" t="s">
        <v>3215</v>
      </c>
      <c r="C836" t="s">
        <v>3214</v>
      </c>
    </row>
    <row r="837" spans="1:3" x14ac:dyDescent="0.25">
      <c r="A837" t="s">
        <v>24</v>
      </c>
      <c r="B837" t="s">
        <v>3217</v>
      </c>
      <c r="C837" t="s">
        <v>3216</v>
      </c>
    </row>
    <row r="838" spans="1:3" x14ac:dyDescent="0.25">
      <c r="A838" t="s">
        <v>701</v>
      </c>
      <c r="B838" t="s">
        <v>702</v>
      </c>
      <c r="C838" t="s">
        <v>3218</v>
      </c>
    </row>
    <row r="839" spans="1:3" x14ac:dyDescent="0.25">
      <c r="A839" t="s">
        <v>3220</v>
      </c>
      <c r="B839" t="s">
        <v>3221</v>
      </c>
      <c r="C839" t="s">
        <v>3219</v>
      </c>
    </row>
    <row r="840" spans="1:3" x14ac:dyDescent="0.25">
      <c r="A840" t="s">
        <v>3223</v>
      </c>
      <c r="B840" t="s">
        <v>3221</v>
      </c>
      <c r="C840" t="s">
        <v>3222</v>
      </c>
    </row>
    <row r="841" spans="1:3" x14ac:dyDescent="0.25">
      <c r="A841" t="s">
        <v>3225</v>
      </c>
      <c r="B841" t="s">
        <v>3221</v>
      </c>
      <c r="C841" t="s">
        <v>3224</v>
      </c>
    </row>
    <row r="842" spans="1:3" x14ac:dyDescent="0.25">
      <c r="A842" t="s">
        <v>3227</v>
      </c>
      <c r="B842" t="s">
        <v>3221</v>
      </c>
      <c r="C842" t="s">
        <v>3226</v>
      </c>
    </row>
    <row r="843" spans="1:3" x14ac:dyDescent="0.25">
      <c r="A843" t="s">
        <v>3229</v>
      </c>
      <c r="B843" t="s">
        <v>3221</v>
      </c>
      <c r="C843" t="s">
        <v>3228</v>
      </c>
    </row>
    <row r="844" spans="1:3" x14ac:dyDescent="0.25">
      <c r="A844" t="s">
        <v>346</v>
      </c>
      <c r="B844" t="s">
        <v>347</v>
      </c>
      <c r="C844" t="s">
        <v>365</v>
      </c>
    </row>
    <row r="845" spans="1:3" x14ac:dyDescent="0.25">
      <c r="A845" t="s">
        <v>3231</v>
      </c>
      <c r="B845" t="s">
        <v>3232</v>
      </c>
      <c r="C845" t="s">
        <v>3230</v>
      </c>
    </row>
    <row r="846" spans="1:3" x14ac:dyDescent="0.25">
      <c r="A846" t="s">
        <v>789</v>
      </c>
      <c r="B846" t="s">
        <v>790</v>
      </c>
      <c r="C846" t="s">
        <v>3233</v>
      </c>
    </row>
    <row r="847" spans="1:3" x14ac:dyDescent="0.25">
      <c r="A847" t="s">
        <v>3235</v>
      </c>
      <c r="B847" t="s">
        <v>93</v>
      </c>
      <c r="C847" t="s">
        <v>3234</v>
      </c>
    </row>
    <row r="848" spans="1:3" x14ac:dyDescent="0.25">
      <c r="A848" t="s">
        <v>3237</v>
      </c>
      <c r="B848" t="s">
        <v>93</v>
      </c>
      <c r="C848" t="s">
        <v>3236</v>
      </c>
    </row>
    <row r="849" spans="1:3" x14ac:dyDescent="0.25">
      <c r="A849" t="s">
        <v>92</v>
      </c>
      <c r="B849" t="s">
        <v>565</v>
      </c>
      <c r="C849" t="s">
        <v>3238</v>
      </c>
    </row>
    <row r="850" spans="1:3" x14ac:dyDescent="0.25">
      <c r="A850" t="s">
        <v>707</v>
      </c>
      <c r="B850" t="s">
        <v>708</v>
      </c>
      <c r="C850" t="s">
        <v>3239</v>
      </c>
    </row>
    <row r="851" spans="1:3" x14ac:dyDescent="0.25">
      <c r="A851" t="s">
        <v>713</v>
      </c>
      <c r="B851" t="s">
        <v>714</v>
      </c>
      <c r="C851" t="s">
        <v>3240</v>
      </c>
    </row>
    <row r="852" spans="1:3" x14ac:dyDescent="0.25">
      <c r="A852" t="s">
        <v>3242</v>
      </c>
      <c r="B852" t="s">
        <v>3243</v>
      </c>
      <c r="C852" t="s">
        <v>3241</v>
      </c>
    </row>
    <row r="853" spans="1:3" x14ac:dyDescent="0.25">
      <c r="A853" t="s">
        <v>3245</v>
      </c>
      <c r="B853" t="s">
        <v>3246</v>
      </c>
      <c r="C853" t="s">
        <v>3244</v>
      </c>
    </row>
    <row r="854" spans="1:3" x14ac:dyDescent="0.25">
      <c r="A854" t="s">
        <v>8</v>
      </c>
      <c r="B854" t="s">
        <v>9</v>
      </c>
      <c r="C854" t="s">
        <v>3247</v>
      </c>
    </row>
    <row r="855" spans="1:3" x14ac:dyDescent="0.25">
      <c r="A855" t="s">
        <v>693</v>
      </c>
      <c r="B855" t="s">
        <v>694</v>
      </c>
      <c r="C855" t="s">
        <v>3248</v>
      </c>
    </row>
    <row r="856" spans="1:3" x14ac:dyDescent="0.25">
      <c r="A856" t="s">
        <v>3250</v>
      </c>
      <c r="B856" t="s">
        <v>3251</v>
      </c>
      <c r="C856" t="s">
        <v>3249</v>
      </c>
    </row>
    <row r="857" spans="1:3" x14ac:dyDescent="0.25">
      <c r="A857" t="s">
        <v>10</v>
      </c>
      <c r="B857" t="s">
        <v>11</v>
      </c>
      <c r="C857" t="s">
        <v>3252</v>
      </c>
    </row>
    <row r="858" spans="1:3" x14ac:dyDescent="0.25">
      <c r="A858" t="s">
        <v>695</v>
      </c>
      <c r="B858" t="s">
        <v>696</v>
      </c>
      <c r="C858" t="s">
        <v>3253</v>
      </c>
    </row>
    <row r="859" spans="1:3" x14ac:dyDescent="0.25">
      <c r="A859" t="s">
        <v>18</v>
      </c>
      <c r="B859" t="s">
        <v>19</v>
      </c>
      <c r="C859" t="s">
        <v>3254</v>
      </c>
    </row>
    <row r="860" spans="1:3" x14ac:dyDescent="0.25">
      <c r="A860" t="s">
        <v>20</v>
      </c>
      <c r="B860" t="s">
        <v>21</v>
      </c>
      <c r="C860" t="s">
        <v>3255</v>
      </c>
    </row>
    <row r="861" spans="1:3" x14ac:dyDescent="0.25">
      <c r="A861" t="s">
        <v>29</v>
      </c>
      <c r="B861" t="s">
        <v>3257</v>
      </c>
      <c r="C861" t="s">
        <v>3256</v>
      </c>
    </row>
    <row r="862" spans="1:3" x14ac:dyDescent="0.25">
      <c r="A862" t="s">
        <v>3259</v>
      </c>
      <c r="B862" t="s">
        <v>3260</v>
      </c>
      <c r="C862" t="s">
        <v>3258</v>
      </c>
    </row>
    <row r="863" spans="1:3" x14ac:dyDescent="0.25">
      <c r="A863" t="s">
        <v>3262</v>
      </c>
      <c r="B863" t="s">
        <v>3260</v>
      </c>
      <c r="C863" t="s">
        <v>3261</v>
      </c>
    </row>
    <row r="864" spans="1:3" x14ac:dyDescent="0.25">
      <c r="A864" t="s">
        <v>3264</v>
      </c>
      <c r="B864" t="s">
        <v>3265</v>
      </c>
      <c r="C864" t="s">
        <v>3263</v>
      </c>
    </row>
    <row r="865" spans="1:3" x14ac:dyDescent="0.25">
      <c r="A865" t="s">
        <v>3267</v>
      </c>
      <c r="B865" t="s">
        <v>3260</v>
      </c>
      <c r="C865" t="s">
        <v>3266</v>
      </c>
    </row>
    <row r="866" spans="1:3" x14ac:dyDescent="0.25">
      <c r="A866" t="s">
        <v>348</v>
      </c>
      <c r="B866" t="s">
        <v>349</v>
      </c>
      <c r="C866" t="s">
        <v>366</v>
      </c>
    </row>
    <row r="867" spans="1:3" x14ac:dyDescent="0.25">
      <c r="A867" t="s">
        <v>3269</v>
      </c>
      <c r="B867" t="s">
        <v>3270</v>
      </c>
      <c r="C867" t="s">
        <v>3268</v>
      </c>
    </row>
    <row r="868" spans="1:3" x14ac:dyDescent="0.25">
      <c r="A868" t="s">
        <v>3272</v>
      </c>
      <c r="B868" t="s">
        <v>3270</v>
      </c>
      <c r="C868" t="s">
        <v>3271</v>
      </c>
    </row>
    <row r="869" spans="1:3" x14ac:dyDescent="0.25">
      <c r="A869" t="s">
        <v>3274</v>
      </c>
      <c r="B869" t="s">
        <v>3275</v>
      </c>
      <c r="C869" t="s">
        <v>3273</v>
      </c>
    </row>
    <row r="870" spans="1:3" x14ac:dyDescent="0.25">
      <c r="A870" t="s">
        <v>3277</v>
      </c>
      <c r="B870" t="s">
        <v>3270</v>
      </c>
      <c r="C870" t="s">
        <v>3276</v>
      </c>
    </row>
    <row r="871" spans="1:3" x14ac:dyDescent="0.25">
      <c r="A871" t="s">
        <v>350</v>
      </c>
      <c r="B871" t="s">
        <v>351</v>
      </c>
      <c r="C871" t="s">
        <v>367</v>
      </c>
    </row>
    <row r="872" spans="1:3" x14ac:dyDescent="0.25">
      <c r="A872" t="s">
        <v>25</v>
      </c>
      <c r="B872" t="s">
        <v>3279</v>
      </c>
      <c r="C872" t="s">
        <v>3278</v>
      </c>
    </row>
    <row r="873" spans="1:3" x14ac:dyDescent="0.25">
      <c r="A873" t="s">
        <v>703</v>
      </c>
      <c r="B873" t="s">
        <v>704</v>
      </c>
      <c r="C873" t="s">
        <v>3280</v>
      </c>
    </row>
    <row r="874" spans="1:3" x14ac:dyDescent="0.25">
      <c r="A874" t="s">
        <v>3282</v>
      </c>
      <c r="B874" t="s">
        <v>3283</v>
      </c>
      <c r="C874" t="s">
        <v>3281</v>
      </c>
    </row>
    <row r="875" spans="1:3" x14ac:dyDescent="0.25">
      <c r="A875" t="s">
        <v>791</v>
      </c>
      <c r="B875" t="s">
        <v>792</v>
      </c>
      <c r="C875" t="s">
        <v>3284</v>
      </c>
    </row>
    <row r="876" spans="1:3" x14ac:dyDescent="0.25">
      <c r="A876" t="s">
        <v>3286</v>
      </c>
      <c r="B876" t="s">
        <v>95</v>
      </c>
      <c r="C876" t="s">
        <v>3285</v>
      </c>
    </row>
    <row r="877" spans="1:3" x14ac:dyDescent="0.25">
      <c r="A877" t="s">
        <v>3288</v>
      </c>
      <c r="B877" t="s">
        <v>95</v>
      </c>
      <c r="C877" t="s">
        <v>3287</v>
      </c>
    </row>
    <row r="878" spans="1:3" x14ac:dyDescent="0.25">
      <c r="A878" t="s">
        <v>94</v>
      </c>
      <c r="B878" t="s">
        <v>566</v>
      </c>
      <c r="C878" t="s">
        <v>3289</v>
      </c>
    </row>
    <row r="879" spans="1:3" x14ac:dyDescent="0.25">
      <c r="A879" t="s">
        <v>709</v>
      </c>
      <c r="B879" t="s">
        <v>710</v>
      </c>
      <c r="C879" t="s">
        <v>3290</v>
      </c>
    </row>
    <row r="880" spans="1:3" x14ac:dyDescent="0.25">
      <c r="A880" t="s">
        <v>715</v>
      </c>
      <c r="B880" t="s">
        <v>716</v>
      </c>
      <c r="C880" t="s">
        <v>3291</v>
      </c>
    </row>
    <row r="881" spans="1:3" x14ac:dyDescent="0.25">
      <c r="A881" t="s">
        <v>3293</v>
      </c>
      <c r="B881" t="s">
        <v>3294</v>
      </c>
      <c r="C881" t="s">
        <v>3292</v>
      </c>
    </row>
    <row r="882" spans="1:3" x14ac:dyDescent="0.25">
      <c r="A882" t="s">
        <v>3296</v>
      </c>
      <c r="B882" t="s">
        <v>3297</v>
      </c>
      <c r="C882" t="s">
        <v>3295</v>
      </c>
    </row>
    <row r="883" spans="1:3" x14ac:dyDescent="0.25">
      <c r="A883" t="s">
        <v>3299</v>
      </c>
      <c r="B883" t="s">
        <v>3300</v>
      </c>
      <c r="C883" t="s">
        <v>3298</v>
      </c>
    </row>
    <row r="884" spans="1:3" x14ac:dyDescent="0.25">
      <c r="A884" t="s">
        <v>272</v>
      </c>
      <c r="B884" t="s">
        <v>394</v>
      </c>
      <c r="C884" t="s">
        <v>306</v>
      </c>
    </row>
    <row r="885" spans="1:3" x14ac:dyDescent="0.25">
      <c r="A885" t="s">
        <v>275</v>
      </c>
      <c r="B885" t="s">
        <v>397</v>
      </c>
      <c r="C885" t="s">
        <v>307</v>
      </c>
    </row>
    <row r="886" spans="1:3" x14ac:dyDescent="0.25">
      <c r="A886" t="s">
        <v>289</v>
      </c>
      <c r="B886" t="s">
        <v>391</v>
      </c>
      <c r="C886" t="s">
        <v>308</v>
      </c>
    </row>
    <row r="887" spans="1:3" x14ac:dyDescent="0.25">
      <c r="A887" t="s">
        <v>273</v>
      </c>
      <c r="B887" t="s">
        <v>395</v>
      </c>
      <c r="C887" t="s">
        <v>309</v>
      </c>
    </row>
    <row r="888" spans="1:3" x14ac:dyDescent="0.25">
      <c r="A888" t="s">
        <v>276</v>
      </c>
      <c r="B888" t="s">
        <v>398</v>
      </c>
      <c r="C888" t="s">
        <v>310</v>
      </c>
    </row>
    <row r="889" spans="1:3" x14ac:dyDescent="0.25">
      <c r="A889" t="s">
        <v>290</v>
      </c>
      <c r="B889" t="s">
        <v>392</v>
      </c>
      <c r="C889" t="s">
        <v>311</v>
      </c>
    </row>
    <row r="890" spans="1:3" x14ac:dyDescent="0.25">
      <c r="A890" t="s">
        <v>274</v>
      </c>
      <c r="B890" t="s">
        <v>396</v>
      </c>
      <c r="C890" t="s">
        <v>312</v>
      </c>
    </row>
    <row r="891" spans="1:3" x14ac:dyDescent="0.25">
      <c r="A891" t="s">
        <v>277</v>
      </c>
      <c r="B891" t="s">
        <v>399</v>
      </c>
      <c r="C891" t="s">
        <v>313</v>
      </c>
    </row>
    <row r="892" spans="1:3" x14ac:dyDescent="0.25">
      <c r="A892" t="s">
        <v>291</v>
      </c>
      <c r="B892" t="s">
        <v>393</v>
      </c>
      <c r="C892" t="s">
        <v>314</v>
      </c>
    </row>
    <row r="893" spans="1:3" x14ac:dyDescent="0.25">
      <c r="A893" t="s">
        <v>3302</v>
      </c>
      <c r="B893" t="s">
        <v>3303</v>
      </c>
      <c r="C893" t="s">
        <v>3301</v>
      </c>
    </row>
    <row r="894" spans="1:3" x14ac:dyDescent="0.25">
      <c r="A894" t="s">
        <v>40</v>
      </c>
      <c r="B894" t="s">
        <v>41</v>
      </c>
      <c r="C894" t="s">
        <v>3304</v>
      </c>
    </row>
    <row r="895" spans="1:3" x14ac:dyDescent="0.25">
      <c r="A895" t="s">
        <v>727</v>
      </c>
      <c r="B895" t="s">
        <v>728</v>
      </c>
      <c r="C895" t="s">
        <v>3305</v>
      </c>
    </row>
    <row r="896" spans="1:3" x14ac:dyDescent="0.25">
      <c r="A896" t="s">
        <v>3307</v>
      </c>
      <c r="B896" t="s">
        <v>3308</v>
      </c>
      <c r="C896" t="s">
        <v>3306</v>
      </c>
    </row>
    <row r="897" spans="1:3" x14ac:dyDescent="0.25">
      <c r="A897" t="s">
        <v>30</v>
      </c>
      <c r="B897" t="s">
        <v>31</v>
      </c>
      <c r="C897" t="s">
        <v>3309</v>
      </c>
    </row>
    <row r="898" spans="1:3" x14ac:dyDescent="0.25">
      <c r="A898" t="s">
        <v>717</v>
      </c>
      <c r="B898" t="s">
        <v>718</v>
      </c>
      <c r="C898" t="s">
        <v>3310</v>
      </c>
    </row>
    <row r="899" spans="1:3" x14ac:dyDescent="0.25">
      <c r="A899" t="s">
        <v>58</v>
      </c>
      <c r="B899" t="s">
        <v>59</v>
      </c>
      <c r="C899" t="s">
        <v>3311</v>
      </c>
    </row>
    <row r="900" spans="1:3" x14ac:dyDescent="0.25">
      <c r="A900" t="s">
        <v>745</v>
      </c>
      <c r="B900" t="s">
        <v>746</v>
      </c>
      <c r="C900" t="s">
        <v>3312</v>
      </c>
    </row>
    <row r="901" spans="1:3" x14ac:dyDescent="0.25">
      <c r="A901" t="s">
        <v>50</v>
      </c>
      <c r="B901" t="s">
        <v>51</v>
      </c>
      <c r="C901" t="s">
        <v>3313</v>
      </c>
    </row>
    <row r="902" spans="1:3" x14ac:dyDescent="0.25">
      <c r="A902" t="s">
        <v>737</v>
      </c>
      <c r="B902" t="s">
        <v>738</v>
      </c>
      <c r="C902" t="s">
        <v>3314</v>
      </c>
    </row>
    <row r="903" spans="1:3" x14ac:dyDescent="0.25">
      <c r="A903" t="s">
        <v>3316</v>
      </c>
      <c r="B903" t="s">
        <v>3317</v>
      </c>
      <c r="C903" t="s">
        <v>3315</v>
      </c>
    </row>
    <row r="904" spans="1:3" x14ac:dyDescent="0.25">
      <c r="A904" t="s">
        <v>3319</v>
      </c>
      <c r="B904" t="s">
        <v>3317</v>
      </c>
      <c r="C904" t="s">
        <v>3318</v>
      </c>
    </row>
    <row r="905" spans="1:3" x14ac:dyDescent="0.25">
      <c r="A905" t="s">
        <v>3321</v>
      </c>
      <c r="B905" t="s">
        <v>3317</v>
      </c>
      <c r="C905" t="s">
        <v>3320</v>
      </c>
    </row>
    <row r="906" spans="1:3" x14ac:dyDescent="0.25">
      <c r="A906" t="s">
        <v>3323</v>
      </c>
      <c r="B906" t="s">
        <v>3317</v>
      </c>
      <c r="C906" t="s">
        <v>3322</v>
      </c>
    </row>
    <row r="907" spans="1:3" x14ac:dyDescent="0.25">
      <c r="A907" t="s">
        <v>3325</v>
      </c>
      <c r="B907" t="s">
        <v>3326</v>
      </c>
      <c r="C907" t="s">
        <v>3324</v>
      </c>
    </row>
    <row r="908" spans="1:3" x14ac:dyDescent="0.25">
      <c r="A908" t="s">
        <v>352</v>
      </c>
      <c r="B908" t="s">
        <v>353</v>
      </c>
      <c r="C908" t="s">
        <v>368</v>
      </c>
    </row>
    <row r="909" spans="1:3" x14ac:dyDescent="0.25">
      <c r="A909" t="s">
        <v>3328</v>
      </c>
      <c r="B909" t="s">
        <v>3329</v>
      </c>
      <c r="C909" t="s">
        <v>3327</v>
      </c>
    </row>
    <row r="910" spans="1:3" x14ac:dyDescent="0.25">
      <c r="A910" t="s">
        <v>3331</v>
      </c>
      <c r="B910" t="s">
        <v>680</v>
      </c>
      <c r="C910" t="s">
        <v>3330</v>
      </c>
    </row>
    <row r="911" spans="1:3" x14ac:dyDescent="0.25">
      <c r="A911" t="s">
        <v>3333</v>
      </c>
      <c r="B911" t="s">
        <v>680</v>
      </c>
      <c r="C911" t="s">
        <v>3332</v>
      </c>
    </row>
    <row r="912" spans="1:3" x14ac:dyDescent="0.25">
      <c r="A912" t="s">
        <v>3335</v>
      </c>
      <c r="B912" t="s">
        <v>680</v>
      </c>
      <c r="C912" t="s">
        <v>3334</v>
      </c>
    </row>
    <row r="913" spans="1:3" x14ac:dyDescent="0.25">
      <c r="A913" t="s">
        <v>278</v>
      </c>
      <c r="B913" t="s">
        <v>279</v>
      </c>
      <c r="C913" t="s">
        <v>315</v>
      </c>
    </row>
    <row r="914" spans="1:3" x14ac:dyDescent="0.25">
      <c r="A914" t="s">
        <v>793</v>
      </c>
      <c r="B914" t="s">
        <v>279</v>
      </c>
      <c r="C914" t="s">
        <v>3336</v>
      </c>
    </row>
    <row r="915" spans="1:3" x14ac:dyDescent="0.25">
      <c r="A915" t="s">
        <v>3338</v>
      </c>
      <c r="B915" t="s">
        <v>3339</v>
      </c>
      <c r="C915" t="s">
        <v>3337</v>
      </c>
    </row>
    <row r="916" spans="1:3" x14ac:dyDescent="0.25">
      <c r="A916" t="s">
        <v>42</v>
      </c>
      <c r="B916" t="s">
        <v>43</v>
      </c>
      <c r="C916" t="s">
        <v>3340</v>
      </c>
    </row>
    <row r="917" spans="1:3" x14ac:dyDescent="0.25">
      <c r="A917" t="s">
        <v>729</v>
      </c>
      <c r="B917" t="s">
        <v>730</v>
      </c>
      <c r="C917" t="s">
        <v>3341</v>
      </c>
    </row>
    <row r="918" spans="1:3" x14ac:dyDescent="0.25">
      <c r="A918" t="s">
        <v>3343</v>
      </c>
      <c r="B918" t="s">
        <v>3344</v>
      </c>
      <c r="C918" t="s">
        <v>3342</v>
      </c>
    </row>
    <row r="919" spans="1:3" x14ac:dyDescent="0.25">
      <c r="A919" t="s">
        <v>32</v>
      </c>
      <c r="B919" t="s">
        <v>33</v>
      </c>
      <c r="C919" t="s">
        <v>3345</v>
      </c>
    </row>
    <row r="920" spans="1:3" x14ac:dyDescent="0.25">
      <c r="A920" t="s">
        <v>719</v>
      </c>
      <c r="B920" t="s">
        <v>720</v>
      </c>
      <c r="C920" t="s">
        <v>3346</v>
      </c>
    </row>
    <row r="921" spans="1:3" x14ac:dyDescent="0.25">
      <c r="A921" t="s">
        <v>60</v>
      </c>
      <c r="B921" t="s">
        <v>61</v>
      </c>
      <c r="C921" t="s">
        <v>3347</v>
      </c>
    </row>
    <row r="922" spans="1:3" x14ac:dyDescent="0.25">
      <c r="A922" t="s">
        <v>747</v>
      </c>
      <c r="B922" t="s">
        <v>748</v>
      </c>
      <c r="C922" t="s">
        <v>3348</v>
      </c>
    </row>
    <row r="923" spans="1:3" x14ac:dyDescent="0.25">
      <c r="A923" t="s">
        <v>52</v>
      </c>
      <c r="B923" t="s">
        <v>53</v>
      </c>
      <c r="C923" t="s">
        <v>3349</v>
      </c>
    </row>
    <row r="924" spans="1:3" x14ac:dyDescent="0.25">
      <c r="A924" t="s">
        <v>739</v>
      </c>
      <c r="B924" t="s">
        <v>740</v>
      </c>
      <c r="C924" t="s">
        <v>3350</v>
      </c>
    </row>
    <row r="925" spans="1:3" x14ac:dyDescent="0.25">
      <c r="A925" t="s">
        <v>3352</v>
      </c>
      <c r="B925" t="s">
        <v>3353</v>
      </c>
      <c r="C925" t="s">
        <v>3351</v>
      </c>
    </row>
    <row r="926" spans="1:3" x14ac:dyDescent="0.25">
      <c r="A926" t="s">
        <v>3355</v>
      </c>
      <c r="B926" t="s">
        <v>3353</v>
      </c>
      <c r="C926" t="s">
        <v>3354</v>
      </c>
    </row>
    <row r="927" spans="1:3" x14ac:dyDescent="0.25">
      <c r="A927" t="s">
        <v>3357</v>
      </c>
      <c r="B927" t="s">
        <v>3353</v>
      </c>
      <c r="C927" t="s">
        <v>3356</v>
      </c>
    </row>
    <row r="928" spans="1:3" x14ac:dyDescent="0.25">
      <c r="A928" t="s">
        <v>3359</v>
      </c>
      <c r="B928" t="s">
        <v>3353</v>
      </c>
      <c r="C928" t="s">
        <v>3358</v>
      </c>
    </row>
    <row r="929" spans="1:3" x14ac:dyDescent="0.25">
      <c r="A929" t="s">
        <v>3361</v>
      </c>
      <c r="B929" t="s">
        <v>3353</v>
      </c>
      <c r="C929" t="s">
        <v>3360</v>
      </c>
    </row>
    <row r="930" spans="1:3" x14ac:dyDescent="0.25">
      <c r="A930" t="s">
        <v>3363</v>
      </c>
      <c r="B930" t="s">
        <v>3364</v>
      </c>
      <c r="C930" t="s">
        <v>3362</v>
      </c>
    </row>
    <row r="931" spans="1:3" x14ac:dyDescent="0.25">
      <c r="A931" t="s">
        <v>569</v>
      </c>
      <c r="B931" t="s">
        <v>570</v>
      </c>
      <c r="C931" t="s">
        <v>3365</v>
      </c>
    </row>
    <row r="932" spans="1:3" x14ac:dyDescent="0.25">
      <c r="A932" t="s">
        <v>3367</v>
      </c>
      <c r="B932" t="s">
        <v>570</v>
      </c>
      <c r="C932" t="s">
        <v>3366</v>
      </c>
    </row>
    <row r="933" spans="1:3" x14ac:dyDescent="0.25">
      <c r="A933" t="s">
        <v>354</v>
      </c>
      <c r="B933" t="s">
        <v>355</v>
      </c>
      <c r="C933" t="s">
        <v>369</v>
      </c>
    </row>
    <row r="934" spans="1:3" x14ac:dyDescent="0.25">
      <c r="A934" t="s">
        <v>3369</v>
      </c>
      <c r="B934" t="s">
        <v>3370</v>
      </c>
      <c r="C934" t="s">
        <v>3368</v>
      </c>
    </row>
    <row r="935" spans="1:3" x14ac:dyDescent="0.25">
      <c r="A935" t="s">
        <v>3372</v>
      </c>
      <c r="B935" t="s">
        <v>3373</v>
      </c>
      <c r="C935" t="s">
        <v>3371</v>
      </c>
    </row>
    <row r="936" spans="1:3" x14ac:dyDescent="0.25">
      <c r="A936" t="s">
        <v>3375</v>
      </c>
      <c r="B936" t="s">
        <v>682</v>
      </c>
      <c r="C936" t="s">
        <v>3374</v>
      </c>
    </row>
    <row r="937" spans="1:3" x14ac:dyDescent="0.25">
      <c r="A937" t="s">
        <v>3377</v>
      </c>
      <c r="B937" t="s">
        <v>682</v>
      </c>
      <c r="C937" t="s">
        <v>3376</v>
      </c>
    </row>
    <row r="938" spans="1:3" x14ac:dyDescent="0.25">
      <c r="A938" t="s">
        <v>3379</v>
      </c>
      <c r="B938" t="s">
        <v>682</v>
      </c>
      <c r="C938" t="s">
        <v>3378</v>
      </c>
    </row>
    <row r="939" spans="1:3" x14ac:dyDescent="0.25">
      <c r="A939" t="s">
        <v>286</v>
      </c>
      <c r="B939" t="s">
        <v>3380</v>
      </c>
      <c r="C939" t="s">
        <v>316</v>
      </c>
    </row>
    <row r="940" spans="1:3" x14ac:dyDescent="0.25">
      <c r="A940" t="s">
        <v>797</v>
      </c>
      <c r="B940" t="s">
        <v>798</v>
      </c>
      <c r="C940" t="s">
        <v>3381</v>
      </c>
    </row>
    <row r="941" spans="1:3" x14ac:dyDescent="0.25">
      <c r="A941" t="s">
        <v>280</v>
      </c>
      <c r="B941" t="s">
        <v>281</v>
      </c>
      <c r="C941" t="s">
        <v>317</v>
      </c>
    </row>
    <row r="942" spans="1:3" x14ac:dyDescent="0.25">
      <c r="A942" t="s">
        <v>794</v>
      </c>
      <c r="B942" t="s">
        <v>281</v>
      </c>
      <c r="C942" t="s">
        <v>3382</v>
      </c>
    </row>
    <row r="943" spans="1:3" x14ac:dyDescent="0.25">
      <c r="A943" t="s">
        <v>3384</v>
      </c>
      <c r="B943" t="s">
        <v>3385</v>
      </c>
      <c r="C943" t="s">
        <v>3383</v>
      </c>
    </row>
    <row r="944" spans="1:3" x14ac:dyDescent="0.25">
      <c r="A944" t="s">
        <v>3387</v>
      </c>
      <c r="B944" t="s">
        <v>3388</v>
      </c>
      <c r="C944" t="s">
        <v>3386</v>
      </c>
    </row>
    <row r="945" spans="1:3" x14ac:dyDescent="0.25">
      <c r="A945" t="s">
        <v>3390</v>
      </c>
      <c r="B945" t="s">
        <v>3391</v>
      </c>
      <c r="C945" t="s">
        <v>3389</v>
      </c>
    </row>
    <row r="946" spans="1:3" x14ac:dyDescent="0.25">
      <c r="A946" t="s">
        <v>3393</v>
      </c>
      <c r="B946" t="s">
        <v>3394</v>
      </c>
      <c r="C946" t="s">
        <v>3392</v>
      </c>
    </row>
    <row r="947" spans="1:3" x14ac:dyDescent="0.25">
      <c r="A947" t="s">
        <v>3396</v>
      </c>
      <c r="B947" t="s">
        <v>3397</v>
      </c>
      <c r="C947" t="s">
        <v>3395</v>
      </c>
    </row>
    <row r="948" spans="1:3" x14ac:dyDescent="0.25">
      <c r="A948" t="s">
        <v>3399</v>
      </c>
      <c r="B948" t="s">
        <v>3400</v>
      </c>
      <c r="C948" t="s">
        <v>3398</v>
      </c>
    </row>
    <row r="949" spans="1:3" x14ac:dyDescent="0.25">
      <c r="A949" t="s">
        <v>3401</v>
      </c>
      <c r="B949" t="s">
        <v>3402</v>
      </c>
      <c r="C949" t="s">
        <v>3371</v>
      </c>
    </row>
    <row r="950" spans="1:3" x14ac:dyDescent="0.25">
      <c r="A950" t="s">
        <v>869</v>
      </c>
      <c r="B950" t="s">
        <v>870</v>
      </c>
      <c r="C950" t="s">
        <v>3403</v>
      </c>
    </row>
    <row r="951" spans="1:3" x14ac:dyDescent="0.25">
      <c r="A951" t="s">
        <v>872</v>
      </c>
      <c r="B951" t="s">
        <v>873</v>
      </c>
      <c r="C951" t="s">
        <v>3403</v>
      </c>
    </row>
    <row r="952" spans="1:3" x14ac:dyDescent="0.25">
      <c r="A952" t="s">
        <v>3405</v>
      </c>
      <c r="B952" t="s">
        <v>3406</v>
      </c>
      <c r="C952" t="s">
        <v>3404</v>
      </c>
    </row>
    <row r="953" spans="1:3" x14ac:dyDescent="0.25">
      <c r="A953" t="s">
        <v>437</v>
      </c>
      <c r="B953" t="s">
        <v>3407</v>
      </c>
      <c r="C953" t="s">
        <v>436</v>
      </c>
    </row>
    <row r="954" spans="1:3" x14ac:dyDescent="0.25">
      <c r="A954" t="s">
        <v>756</v>
      </c>
      <c r="B954" t="s">
        <v>448</v>
      </c>
      <c r="C954" t="s">
        <v>3408</v>
      </c>
    </row>
    <row r="955" spans="1:3" x14ac:dyDescent="0.25">
      <c r="A955" t="s">
        <v>439</v>
      </c>
      <c r="B955" t="s">
        <v>3409</v>
      </c>
      <c r="C955" t="s">
        <v>438</v>
      </c>
    </row>
    <row r="956" spans="1:3" x14ac:dyDescent="0.25">
      <c r="A956" t="s">
        <v>753</v>
      </c>
      <c r="B956" t="s">
        <v>572</v>
      </c>
      <c r="C956" t="s">
        <v>3410</v>
      </c>
    </row>
    <row r="957" spans="1:3" x14ac:dyDescent="0.25">
      <c r="A957" t="s">
        <v>573</v>
      </c>
      <c r="B957" t="s">
        <v>3412</v>
      </c>
      <c r="C957" t="s">
        <v>3411</v>
      </c>
    </row>
    <row r="958" spans="1:3" x14ac:dyDescent="0.25">
      <c r="A958" t="s">
        <v>765</v>
      </c>
      <c r="B958" t="s">
        <v>574</v>
      </c>
      <c r="C958" t="s">
        <v>3413</v>
      </c>
    </row>
    <row r="959" spans="1:3" x14ac:dyDescent="0.25">
      <c r="A959" t="s">
        <v>759</v>
      </c>
      <c r="B959" t="s">
        <v>760</v>
      </c>
      <c r="C959" t="s">
        <v>3414</v>
      </c>
    </row>
    <row r="960" spans="1:3" x14ac:dyDescent="0.25">
      <c r="A960" t="s">
        <v>3416</v>
      </c>
      <c r="B960" t="s">
        <v>3417</v>
      </c>
      <c r="C960" t="s">
        <v>3415</v>
      </c>
    </row>
    <row r="961" spans="1:3" x14ac:dyDescent="0.25">
      <c r="A961" t="s">
        <v>3419</v>
      </c>
      <c r="B961" t="s">
        <v>3420</v>
      </c>
      <c r="C961" t="s">
        <v>3418</v>
      </c>
    </row>
    <row r="962" spans="1:3" x14ac:dyDescent="0.25">
      <c r="A962" t="s">
        <v>44</v>
      </c>
      <c r="B962" t="s">
        <v>45</v>
      </c>
      <c r="C962" t="s">
        <v>3421</v>
      </c>
    </row>
    <row r="963" spans="1:3" x14ac:dyDescent="0.25">
      <c r="A963" t="s">
        <v>731</v>
      </c>
      <c r="B963" t="s">
        <v>732</v>
      </c>
      <c r="C963" t="s">
        <v>3422</v>
      </c>
    </row>
    <row r="964" spans="1:3" x14ac:dyDescent="0.25">
      <c r="A964" t="s">
        <v>3424</v>
      </c>
      <c r="B964" t="s">
        <v>3425</v>
      </c>
      <c r="C964" t="s">
        <v>3423</v>
      </c>
    </row>
    <row r="965" spans="1:3" x14ac:dyDescent="0.25">
      <c r="A965" t="s">
        <v>34</v>
      </c>
      <c r="B965" t="s">
        <v>35</v>
      </c>
      <c r="C965" t="s">
        <v>3426</v>
      </c>
    </row>
    <row r="966" spans="1:3" x14ac:dyDescent="0.25">
      <c r="A966" t="s">
        <v>721</v>
      </c>
      <c r="B966" t="s">
        <v>722</v>
      </c>
      <c r="C966" t="s">
        <v>3427</v>
      </c>
    </row>
    <row r="967" spans="1:3" x14ac:dyDescent="0.25">
      <c r="A967" t="s">
        <v>62</v>
      </c>
      <c r="B967" t="s">
        <v>63</v>
      </c>
      <c r="C967" t="s">
        <v>3428</v>
      </c>
    </row>
    <row r="968" spans="1:3" x14ac:dyDescent="0.25">
      <c r="A968" t="s">
        <v>749</v>
      </c>
      <c r="B968" t="s">
        <v>750</v>
      </c>
      <c r="C968" t="s">
        <v>3429</v>
      </c>
    </row>
    <row r="969" spans="1:3" x14ac:dyDescent="0.25">
      <c r="A969" t="s">
        <v>54</v>
      </c>
      <c r="B969" t="s">
        <v>55</v>
      </c>
      <c r="C969" t="s">
        <v>3430</v>
      </c>
    </row>
    <row r="970" spans="1:3" x14ac:dyDescent="0.25">
      <c r="A970" t="s">
        <v>741</v>
      </c>
      <c r="B970" t="s">
        <v>742</v>
      </c>
      <c r="C970" t="s">
        <v>3431</v>
      </c>
    </row>
    <row r="971" spans="1:3" x14ac:dyDescent="0.25">
      <c r="A971" t="s">
        <v>3433</v>
      </c>
      <c r="B971" t="s">
        <v>3434</v>
      </c>
      <c r="C971" t="s">
        <v>3432</v>
      </c>
    </row>
    <row r="972" spans="1:3" x14ac:dyDescent="0.25">
      <c r="A972" t="s">
        <v>3436</v>
      </c>
      <c r="B972" t="s">
        <v>3434</v>
      </c>
      <c r="C972" t="s">
        <v>3435</v>
      </c>
    </row>
    <row r="973" spans="1:3" x14ac:dyDescent="0.25">
      <c r="A973" t="s">
        <v>3438</v>
      </c>
      <c r="B973" t="s">
        <v>3434</v>
      </c>
      <c r="C973" t="s">
        <v>3437</v>
      </c>
    </row>
    <row r="974" spans="1:3" x14ac:dyDescent="0.25">
      <c r="A974" t="s">
        <v>3440</v>
      </c>
      <c r="B974" t="s">
        <v>3434</v>
      </c>
      <c r="C974" t="s">
        <v>3439</v>
      </c>
    </row>
    <row r="975" spans="1:3" x14ac:dyDescent="0.25">
      <c r="A975" t="s">
        <v>3442</v>
      </c>
      <c r="B975" t="s">
        <v>3443</v>
      </c>
      <c r="C975" t="s">
        <v>3441</v>
      </c>
    </row>
    <row r="976" spans="1:3" x14ac:dyDescent="0.25">
      <c r="A976" t="s">
        <v>576</v>
      </c>
      <c r="B976" t="s">
        <v>577</v>
      </c>
      <c r="C976" t="s">
        <v>3444</v>
      </c>
    </row>
    <row r="977" spans="1:3" x14ac:dyDescent="0.25">
      <c r="A977" t="s">
        <v>3446</v>
      </c>
      <c r="B977" t="s">
        <v>577</v>
      </c>
      <c r="C977" t="s">
        <v>3445</v>
      </c>
    </row>
    <row r="978" spans="1:3" x14ac:dyDescent="0.25">
      <c r="A978" t="s">
        <v>356</v>
      </c>
      <c r="B978" t="s">
        <v>357</v>
      </c>
      <c r="C978" t="s">
        <v>370</v>
      </c>
    </row>
    <row r="979" spans="1:3" x14ac:dyDescent="0.25">
      <c r="A979" t="s">
        <v>3448</v>
      </c>
      <c r="B979" t="s">
        <v>3449</v>
      </c>
      <c r="C979" t="s">
        <v>3447</v>
      </c>
    </row>
    <row r="980" spans="1:3" x14ac:dyDescent="0.25">
      <c r="A980" t="s">
        <v>3451</v>
      </c>
      <c r="B980" t="s">
        <v>681</v>
      </c>
      <c r="C980" t="s">
        <v>3450</v>
      </c>
    </row>
    <row r="981" spans="1:3" x14ac:dyDescent="0.25">
      <c r="A981" t="s">
        <v>3453</v>
      </c>
      <c r="B981" t="s">
        <v>681</v>
      </c>
      <c r="C981" t="s">
        <v>3452</v>
      </c>
    </row>
    <row r="982" spans="1:3" x14ac:dyDescent="0.25">
      <c r="A982" t="s">
        <v>3455</v>
      </c>
      <c r="B982" t="s">
        <v>681</v>
      </c>
      <c r="C982" t="s">
        <v>3454</v>
      </c>
    </row>
    <row r="983" spans="1:3" x14ac:dyDescent="0.25">
      <c r="A983" t="s">
        <v>287</v>
      </c>
      <c r="B983" t="s">
        <v>3456</v>
      </c>
      <c r="C983" t="s">
        <v>318</v>
      </c>
    </row>
    <row r="984" spans="1:3" x14ac:dyDescent="0.25">
      <c r="A984" t="s">
        <v>799</v>
      </c>
      <c r="B984" t="s">
        <v>800</v>
      </c>
      <c r="C984" t="s">
        <v>3457</v>
      </c>
    </row>
    <row r="985" spans="1:3" x14ac:dyDescent="0.25">
      <c r="A985" t="s">
        <v>282</v>
      </c>
      <c r="B985" t="s">
        <v>283</v>
      </c>
      <c r="C985" t="s">
        <v>319</v>
      </c>
    </row>
    <row r="986" spans="1:3" x14ac:dyDescent="0.25">
      <c r="A986" t="s">
        <v>795</v>
      </c>
      <c r="B986" t="s">
        <v>283</v>
      </c>
      <c r="C986" t="s">
        <v>3458</v>
      </c>
    </row>
    <row r="987" spans="1:3" x14ac:dyDescent="0.25">
      <c r="A987" t="s">
        <v>441</v>
      </c>
      <c r="B987" t="s">
        <v>3459</v>
      </c>
      <c r="C987" t="s">
        <v>440</v>
      </c>
    </row>
    <row r="988" spans="1:3" x14ac:dyDescent="0.25">
      <c r="A988" t="s">
        <v>757</v>
      </c>
      <c r="B988" t="s">
        <v>450</v>
      </c>
      <c r="C988" t="s">
        <v>3460</v>
      </c>
    </row>
    <row r="989" spans="1:3" x14ac:dyDescent="0.25">
      <c r="A989" t="s">
        <v>443</v>
      </c>
      <c r="B989" t="s">
        <v>3461</v>
      </c>
      <c r="C989" t="s">
        <v>442</v>
      </c>
    </row>
    <row r="990" spans="1:3" x14ac:dyDescent="0.25">
      <c r="A990" t="s">
        <v>754</v>
      </c>
      <c r="B990" t="s">
        <v>579</v>
      </c>
      <c r="C990" t="s">
        <v>3462</v>
      </c>
    </row>
    <row r="991" spans="1:3" x14ac:dyDescent="0.25">
      <c r="A991" t="s">
        <v>580</v>
      </c>
      <c r="B991" t="s">
        <v>581</v>
      </c>
      <c r="C991" t="s">
        <v>3463</v>
      </c>
    </row>
    <row r="992" spans="1:3" x14ac:dyDescent="0.25">
      <c r="A992" t="s">
        <v>766</v>
      </c>
      <c r="B992" t="s">
        <v>581</v>
      </c>
      <c r="C992" t="s">
        <v>3464</v>
      </c>
    </row>
    <row r="993" spans="1:3" x14ac:dyDescent="0.25">
      <c r="A993" t="s">
        <v>761</v>
      </c>
      <c r="B993" t="s">
        <v>762</v>
      </c>
      <c r="C993" t="s">
        <v>3465</v>
      </c>
    </row>
    <row r="994" spans="1:3" x14ac:dyDescent="0.25">
      <c r="A994" t="s">
        <v>3467</v>
      </c>
      <c r="B994" t="s">
        <v>3468</v>
      </c>
      <c r="C994" t="s">
        <v>3466</v>
      </c>
    </row>
    <row r="995" spans="1:3" x14ac:dyDescent="0.25">
      <c r="A995" t="s">
        <v>46</v>
      </c>
      <c r="B995" t="s">
        <v>47</v>
      </c>
      <c r="C995" t="s">
        <v>3469</v>
      </c>
    </row>
    <row r="996" spans="1:3" x14ac:dyDescent="0.25">
      <c r="A996" t="s">
        <v>733</v>
      </c>
      <c r="B996" t="s">
        <v>734</v>
      </c>
      <c r="C996" t="s">
        <v>3470</v>
      </c>
    </row>
    <row r="997" spans="1:3" x14ac:dyDescent="0.25">
      <c r="A997" t="s">
        <v>3472</v>
      </c>
      <c r="B997" t="s">
        <v>3473</v>
      </c>
      <c r="C997" t="s">
        <v>3471</v>
      </c>
    </row>
    <row r="998" spans="1:3" x14ac:dyDescent="0.25">
      <c r="A998" t="s">
        <v>48</v>
      </c>
      <c r="B998" t="s">
        <v>49</v>
      </c>
      <c r="C998" t="s">
        <v>3474</v>
      </c>
    </row>
    <row r="999" spans="1:3" x14ac:dyDescent="0.25">
      <c r="A999" t="s">
        <v>735</v>
      </c>
      <c r="B999" t="s">
        <v>736</v>
      </c>
      <c r="C999" t="s">
        <v>3475</v>
      </c>
    </row>
    <row r="1000" spans="1:3" x14ac:dyDescent="0.25">
      <c r="A1000" t="s">
        <v>3477</v>
      </c>
      <c r="B1000" t="s">
        <v>3478</v>
      </c>
      <c r="C1000" t="s">
        <v>3476</v>
      </c>
    </row>
    <row r="1001" spans="1:3" x14ac:dyDescent="0.25">
      <c r="A1001" t="s">
        <v>3480</v>
      </c>
      <c r="B1001" t="s">
        <v>3481</v>
      </c>
      <c r="C1001" t="s">
        <v>3479</v>
      </c>
    </row>
    <row r="1002" spans="1:3" x14ac:dyDescent="0.25">
      <c r="A1002" t="s">
        <v>36</v>
      </c>
      <c r="B1002" t="s">
        <v>37</v>
      </c>
      <c r="C1002" t="s">
        <v>3482</v>
      </c>
    </row>
    <row r="1003" spans="1:3" x14ac:dyDescent="0.25">
      <c r="A1003" t="s">
        <v>723</v>
      </c>
      <c r="B1003" t="s">
        <v>752</v>
      </c>
      <c r="C1003" t="s">
        <v>3483</v>
      </c>
    </row>
    <row r="1004" spans="1:3" x14ac:dyDescent="0.25">
      <c r="A1004" t="s">
        <v>38</v>
      </c>
      <c r="B1004" t="s">
        <v>39</v>
      </c>
      <c r="C1004" t="s">
        <v>3484</v>
      </c>
    </row>
    <row r="1005" spans="1:3" x14ac:dyDescent="0.25">
      <c r="A1005" t="s">
        <v>725</v>
      </c>
      <c r="B1005" t="s">
        <v>726</v>
      </c>
      <c r="C1005" t="s">
        <v>3485</v>
      </c>
    </row>
    <row r="1006" spans="1:3" x14ac:dyDescent="0.25">
      <c r="A1006" t="s">
        <v>64</v>
      </c>
      <c r="B1006" t="s">
        <v>65</v>
      </c>
      <c r="C1006" t="s">
        <v>3486</v>
      </c>
    </row>
    <row r="1007" spans="1:3" x14ac:dyDescent="0.25">
      <c r="A1007" t="s">
        <v>751</v>
      </c>
      <c r="B1007" t="s">
        <v>752</v>
      </c>
      <c r="C1007" t="s">
        <v>3487</v>
      </c>
    </row>
    <row r="1008" spans="1:3" x14ac:dyDescent="0.25">
      <c r="A1008" t="s">
        <v>56</v>
      </c>
      <c r="B1008" t="s">
        <v>57</v>
      </c>
      <c r="C1008" t="s">
        <v>3488</v>
      </c>
    </row>
    <row r="1009" spans="1:3" x14ac:dyDescent="0.25">
      <c r="A1009" t="s">
        <v>743</v>
      </c>
      <c r="B1009" t="s">
        <v>744</v>
      </c>
      <c r="C1009" t="s">
        <v>3489</v>
      </c>
    </row>
    <row r="1010" spans="1:3" x14ac:dyDescent="0.25">
      <c r="A1010" t="s">
        <v>3491</v>
      </c>
      <c r="B1010" t="s">
        <v>3492</v>
      </c>
      <c r="C1010" t="s">
        <v>3490</v>
      </c>
    </row>
    <row r="1011" spans="1:3" x14ac:dyDescent="0.25">
      <c r="A1011" t="s">
        <v>3494</v>
      </c>
      <c r="B1011" t="s">
        <v>3492</v>
      </c>
      <c r="C1011" t="s">
        <v>3493</v>
      </c>
    </row>
    <row r="1012" spans="1:3" x14ac:dyDescent="0.25">
      <c r="A1012" t="s">
        <v>3496</v>
      </c>
      <c r="B1012" t="s">
        <v>3492</v>
      </c>
      <c r="C1012" t="s">
        <v>3495</v>
      </c>
    </row>
    <row r="1013" spans="1:3" x14ac:dyDescent="0.25">
      <c r="A1013" t="s">
        <v>3498</v>
      </c>
      <c r="B1013" t="s">
        <v>3499</v>
      </c>
      <c r="C1013" t="s">
        <v>3497</v>
      </c>
    </row>
    <row r="1014" spans="1:3" x14ac:dyDescent="0.25">
      <c r="A1014" t="s">
        <v>3501</v>
      </c>
      <c r="B1014" t="s">
        <v>3502</v>
      </c>
      <c r="C1014" t="s">
        <v>3500</v>
      </c>
    </row>
    <row r="1015" spans="1:3" x14ac:dyDescent="0.25">
      <c r="A1015" t="s">
        <v>3504</v>
      </c>
      <c r="B1015" t="s">
        <v>3505</v>
      </c>
      <c r="C1015" t="s">
        <v>3503</v>
      </c>
    </row>
    <row r="1016" spans="1:3" x14ac:dyDescent="0.25">
      <c r="A1016" t="s">
        <v>3507</v>
      </c>
      <c r="B1016" t="s">
        <v>3508</v>
      </c>
      <c r="C1016" t="s">
        <v>3506</v>
      </c>
    </row>
    <row r="1017" spans="1:3" x14ac:dyDescent="0.25">
      <c r="A1017" t="s">
        <v>3510</v>
      </c>
      <c r="B1017" t="s">
        <v>3511</v>
      </c>
      <c r="C1017" t="s">
        <v>3509</v>
      </c>
    </row>
    <row r="1018" spans="1:3" x14ac:dyDescent="0.25">
      <c r="A1018" t="s">
        <v>3513</v>
      </c>
      <c r="B1018" t="s">
        <v>3511</v>
      </c>
      <c r="C1018" t="s">
        <v>3512</v>
      </c>
    </row>
    <row r="1019" spans="1:3" x14ac:dyDescent="0.25">
      <c r="A1019" t="s">
        <v>3515</v>
      </c>
      <c r="B1019" t="s">
        <v>3516</v>
      </c>
      <c r="C1019" t="s">
        <v>3514</v>
      </c>
    </row>
    <row r="1020" spans="1:3" x14ac:dyDescent="0.25">
      <c r="A1020" t="s">
        <v>3518</v>
      </c>
      <c r="B1020" t="s">
        <v>3511</v>
      </c>
      <c r="C1020" t="s">
        <v>3517</v>
      </c>
    </row>
    <row r="1021" spans="1:3" x14ac:dyDescent="0.25">
      <c r="A1021" t="s">
        <v>583</v>
      </c>
      <c r="B1021" t="s">
        <v>584</v>
      </c>
      <c r="C1021" t="s">
        <v>3519</v>
      </c>
    </row>
    <row r="1022" spans="1:3" x14ac:dyDescent="0.25">
      <c r="A1022" t="s">
        <v>3521</v>
      </c>
      <c r="B1022" t="s">
        <v>584</v>
      </c>
      <c r="C1022" t="s">
        <v>3520</v>
      </c>
    </row>
    <row r="1023" spans="1:3" x14ac:dyDescent="0.25">
      <c r="A1023" t="s">
        <v>358</v>
      </c>
      <c r="B1023" t="s">
        <v>359</v>
      </c>
      <c r="C1023" t="s">
        <v>371</v>
      </c>
    </row>
    <row r="1024" spans="1:3" x14ac:dyDescent="0.25">
      <c r="A1024" t="s">
        <v>3523</v>
      </c>
      <c r="B1024" t="s">
        <v>359</v>
      </c>
      <c r="C1024" t="s">
        <v>3522</v>
      </c>
    </row>
    <row r="1025" spans="1:3" x14ac:dyDescent="0.25">
      <c r="A1025" t="s">
        <v>360</v>
      </c>
      <c r="B1025" t="s">
        <v>361</v>
      </c>
      <c r="C1025" t="s">
        <v>372</v>
      </c>
    </row>
    <row r="1026" spans="1:3" x14ac:dyDescent="0.25">
      <c r="A1026" t="s">
        <v>3525</v>
      </c>
      <c r="B1026" t="s">
        <v>3526</v>
      </c>
      <c r="C1026" t="s">
        <v>3524</v>
      </c>
    </row>
    <row r="1027" spans="1:3" x14ac:dyDescent="0.25">
      <c r="A1027" t="s">
        <v>3527</v>
      </c>
      <c r="B1027" t="s">
        <v>3528</v>
      </c>
      <c r="C1027" t="s">
        <v>3371</v>
      </c>
    </row>
    <row r="1028" spans="1:3" x14ac:dyDescent="0.25">
      <c r="A1028" t="s">
        <v>3530</v>
      </c>
      <c r="B1028" t="s">
        <v>683</v>
      </c>
      <c r="C1028" t="s">
        <v>3529</v>
      </c>
    </row>
    <row r="1029" spans="1:3" x14ac:dyDescent="0.25">
      <c r="A1029" t="s">
        <v>3532</v>
      </c>
      <c r="B1029" t="s">
        <v>683</v>
      </c>
      <c r="C1029" t="s">
        <v>3531</v>
      </c>
    </row>
    <row r="1030" spans="1:3" x14ac:dyDescent="0.25">
      <c r="A1030" t="s">
        <v>3534</v>
      </c>
      <c r="B1030" t="s">
        <v>683</v>
      </c>
      <c r="C1030" t="s">
        <v>3533</v>
      </c>
    </row>
    <row r="1031" spans="1:3" x14ac:dyDescent="0.25">
      <c r="A1031" t="s">
        <v>288</v>
      </c>
      <c r="B1031" t="s">
        <v>3535</v>
      </c>
      <c r="C1031" t="s">
        <v>320</v>
      </c>
    </row>
    <row r="1032" spans="1:3" x14ac:dyDescent="0.25">
      <c r="A1032" t="s">
        <v>801</v>
      </c>
      <c r="B1032" t="s">
        <v>802</v>
      </c>
      <c r="C1032" t="s">
        <v>3536</v>
      </c>
    </row>
    <row r="1033" spans="1:3" x14ac:dyDescent="0.25">
      <c r="A1033" t="s">
        <v>284</v>
      </c>
      <c r="B1033" t="s">
        <v>285</v>
      </c>
      <c r="C1033" t="s">
        <v>321</v>
      </c>
    </row>
    <row r="1034" spans="1:3" x14ac:dyDescent="0.25">
      <c r="A1034" t="s">
        <v>796</v>
      </c>
      <c r="B1034" t="s">
        <v>285</v>
      </c>
      <c r="C1034" t="s">
        <v>3537</v>
      </c>
    </row>
    <row r="1035" spans="1:3" x14ac:dyDescent="0.25">
      <c r="A1035" t="s">
        <v>3539</v>
      </c>
      <c r="B1035" t="s">
        <v>3540</v>
      </c>
      <c r="C1035" t="s">
        <v>3538</v>
      </c>
    </row>
    <row r="1036" spans="1:3" x14ac:dyDescent="0.25">
      <c r="A1036" t="s">
        <v>3542</v>
      </c>
      <c r="B1036" t="s">
        <v>3543</v>
      </c>
      <c r="C1036" t="s">
        <v>3541</v>
      </c>
    </row>
    <row r="1037" spans="1:3" x14ac:dyDescent="0.25">
      <c r="A1037" t="s">
        <v>3545</v>
      </c>
      <c r="B1037" t="s">
        <v>3546</v>
      </c>
      <c r="C1037" t="s">
        <v>3544</v>
      </c>
    </row>
    <row r="1038" spans="1:3" x14ac:dyDescent="0.25">
      <c r="A1038" t="s">
        <v>3548</v>
      </c>
      <c r="B1038" t="s">
        <v>3549</v>
      </c>
      <c r="C1038" t="s">
        <v>3547</v>
      </c>
    </row>
    <row r="1039" spans="1:3" x14ac:dyDescent="0.25">
      <c r="A1039" t="s">
        <v>3550</v>
      </c>
      <c r="B1039" t="s">
        <v>3551</v>
      </c>
      <c r="C1039" t="s">
        <v>3371</v>
      </c>
    </row>
    <row r="1040" spans="1:3" x14ac:dyDescent="0.25">
      <c r="A1040" t="s">
        <v>894</v>
      </c>
      <c r="B1040" t="s">
        <v>895</v>
      </c>
      <c r="C1040" t="s">
        <v>3403</v>
      </c>
    </row>
    <row r="1041" spans="1:3" x14ac:dyDescent="0.25">
      <c r="A1041" t="s">
        <v>897</v>
      </c>
      <c r="B1041" t="s">
        <v>898</v>
      </c>
      <c r="C1041" t="s">
        <v>3403</v>
      </c>
    </row>
    <row r="1042" spans="1:3" x14ac:dyDescent="0.25">
      <c r="A1042" t="s">
        <v>3553</v>
      </c>
      <c r="B1042" t="s">
        <v>3554</v>
      </c>
      <c r="C1042" t="s">
        <v>3552</v>
      </c>
    </row>
    <row r="1043" spans="1:3" x14ac:dyDescent="0.25">
      <c r="A1043" t="s">
        <v>445</v>
      </c>
      <c r="B1043" t="s">
        <v>3555</v>
      </c>
      <c r="C1043" t="s">
        <v>444</v>
      </c>
    </row>
    <row r="1044" spans="1:3" x14ac:dyDescent="0.25">
      <c r="A1044" t="s">
        <v>758</v>
      </c>
      <c r="B1044" t="s">
        <v>449</v>
      </c>
      <c r="C1044" t="s">
        <v>3556</v>
      </c>
    </row>
    <row r="1045" spans="1:3" x14ac:dyDescent="0.25">
      <c r="A1045" t="s">
        <v>447</v>
      </c>
      <c r="B1045" t="s">
        <v>3557</v>
      </c>
      <c r="C1045" t="s">
        <v>446</v>
      </c>
    </row>
    <row r="1046" spans="1:3" x14ac:dyDescent="0.25">
      <c r="A1046" t="s">
        <v>755</v>
      </c>
      <c r="B1046" t="s">
        <v>586</v>
      </c>
      <c r="C1046" t="s">
        <v>3558</v>
      </c>
    </row>
    <row r="1047" spans="1:3" x14ac:dyDescent="0.25">
      <c r="A1047" t="s">
        <v>587</v>
      </c>
      <c r="B1047" t="s">
        <v>588</v>
      </c>
      <c r="C1047" t="s">
        <v>3559</v>
      </c>
    </row>
    <row r="1048" spans="1:3" x14ac:dyDescent="0.25">
      <c r="A1048" t="s">
        <v>767</v>
      </c>
      <c r="B1048" t="s">
        <v>588</v>
      </c>
      <c r="C1048" t="s">
        <v>3560</v>
      </c>
    </row>
    <row r="1049" spans="1:3" x14ac:dyDescent="0.25">
      <c r="A1049" t="s">
        <v>763</v>
      </c>
      <c r="B1049" t="s">
        <v>764</v>
      </c>
      <c r="C1049" t="s">
        <v>3561</v>
      </c>
    </row>
    <row r="1050" spans="1:3" x14ac:dyDescent="0.25">
      <c r="A1050" t="s">
        <v>3563</v>
      </c>
      <c r="B1050" t="s">
        <v>3564</v>
      </c>
      <c r="C1050" t="s">
        <v>3562</v>
      </c>
    </row>
    <row r="1051" spans="1:3" x14ac:dyDescent="0.25">
      <c r="A1051" t="s">
        <v>3566</v>
      </c>
      <c r="B1051" t="s">
        <v>3567</v>
      </c>
      <c r="C1051" t="s">
        <v>3565</v>
      </c>
    </row>
    <row r="1052" spans="1:3" x14ac:dyDescent="0.25">
      <c r="A1052" t="s">
        <v>3569</v>
      </c>
      <c r="B1052" t="s">
        <v>3567</v>
      </c>
      <c r="C1052" t="s">
        <v>3568</v>
      </c>
    </row>
    <row r="1053" spans="1:3" x14ac:dyDescent="0.25">
      <c r="A1053" t="s">
        <v>3571</v>
      </c>
      <c r="B1053" t="s">
        <v>3572</v>
      </c>
      <c r="C1053" t="s">
        <v>3570</v>
      </c>
    </row>
    <row r="1054" spans="1:3" x14ac:dyDescent="0.25">
      <c r="A1054" t="s">
        <v>3574</v>
      </c>
      <c r="B1054" t="s">
        <v>3572</v>
      </c>
      <c r="C1054" t="s">
        <v>3573</v>
      </c>
    </row>
    <row r="1055" spans="1:3" x14ac:dyDescent="0.25">
      <c r="A1055" t="s">
        <v>3576</v>
      </c>
      <c r="B1055" t="s">
        <v>3572</v>
      </c>
      <c r="C1055" t="s">
        <v>3575</v>
      </c>
    </row>
    <row r="1056" spans="1:3" x14ac:dyDescent="0.25">
      <c r="A1056" t="s">
        <v>3578</v>
      </c>
      <c r="B1056" t="s">
        <v>3579</v>
      </c>
      <c r="C1056" t="s">
        <v>3577</v>
      </c>
    </row>
    <row r="1057" spans="1:3" x14ac:dyDescent="0.25">
      <c r="A1057" t="s">
        <v>3581</v>
      </c>
      <c r="B1057" t="s">
        <v>3579</v>
      </c>
      <c r="C1057" t="s">
        <v>3580</v>
      </c>
    </row>
    <row r="1058" spans="1:3" x14ac:dyDescent="0.25">
      <c r="A1058" t="s">
        <v>3583</v>
      </c>
      <c r="B1058" t="s">
        <v>3579</v>
      </c>
      <c r="C1058" t="s">
        <v>3582</v>
      </c>
    </row>
    <row r="1059" spans="1:3" x14ac:dyDescent="0.25">
      <c r="A1059" t="s">
        <v>3585</v>
      </c>
      <c r="B1059" t="s">
        <v>3586</v>
      </c>
      <c r="C1059" t="s">
        <v>3584</v>
      </c>
    </row>
    <row r="1060" spans="1:3" x14ac:dyDescent="0.25">
      <c r="A1060" t="s">
        <v>3588</v>
      </c>
      <c r="B1060" t="s">
        <v>3586</v>
      </c>
      <c r="C1060" t="s">
        <v>3587</v>
      </c>
    </row>
    <row r="1061" spans="1:3" x14ac:dyDescent="0.25">
      <c r="A1061" t="s">
        <v>3590</v>
      </c>
      <c r="B1061" t="s">
        <v>3586</v>
      </c>
      <c r="C1061" t="s">
        <v>3589</v>
      </c>
    </row>
    <row r="1062" spans="1:3" x14ac:dyDescent="0.25">
      <c r="A1062" t="s">
        <v>3592</v>
      </c>
      <c r="B1062" t="s">
        <v>3593</v>
      </c>
      <c r="C1062" t="s">
        <v>3591</v>
      </c>
    </row>
    <row r="1063" spans="1:3" x14ac:dyDescent="0.25">
      <c r="A1063" t="s">
        <v>86</v>
      </c>
      <c r="B1063" t="s">
        <v>87</v>
      </c>
      <c r="C1063" t="s">
        <v>3594</v>
      </c>
    </row>
    <row r="1064" spans="1:3" x14ac:dyDescent="0.25">
      <c r="A1064" t="s">
        <v>776</v>
      </c>
      <c r="B1064" t="s">
        <v>777</v>
      </c>
      <c r="C1064" t="s">
        <v>3595</v>
      </c>
    </row>
    <row r="1065" spans="1:3" x14ac:dyDescent="0.25">
      <c r="A1065" t="s">
        <v>454</v>
      </c>
      <c r="B1065" t="s">
        <v>455</v>
      </c>
      <c r="C1065" t="s">
        <v>3596</v>
      </c>
    </row>
    <row r="1066" spans="1:3" x14ac:dyDescent="0.25">
      <c r="A1066" t="s">
        <v>780</v>
      </c>
      <c r="B1066" t="s">
        <v>781</v>
      </c>
      <c r="C1066" t="s">
        <v>3597</v>
      </c>
    </row>
    <row r="1067" spans="1:3" x14ac:dyDescent="0.25">
      <c r="A1067" t="s">
        <v>3599</v>
      </c>
      <c r="B1067" t="s">
        <v>3600</v>
      </c>
      <c r="C1067" t="s">
        <v>3598</v>
      </c>
    </row>
    <row r="1068" spans="1:3" x14ac:dyDescent="0.25">
      <c r="A1068" t="s">
        <v>362</v>
      </c>
      <c r="B1068" t="s">
        <v>3601</v>
      </c>
      <c r="C1068" t="s">
        <v>373</v>
      </c>
    </row>
    <row r="1069" spans="1:3" x14ac:dyDescent="0.25">
      <c r="A1069" t="s">
        <v>3603</v>
      </c>
      <c r="B1069" t="s">
        <v>589</v>
      </c>
      <c r="C1069" t="s">
        <v>3602</v>
      </c>
    </row>
    <row r="1070" spans="1:3" x14ac:dyDescent="0.25">
      <c r="A1070" t="s">
        <v>3605</v>
      </c>
      <c r="B1070" t="s">
        <v>3606</v>
      </c>
      <c r="C1070" t="s">
        <v>3604</v>
      </c>
    </row>
    <row r="1071" spans="1:3" x14ac:dyDescent="0.25">
      <c r="A1071" t="s">
        <v>3608</v>
      </c>
      <c r="B1071" t="s">
        <v>3606</v>
      </c>
      <c r="C1071" t="s">
        <v>3607</v>
      </c>
    </row>
    <row r="1072" spans="1:3" x14ac:dyDescent="0.25">
      <c r="A1072" t="s">
        <v>3610</v>
      </c>
      <c r="B1072" t="s">
        <v>3606</v>
      </c>
      <c r="C1072" t="s">
        <v>3609</v>
      </c>
    </row>
    <row r="1073" spans="1:3" x14ac:dyDescent="0.25">
      <c r="A1073" t="s">
        <v>3612</v>
      </c>
      <c r="B1073" t="s">
        <v>474</v>
      </c>
      <c r="C1073" t="s">
        <v>3611</v>
      </c>
    </row>
    <row r="1074" spans="1:3" x14ac:dyDescent="0.25">
      <c r="A1074" t="s">
        <v>471</v>
      </c>
      <c r="B1074" t="s">
        <v>3614</v>
      </c>
      <c r="C1074" t="s">
        <v>3613</v>
      </c>
    </row>
    <row r="1075" spans="1:3" x14ac:dyDescent="0.25">
      <c r="A1075" t="s">
        <v>803</v>
      </c>
      <c r="B1075" t="s">
        <v>472</v>
      </c>
      <c r="C1075" t="s">
        <v>3615</v>
      </c>
    </row>
    <row r="1076" spans="1:3" x14ac:dyDescent="0.25">
      <c r="A1076" t="s">
        <v>473</v>
      </c>
      <c r="B1076" t="s">
        <v>474</v>
      </c>
      <c r="C1076" t="s">
        <v>3616</v>
      </c>
    </row>
    <row r="1077" spans="1:3" x14ac:dyDescent="0.25">
      <c r="A1077" t="s">
        <v>804</v>
      </c>
      <c r="B1077" t="s">
        <v>474</v>
      </c>
      <c r="C1077" t="s">
        <v>3617</v>
      </c>
    </row>
    <row r="1078" spans="1:3" x14ac:dyDescent="0.25">
      <c r="A1078" t="s">
        <v>778</v>
      </c>
      <c r="B1078" t="s">
        <v>779</v>
      </c>
      <c r="C1078" t="s">
        <v>3618</v>
      </c>
    </row>
    <row r="1079" spans="1:3" x14ac:dyDescent="0.25">
      <c r="A1079" t="s">
        <v>469</v>
      </c>
      <c r="B1079" t="s">
        <v>3620</v>
      </c>
      <c r="C1079" t="s">
        <v>3619</v>
      </c>
    </row>
    <row r="1080" spans="1:3" x14ac:dyDescent="0.25">
      <c r="A1080" t="s">
        <v>782</v>
      </c>
      <c r="B1080" t="s">
        <v>3622</v>
      </c>
      <c r="C1080" t="s">
        <v>3621</v>
      </c>
    </row>
    <row r="1081" spans="1:3" x14ac:dyDescent="0.25">
      <c r="A1081" t="s">
        <v>104</v>
      </c>
      <c r="B1081" t="s">
        <v>105</v>
      </c>
      <c r="C1081" t="s">
        <v>3623</v>
      </c>
    </row>
    <row r="1082" spans="1:3" x14ac:dyDescent="0.25">
      <c r="A1082" t="s">
        <v>784</v>
      </c>
      <c r="B1082" t="s">
        <v>105</v>
      </c>
      <c r="C1082" t="s">
        <v>3624</v>
      </c>
    </row>
    <row r="1083" spans="1:3" x14ac:dyDescent="0.25">
      <c r="A1083" t="s">
        <v>84</v>
      </c>
      <c r="B1083" t="s">
        <v>85</v>
      </c>
      <c r="C1083" t="s">
        <v>3625</v>
      </c>
    </row>
    <row r="1084" spans="1:3" x14ac:dyDescent="0.25">
      <c r="A1084" t="s">
        <v>772</v>
      </c>
      <c r="B1084" t="s">
        <v>773</v>
      </c>
      <c r="C1084" t="s">
        <v>3626</v>
      </c>
    </row>
    <row r="1085" spans="1:3" x14ac:dyDescent="0.25">
      <c r="A1085" t="s">
        <v>82</v>
      </c>
      <c r="B1085" t="s">
        <v>83</v>
      </c>
      <c r="C1085" t="s">
        <v>3627</v>
      </c>
    </row>
    <row r="1086" spans="1:3" x14ac:dyDescent="0.25">
      <c r="A1086" t="s">
        <v>768</v>
      </c>
      <c r="B1086" t="s">
        <v>769</v>
      </c>
      <c r="C1086" t="s">
        <v>3628</v>
      </c>
    </row>
    <row r="1087" spans="1:3" x14ac:dyDescent="0.25">
      <c r="A1087" t="s">
        <v>785</v>
      </c>
      <c r="B1087" t="s">
        <v>786</v>
      </c>
      <c r="C1087" t="s">
        <v>3629</v>
      </c>
    </row>
    <row r="1088" spans="1:3" x14ac:dyDescent="0.25">
      <c r="A1088" t="s">
        <v>774</v>
      </c>
      <c r="B1088" t="s">
        <v>775</v>
      </c>
      <c r="C1088" t="s">
        <v>3630</v>
      </c>
    </row>
    <row r="1089" spans="1:3" x14ac:dyDescent="0.25">
      <c r="A1089" t="s">
        <v>770</v>
      </c>
      <c r="B1089" t="s">
        <v>771</v>
      </c>
      <c r="C1089" t="s">
        <v>3631</v>
      </c>
    </row>
    <row r="1090" spans="1:3" x14ac:dyDescent="0.25">
      <c r="A1090" t="s">
        <v>427</v>
      </c>
      <c r="B1090" t="s">
        <v>3633</v>
      </c>
      <c r="C1090" t="s">
        <v>3632</v>
      </c>
    </row>
    <row r="1091" spans="1:3" x14ac:dyDescent="0.25">
      <c r="A1091" t="s">
        <v>3635</v>
      </c>
      <c r="B1091" t="s">
        <v>3636</v>
      </c>
      <c r="C1091" t="s">
        <v>3634</v>
      </c>
    </row>
    <row r="1092" spans="1:3" x14ac:dyDescent="0.25">
      <c r="A1092" t="s">
        <v>428</v>
      </c>
      <c r="B1092" t="s">
        <v>3638</v>
      </c>
      <c r="C1092" t="s">
        <v>3637</v>
      </c>
    </row>
    <row r="1093" spans="1:3" x14ac:dyDescent="0.25">
      <c r="A1093" t="s">
        <v>927</v>
      </c>
      <c r="B1093" t="s">
        <v>928</v>
      </c>
      <c r="C1093" t="s">
        <v>3639</v>
      </c>
    </row>
    <row r="1094" spans="1:3" x14ac:dyDescent="0.25">
      <c r="A1094" t="s">
        <v>429</v>
      </c>
      <c r="B1094" t="s">
        <v>3641</v>
      </c>
      <c r="C1094" t="s">
        <v>3640</v>
      </c>
    </row>
    <row r="1095" spans="1:3" x14ac:dyDescent="0.25">
      <c r="A1095" t="s">
        <v>3643</v>
      </c>
      <c r="B1095" t="s">
        <v>3641</v>
      </c>
      <c r="C1095" t="s">
        <v>3642</v>
      </c>
    </row>
    <row r="1096" spans="1:3" x14ac:dyDescent="0.25">
      <c r="A1096" t="s">
        <v>3645</v>
      </c>
      <c r="B1096" t="s">
        <v>3646</v>
      </c>
      <c r="C1096" t="s">
        <v>3644</v>
      </c>
    </row>
    <row r="1097" spans="1:3" x14ac:dyDescent="0.25">
      <c r="A1097" t="s">
        <v>3648</v>
      </c>
      <c r="B1097" t="s">
        <v>3649</v>
      </c>
      <c r="C1097" t="s">
        <v>3647</v>
      </c>
    </row>
    <row r="1098" spans="1:3" x14ac:dyDescent="0.25">
      <c r="A1098" t="s">
        <v>3651</v>
      </c>
      <c r="B1098" t="s">
        <v>3652</v>
      </c>
      <c r="C1098" t="s">
        <v>3650</v>
      </c>
    </row>
    <row r="1099" spans="1:3" x14ac:dyDescent="0.25">
      <c r="A1099" t="s">
        <v>3654</v>
      </c>
      <c r="B1099" t="s">
        <v>3652</v>
      </c>
      <c r="C1099" t="s">
        <v>3653</v>
      </c>
    </row>
    <row r="1100" spans="1:3" x14ac:dyDescent="0.25">
      <c r="A1100" t="s">
        <v>3656</v>
      </c>
      <c r="B1100" t="s">
        <v>3652</v>
      </c>
      <c r="C1100" t="s">
        <v>3655</v>
      </c>
    </row>
    <row r="1101" spans="1:3" x14ac:dyDescent="0.25">
      <c r="A1101" t="s">
        <v>3658</v>
      </c>
      <c r="B1101" t="s">
        <v>3659</v>
      </c>
      <c r="C1101" t="s">
        <v>3657</v>
      </c>
    </row>
    <row r="1102" spans="1:3" x14ac:dyDescent="0.25">
      <c r="A1102" t="s">
        <v>3661</v>
      </c>
      <c r="B1102" t="s">
        <v>3662</v>
      </c>
      <c r="C1102" t="s">
        <v>3660</v>
      </c>
    </row>
    <row r="1103" spans="1:3" x14ac:dyDescent="0.25">
      <c r="A1103" t="s">
        <v>3664</v>
      </c>
      <c r="B1103" t="s">
        <v>3662</v>
      </c>
      <c r="C1103" t="s">
        <v>3663</v>
      </c>
    </row>
    <row r="1104" spans="1:3" x14ac:dyDescent="0.25">
      <c r="A1104" t="s">
        <v>3666</v>
      </c>
      <c r="B1104" t="s">
        <v>3667</v>
      </c>
      <c r="C1104" t="s">
        <v>3665</v>
      </c>
    </row>
    <row r="1105" spans="1:3" x14ac:dyDescent="0.25">
      <c r="A1105" t="s">
        <v>3669</v>
      </c>
      <c r="B1105" t="s">
        <v>3670</v>
      </c>
      <c r="C1105" t="s">
        <v>3668</v>
      </c>
    </row>
    <row r="1106" spans="1:3" x14ac:dyDescent="0.25">
      <c r="A1106" t="s">
        <v>3672</v>
      </c>
      <c r="B1106" t="s">
        <v>3670</v>
      </c>
      <c r="C1106" t="s">
        <v>3671</v>
      </c>
    </row>
    <row r="1107" spans="1:3" x14ac:dyDescent="0.25">
      <c r="A1107" t="s">
        <v>3674</v>
      </c>
      <c r="B1107" t="s">
        <v>3670</v>
      </c>
      <c r="C1107" t="s">
        <v>3673</v>
      </c>
    </row>
    <row r="1108" spans="1:3" x14ac:dyDescent="0.25">
      <c r="A1108" t="s">
        <v>3676</v>
      </c>
      <c r="B1108" t="s">
        <v>3677</v>
      </c>
      <c r="C1108" t="s">
        <v>3675</v>
      </c>
    </row>
    <row r="1109" spans="1:3" x14ac:dyDescent="0.25">
      <c r="A1109" t="s">
        <v>3679</v>
      </c>
      <c r="B1109" t="s">
        <v>3680</v>
      </c>
      <c r="C1109" t="s">
        <v>3678</v>
      </c>
    </row>
    <row r="1110" spans="1:3" x14ac:dyDescent="0.25">
      <c r="A1110" t="s">
        <v>3682</v>
      </c>
      <c r="B1110" t="s">
        <v>3680</v>
      </c>
      <c r="C1110" t="s">
        <v>3681</v>
      </c>
    </row>
    <row r="1111" spans="1:3" x14ac:dyDescent="0.25">
      <c r="A1111" t="s">
        <v>3684</v>
      </c>
      <c r="B1111" t="s">
        <v>3685</v>
      </c>
      <c r="C1111" t="s">
        <v>3683</v>
      </c>
    </row>
    <row r="1112" spans="1:3" x14ac:dyDescent="0.25">
      <c r="A1112" t="s">
        <v>3687</v>
      </c>
      <c r="B1112" t="s">
        <v>3685</v>
      </c>
      <c r="C1112" t="s">
        <v>3686</v>
      </c>
    </row>
    <row r="1113" spans="1:3" x14ac:dyDescent="0.25">
      <c r="A1113" t="s">
        <v>3689</v>
      </c>
      <c r="B1113" t="s">
        <v>3685</v>
      </c>
      <c r="C1113" t="s">
        <v>3688</v>
      </c>
    </row>
    <row r="1114" spans="1:3" x14ac:dyDescent="0.25">
      <c r="A1114" t="s">
        <v>3691</v>
      </c>
      <c r="B1114" t="s">
        <v>3692</v>
      </c>
      <c r="C1114" t="s">
        <v>3690</v>
      </c>
    </row>
    <row r="1115" spans="1:3" x14ac:dyDescent="0.25">
      <c r="A1115" t="s">
        <v>3694</v>
      </c>
      <c r="B1115" t="s">
        <v>3692</v>
      </c>
      <c r="C1115" t="s">
        <v>3693</v>
      </c>
    </row>
    <row r="1116" spans="1:3" x14ac:dyDescent="0.25">
      <c r="A1116" t="s">
        <v>3696</v>
      </c>
      <c r="B1116" t="s">
        <v>3697</v>
      </c>
      <c r="C1116" t="s">
        <v>3695</v>
      </c>
    </row>
    <row r="1117" spans="1:3" x14ac:dyDescent="0.25">
      <c r="A1117" t="s">
        <v>3699</v>
      </c>
      <c r="B1117" t="s">
        <v>3700</v>
      </c>
      <c r="C1117" t="s">
        <v>3698</v>
      </c>
    </row>
    <row r="1118" spans="1:3" x14ac:dyDescent="0.25">
      <c r="A1118" t="s">
        <v>3702</v>
      </c>
      <c r="B1118" t="s">
        <v>3703</v>
      </c>
      <c r="C1118" t="s">
        <v>3701</v>
      </c>
    </row>
    <row r="1119" spans="1:3" x14ac:dyDescent="0.25">
      <c r="A1119" t="s">
        <v>3705</v>
      </c>
      <c r="B1119" t="s">
        <v>3703</v>
      </c>
      <c r="C1119" t="s">
        <v>3704</v>
      </c>
    </row>
    <row r="1120" spans="1:3" x14ac:dyDescent="0.25">
      <c r="A1120" t="s">
        <v>3707</v>
      </c>
      <c r="B1120" t="s">
        <v>3708</v>
      </c>
      <c r="C1120" t="s">
        <v>3706</v>
      </c>
    </row>
    <row r="1121" spans="1:3" x14ac:dyDescent="0.25">
      <c r="A1121" t="s">
        <v>3710</v>
      </c>
      <c r="B1121" t="s">
        <v>3711</v>
      </c>
      <c r="C1121" t="s">
        <v>3709</v>
      </c>
    </row>
    <row r="1122" spans="1:3" x14ac:dyDescent="0.25">
      <c r="A1122" t="s">
        <v>3713</v>
      </c>
      <c r="B1122" t="s">
        <v>3711</v>
      </c>
      <c r="C1122" t="s">
        <v>3712</v>
      </c>
    </row>
    <row r="1123" spans="1:3" x14ac:dyDescent="0.25">
      <c r="A1123" t="s">
        <v>3715</v>
      </c>
      <c r="B1123" t="s">
        <v>3716</v>
      </c>
      <c r="C1123" t="s">
        <v>3714</v>
      </c>
    </row>
    <row r="1124" spans="1:3" x14ac:dyDescent="0.25">
      <c r="A1124" t="s">
        <v>3718</v>
      </c>
      <c r="B1124" t="s">
        <v>3716</v>
      </c>
      <c r="C1124" t="s">
        <v>3717</v>
      </c>
    </row>
    <row r="1125" spans="1:3" x14ac:dyDescent="0.25">
      <c r="A1125" t="s">
        <v>325</v>
      </c>
      <c r="B1125" t="s">
        <v>3719</v>
      </c>
      <c r="C1125" t="s">
        <v>374</v>
      </c>
    </row>
    <row r="1126" spans="1:3" x14ac:dyDescent="0.25">
      <c r="A1126" t="s">
        <v>3721</v>
      </c>
      <c r="B1126" t="s">
        <v>3722</v>
      </c>
      <c r="C1126" t="s">
        <v>3720</v>
      </c>
    </row>
    <row r="1127" spans="1:3" x14ac:dyDescent="0.25">
      <c r="A1127" t="s">
        <v>3724</v>
      </c>
      <c r="B1127" t="s">
        <v>3722</v>
      </c>
      <c r="C1127" t="s">
        <v>3723</v>
      </c>
    </row>
    <row r="1128" spans="1:3" x14ac:dyDescent="0.25">
      <c r="A1128" t="s">
        <v>326</v>
      </c>
      <c r="B1128" t="s">
        <v>3725</v>
      </c>
      <c r="C1128" t="s">
        <v>375</v>
      </c>
    </row>
    <row r="1129" spans="1:3" x14ac:dyDescent="0.25">
      <c r="A1129" t="s">
        <v>3727</v>
      </c>
      <c r="B1129" t="s">
        <v>3728</v>
      </c>
      <c r="C1129" t="s">
        <v>3726</v>
      </c>
    </row>
    <row r="1130" spans="1:3" x14ac:dyDescent="0.25">
      <c r="A1130" t="s">
        <v>3730</v>
      </c>
      <c r="B1130" t="s">
        <v>3728</v>
      </c>
      <c r="C1130" t="s">
        <v>3729</v>
      </c>
    </row>
    <row r="1131" spans="1:3" x14ac:dyDescent="0.25">
      <c r="A1131" t="s">
        <v>327</v>
      </c>
      <c r="B1131" t="s">
        <v>3731</v>
      </c>
      <c r="C1131" t="s">
        <v>376</v>
      </c>
    </row>
    <row r="1132" spans="1:3" x14ac:dyDescent="0.25">
      <c r="A1132" t="s">
        <v>3733</v>
      </c>
      <c r="B1132" t="s">
        <v>3734</v>
      </c>
      <c r="C1132" t="s">
        <v>3732</v>
      </c>
    </row>
    <row r="1133" spans="1:3" x14ac:dyDescent="0.25">
      <c r="A1133" t="s">
        <v>3736</v>
      </c>
      <c r="B1133" t="s">
        <v>3734</v>
      </c>
      <c r="C1133" t="s">
        <v>3735</v>
      </c>
    </row>
    <row r="1134" spans="1:3" x14ac:dyDescent="0.25">
      <c r="A1134" t="s">
        <v>328</v>
      </c>
      <c r="B1134" t="s">
        <v>3737</v>
      </c>
      <c r="C1134" t="s">
        <v>377</v>
      </c>
    </row>
    <row r="1135" spans="1:3" x14ac:dyDescent="0.25">
      <c r="A1135" t="s">
        <v>3738</v>
      </c>
      <c r="B1135" t="s">
        <v>3739</v>
      </c>
      <c r="C1135" t="s">
        <v>3371</v>
      </c>
    </row>
    <row r="1136" spans="1:3" x14ac:dyDescent="0.25">
      <c r="A1136" t="s">
        <v>3740</v>
      </c>
      <c r="B1136" t="s">
        <v>3741</v>
      </c>
      <c r="C1136" t="s">
        <v>3371</v>
      </c>
    </row>
    <row r="1137" spans="1:3" x14ac:dyDescent="0.25">
      <c r="A1137" t="s">
        <v>329</v>
      </c>
      <c r="B1137" t="s">
        <v>3742</v>
      </c>
      <c r="C1137" t="s">
        <v>378</v>
      </c>
    </row>
    <row r="1138" spans="1:3" x14ac:dyDescent="0.25">
      <c r="A1138" t="s">
        <v>330</v>
      </c>
      <c r="B1138" t="s">
        <v>3743</v>
      </c>
      <c r="C1138" t="s">
        <v>379</v>
      </c>
    </row>
    <row r="1139" spans="1:3" x14ac:dyDescent="0.25">
      <c r="A1139" t="s">
        <v>3745</v>
      </c>
      <c r="B1139" t="s">
        <v>3746</v>
      </c>
      <c r="C1139" t="s">
        <v>3744</v>
      </c>
    </row>
    <row r="1140" spans="1:3" x14ac:dyDescent="0.25">
      <c r="A1140" t="s">
        <v>3748</v>
      </c>
      <c r="B1140" t="s">
        <v>3749</v>
      </c>
      <c r="C1140" t="s">
        <v>3747</v>
      </c>
    </row>
    <row r="1141" spans="1:3" x14ac:dyDescent="0.25">
      <c r="A1141" t="s">
        <v>331</v>
      </c>
      <c r="B1141" t="s">
        <v>3750</v>
      </c>
      <c r="C1141" t="s">
        <v>380</v>
      </c>
    </row>
    <row r="1142" spans="1:3" x14ac:dyDescent="0.25">
      <c r="A1142" t="s">
        <v>3752</v>
      </c>
      <c r="B1142" t="s">
        <v>3753</v>
      </c>
      <c r="C1142" t="s">
        <v>3751</v>
      </c>
    </row>
    <row r="1143" spans="1:3" x14ac:dyDescent="0.25">
      <c r="A1143" t="s">
        <v>3755</v>
      </c>
      <c r="B1143" t="s">
        <v>3756</v>
      </c>
      <c r="C1143" t="s">
        <v>3754</v>
      </c>
    </row>
    <row r="1144" spans="1:3" x14ac:dyDescent="0.25">
      <c r="A1144" t="s">
        <v>332</v>
      </c>
      <c r="B1144" t="s">
        <v>3757</v>
      </c>
      <c r="C1144" t="s">
        <v>381</v>
      </c>
    </row>
    <row r="1145" spans="1:3" x14ac:dyDescent="0.25">
      <c r="A1145" t="s">
        <v>3759</v>
      </c>
      <c r="B1145" t="s">
        <v>3760</v>
      </c>
      <c r="C1145" t="s">
        <v>3758</v>
      </c>
    </row>
    <row r="1146" spans="1:3" x14ac:dyDescent="0.25">
      <c r="A1146" t="s">
        <v>3762</v>
      </c>
      <c r="B1146" t="s">
        <v>3763</v>
      </c>
      <c r="C1146" t="s">
        <v>3761</v>
      </c>
    </row>
    <row r="1147" spans="1:3" x14ac:dyDescent="0.25">
      <c r="A1147" t="s">
        <v>3765</v>
      </c>
      <c r="B1147" t="s">
        <v>3766</v>
      </c>
      <c r="C1147" t="s">
        <v>3764</v>
      </c>
    </row>
    <row r="1148" spans="1:3" x14ac:dyDescent="0.25">
      <c r="A1148" t="s">
        <v>3768</v>
      </c>
      <c r="B1148" t="s">
        <v>3769</v>
      </c>
      <c r="C1148" t="s">
        <v>3767</v>
      </c>
    </row>
    <row r="1149" spans="1:3" x14ac:dyDescent="0.25">
      <c r="A1149" t="s">
        <v>3771</v>
      </c>
      <c r="B1149" t="s">
        <v>3772</v>
      </c>
      <c r="C1149" t="s">
        <v>3770</v>
      </c>
    </row>
    <row r="1150" spans="1:3" x14ac:dyDescent="0.25">
      <c r="A1150" t="s">
        <v>3774</v>
      </c>
      <c r="B1150" t="s">
        <v>3775</v>
      </c>
      <c r="C1150" t="s">
        <v>3773</v>
      </c>
    </row>
    <row r="1151" spans="1:3" x14ac:dyDescent="0.25">
      <c r="A1151" t="s">
        <v>3777</v>
      </c>
      <c r="B1151" t="s">
        <v>3778</v>
      </c>
      <c r="C1151" t="s">
        <v>3776</v>
      </c>
    </row>
    <row r="1152" spans="1:3" x14ac:dyDescent="0.25">
      <c r="A1152" t="s">
        <v>3780</v>
      </c>
      <c r="B1152" t="s">
        <v>3781</v>
      </c>
      <c r="C1152" t="s">
        <v>3779</v>
      </c>
    </row>
    <row r="1153" spans="1:3" x14ac:dyDescent="0.25">
      <c r="A1153" t="s">
        <v>3783</v>
      </c>
      <c r="B1153" t="s">
        <v>3784</v>
      </c>
      <c r="C1153" t="s">
        <v>3782</v>
      </c>
    </row>
    <row r="1154" spans="1:3" x14ac:dyDescent="0.25">
      <c r="A1154" t="s">
        <v>3786</v>
      </c>
      <c r="B1154" t="s">
        <v>3787</v>
      </c>
      <c r="C1154" t="s">
        <v>3785</v>
      </c>
    </row>
    <row r="1155" spans="1:3" x14ac:dyDescent="0.25">
      <c r="A1155" t="s">
        <v>333</v>
      </c>
      <c r="B1155" t="s">
        <v>3788</v>
      </c>
      <c r="C1155" t="s">
        <v>382</v>
      </c>
    </row>
    <row r="1156" spans="1:3" x14ac:dyDescent="0.25">
      <c r="A1156" t="s">
        <v>3790</v>
      </c>
      <c r="B1156" t="s">
        <v>3791</v>
      </c>
      <c r="C1156" t="s">
        <v>3789</v>
      </c>
    </row>
    <row r="1157" spans="1:3" x14ac:dyDescent="0.25">
      <c r="A1157" t="s">
        <v>334</v>
      </c>
      <c r="B1157" t="s">
        <v>3792</v>
      </c>
      <c r="C1157" t="s">
        <v>383</v>
      </c>
    </row>
    <row r="1158" spans="1:3" x14ac:dyDescent="0.25">
      <c r="A1158" t="s">
        <v>3794</v>
      </c>
      <c r="B1158" t="s">
        <v>534</v>
      </c>
      <c r="C1158" t="s">
        <v>3793</v>
      </c>
    </row>
    <row r="1159" spans="1:3" x14ac:dyDescent="0.25">
      <c r="A1159" t="s">
        <v>3796</v>
      </c>
      <c r="B1159" t="s">
        <v>3797</v>
      </c>
      <c r="C1159" t="s">
        <v>3795</v>
      </c>
    </row>
    <row r="1160" spans="1:3" x14ac:dyDescent="0.25">
      <c r="A1160" t="s">
        <v>335</v>
      </c>
      <c r="B1160" t="s">
        <v>3798</v>
      </c>
      <c r="C1160" t="s">
        <v>384</v>
      </c>
    </row>
    <row r="1161" spans="1:3" x14ac:dyDescent="0.25">
      <c r="A1161" t="s">
        <v>3800</v>
      </c>
      <c r="B1161" t="s">
        <v>535</v>
      </c>
      <c r="C1161" t="s">
        <v>3799</v>
      </c>
    </row>
    <row r="1162" spans="1:3" x14ac:dyDescent="0.25">
      <c r="A1162" t="s">
        <v>3802</v>
      </c>
      <c r="B1162" t="s">
        <v>3803</v>
      </c>
      <c r="C1162" t="s">
        <v>3801</v>
      </c>
    </row>
    <row r="1163" spans="1:3" x14ac:dyDescent="0.25">
      <c r="A1163" t="s">
        <v>336</v>
      </c>
      <c r="B1163" t="s">
        <v>3804</v>
      </c>
      <c r="C1163" t="s">
        <v>385</v>
      </c>
    </row>
    <row r="1164" spans="1:3" x14ac:dyDescent="0.25">
      <c r="A1164" t="s">
        <v>3806</v>
      </c>
      <c r="B1164" t="s">
        <v>536</v>
      </c>
      <c r="C1164" t="s">
        <v>3805</v>
      </c>
    </row>
    <row r="1165" spans="1:3" x14ac:dyDescent="0.25">
      <c r="A1165" t="s">
        <v>3808</v>
      </c>
      <c r="B1165" t="s">
        <v>3809</v>
      </c>
      <c r="C1165" t="s">
        <v>3807</v>
      </c>
    </row>
    <row r="1166" spans="1:3" x14ac:dyDescent="0.25">
      <c r="A1166" t="s">
        <v>337</v>
      </c>
      <c r="B1166" t="s">
        <v>3810</v>
      </c>
      <c r="C1166" t="s">
        <v>386</v>
      </c>
    </row>
    <row r="1167" spans="1:3" x14ac:dyDescent="0.25">
      <c r="A1167" t="s">
        <v>3812</v>
      </c>
      <c r="B1167" t="s">
        <v>537</v>
      </c>
      <c r="C1167" t="s">
        <v>3811</v>
      </c>
    </row>
    <row r="1168" spans="1:3" x14ac:dyDescent="0.25">
      <c r="A1168" t="s">
        <v>338</v>
      </c>
      <c r="B1168" t="s">
        <v>3813</v>
      </c>
      <c r="C1168" t="s">
        <v>387</v>
      </c>
    </row>
    <row r="1169" spans="1:3" x14ac:dyDescent="0.25">
      <c r="A1169" t="s">
        <v>339</v>
      </c>
      <c r="B1169" t="s">
        <v>3814</v>
      </c>
      <c r="C1169" t="s">
        <v>388</v>
      </c>
    </row>
    <row r="1170" spans="1:3" x14ac:dyDescent="0.25">
      <c r="A1170" t="s">
        <v>340</v>
      </c>
      <c r="B1170" t="s">
        <v>3815</v>
      </c>
      <c r="C1170" t="s">
        <v>389</v>
      </c>
    </row>
    <row r="1171" spans="1:3" x14ac:dyDescent="0.25">
      <c r="A1171" t="s">
        <v>341</v>
      </c>
      <c r="B1171" t="s">
        <v>3816</v>
      </c>
      <c r="C1171" t="s">
        <v>390</v>
      </c>
    </row>
    <row r="1172" spans="1:3" x14ac:dyDescent="0.25">
      <c r="A1172" t="s">
        <v>430</v>
      </c>
      <c r="B1172" t="s">
        <v>431</v>
      </c>
      <c r="C1172" t="s">
        <v>3817</v>
      </c>
    </row>
    <row r="1173" spans="1:3" x14ac:dyDescent="0.25">
      <c r="A1173" t="s">
        <v>432</v>
      </c>
      <c r="B1173" t="s">
        <v>433</v>
      </c>
      <c r="C1173" t="s">
        <v>3818</v>
      </c>
    </row>
    <row r="1174" spans="1:3" x14ac:dyDescent="0.25">
      <c r="A1174" t="s">
        <v>434</v>
      </c>
      <c r="B1174" t="s">
        <v>435</v>
      </c>
      <c r="C1174" t="s">
        <v>3819</v>
      </c>
    </row>
    <row r="1175" spans="1:3" x14ac:dyDescent="0.25">
      <c r="A1175" t="s">
        <v>502</v>
      </c>
      <c r="B1175" t="s">
        <v>3821</v>
      </c>
      <c r="C1175" t="s">
        <v>3820</v>
      </c>
    </row>
    <row r="1176" spans="1:3" x14ac:dyDescent="0.25">
      <c r="A1176" t="s">
        <v>501</v>
      </c>
      <c r="B1176" t="s">
        <v>3823</v>
      </c>
      <c r="C1176" t="s">
        <v>3822</v>
      </c>
    </row>
    <row r="1177" spans="1:3" x14ac:dyDescent="0.25">
      <c r="A1177" t="s">
        <v>3825</v>
      </c>
      <c r="B1177" t="s">
        <v>3826</v>
      </c>
      <c r="C1177" t="s">
        <v>3824</v>
      </c>
    </row>
    <row r="1178" spans="1:3" x14ac:dyDescent="0.25">
      <c r="A1178" t="s">
        <v>475</v>
      </c>
      <c r="B1178" t="s">
        <v>3828</v>
      </c>
      <c r="C1178" t="s">
        <v>3827</v>
      </c>
    </row>
    <row r="1179" spans="1:3" x14ac:dyDescent="0.25">
      <c r="A1179" t="s">
        <v>500</v>
      </c>
      <c r="B1179" t="s">
        <v>3830</v>
      </c>
      <c r="C1179" t="s">
        <v>3829</v>
      </c>
    </row>
    <row r="1180" spans="1:3" x14ac:dyDescent="0.25">
      <c r="A1180" t="s">
        <v>3832</v>
      </c>
      <c r="B1180" t="s">
        <v>3833</v>
      </c>
      <c r="C1180" t="s">
        <v>3831</v>
      </c>
    </row>
    <row r="1181" spans="1:3" x14ac:dyDescent="0.25">
      <c r="A1181" t="s">
        <v>476</v>
      </c>
      <c r="B1181" t="s">
        <v>3835</v>
      </c>
      <c r="C1181" t="s">
        <v>3834</v>
      </c>
    </row>
    <row r="1182" spans="1:3" x14ac:dyDescent="0.25">
      <c r="A1182" t="s">
        <v>3837</v>
      </c>
      <c r="B1182" t="s">
        <v>3838</v>
      </c>
      <c r="C1182" t="s">
        <v>3836</v>
      </c>
    </row>
    <row r="1183" spans="1:3" x14ac:dyDescent="0.25">
      <c r="A1183" t="s">
        <v>477</v>
      </c>
      <c r="B1183" t="s">
        <v>3840</v>
      </c>
      <c r="C1183" t="s">
        <v>3839</v>
      </c>
    </row>
    <row r="1184" spans="1:3" x14ac:dyDescent="0.25">
      <c r="A1184" t="s">
        <v>3842</v>
      </c>
      <c r="B1184" t="s">
        <v>3843</v>
      </c>
      <c r="C1184" t="s">
        <v>3841</v>
      </c>
    </row>
    <row r="1185" spans="1:3" x14ac:dyDescent="0.25">
      <c r="A1185" t="s">
        <v>478</v>
      </c>
      <c r="B1185" t="s">
        <v>3845</v>
      </c>
      <c r="C1185" t="s">
        <v>3844</v>
      </c>
    </row>
    <row r="1186" spans="1:3" x14ac:dyDescent="0.25">
      <c r="A1186" t="s">
        <v>608</v>
      </c>
      <c r="B1186" t="s">
        <v>609</v>
      </c>
      <c r="C1186" t="s">
        <v>3846</v>
      </c>
    </row>
    <row r="1187" spans="1:3" x14ac:dyDescent="0.25">
      <c r="A1187" t="s">
        <v>3848</v>
      </c>
      <c r="B1187" t="s">
        <v>3849</v>
      </c>
      <c r="C1187" t="s">
        <v>3847</v>
      </c>
    </row>
    <row r="1188" spans="1:3" x14ac:dyDescent="0.25">
      <c r="A1188" t="s">
        <v>482</v>
      </c>
      <c r="B1188" t="s">
        <v>3851</v>
      </c>
      <c r="C1188" t="s">
        <v>3850</v>
      </c>
    </row>
    <row r="1189" spans="1:3" x14ac:dyDescent="0.25">
      <c r="A1189" t="s">
        <v>297</v>
      </c>
      <c r="B1189" t="s">
        <v>558</v>
      </c>
      <c r="C1189" t="s">
        <v>322</v>
      </c>
    </row>
    <row r="1190" spans="1:3" x14ac:dyDescent="0.25">
      <c r="A1190" t="s">
        <v>296</v>
      </c>
      <c r="B1190" t="s">
        <v>557</v>
      </c>
      <c r="C1190" t="s">
        <v>323</v>
      </c>
    </row>
    <row r="1191" spans="1:3" x14ac:dyDescent="0.25">
      <c r="A1191" t="s">
        <v>295</v>
      </c>
      <c r="B1191" t="s">
        <v>556</v>
      </c>
      <c r="C1191" t="s">
        <v>324</v>
      </c>
    </row>
    <row r="1192" spans="1:3" x14ac:dyDescent="0.25">
      <c r="A1192" t="s">
        <v>3852</v>
      </c>
      <c r="B1192" t="s">
        <v>3853</v>
      </c>
      <c r="C1192" t="s">
        <v>3371</v>
      </c>
    </row>
    <row r="1193" spans="1:3" x14ac:dyDescent="0.25">
      <c r="A1193" t="s">
        <v>484</v>
      </c>
      <c r="B1193" t="s">
        <v>485</v>
      </c>
      <c r="C1193" t="s">
        <v>3854</v>
      </c>
    </row>
    <row r="1194" spans="1:3" x14ac:dyDescent="0.25">
      <c r="A1194" t="s">
        <v>486</v>
      </c>
      <c r="B1194" t="s">
        <v>487</v>
      </c>
      <c r="C1194" t="s">
        <v>3855</v>
      </c>
    </row>
    <row r="1195" spans="1:3" x14ac:dyDescent="0.25">
      <c r="A1195" t="s">
        <v>488</v>
      </c>
      <c r="B1195" t="s">
        <v>489</v>
      </c>
      <c r="C1195" t="s">
        <v>3856</v>
      </c>
    </row>
    <row r="1196" spans="1:3" x14ac:dyDescent="0.25">
      <c r="A1196" t="s">
        <v>3858</v>
      </c>
      <c r="B1196" t="s">
        <v>3859</v>
      </c>
      <c r="C1196" t="s">
        <v>3857</v>
      </c>
    </row>
    <row r="1197" spans="1:3" x14ac:dyDescent="0.25">
      <c r="A1197" t="s">
        <v>3861</v>
      </c>
      <c r="B1197" t="s">
        <v>3862</v>
      </c>
      <c r="C1197" t="s">
        <v>3860</v>
      </c>
    </row>
    <row r="1198" spans="1:3" x14ac:dyDescent="0.25">
      <c r="A1198" t="s">
        <v>3864</v>
      </c>
      <c r="B1198" t="s">
        <v>3865</v>
      </c>
      <c r="C1198" t="s">
        <v>3863</v>
      </c>
    </row>
    <row r="1199" spans="1:3" x14ac:dyDescent="0.25">
      <c r="A1199" t="s">
        <v>110</v>
      </c>
      <c r="B1199" t="s">
        <v>3865</v>
      </c>
      <c r="C1199" t="s">
        <v>3866</v>
      </c>
    </row>
    <row r="1200" spans="1:3" x14ac:dyDescent="0.25">
      <c r="A1200" t="s">
        <v>993</v>
      </c>
      <c r="B1200" t="s">
        <v>994</v>
      </c>
      <c r="C1200" t="s">
        <v>3867</v>
      </c>
    </row>
    <row r="1201" spans="1:3" x14ac:dyDescent="0.25">
      <c r="A1201" t="s">
        <v>3869</v>
      </c>
      <c r="B1201" t="s">
        <v>3870</v>
      </c>
      <c r="C1201" t="s">
        <v>3868</v>
      </c>
    </row>
    <row r="1202" spans="1:3" x14ac:dyDescent="0.25">
      <c r="A1202" t="s">
        <v>3872</v>
      </c>
      <c r="B1202" t="s">
        <v>3873</v>
      </c>
      <c r="C1202" t="s">
        <v>3871</v>
      </c>
    </row>
    <row r="1203" spans="1:3" x14ac:dyDescent="0.25">
      <c r="A1203" t="s">
        <v>112</v>
      </c>
      <c r="B1203" t="s">
        <v>3875</v>
      </c>
      <c r="C1203" t="s">
        <v>3874</v>
      </c>
    </row>
    <row r="1204" spans="1:3" x14ac:dyDescent="0.25">
      <c r="A1204" t="s">
        <v>3877</v>
      </c>
      <c r="B1204" t="s">
        <v>3878</v>
      </c>
      <c r="C1204" t="s">
        <v>3876</v>
      </c>
    </row>
    <row r="1205" spans="1:3" x14ac:dyDescent="0.25">
      <c r="A1205" t="s">
        <v>3880</v>
      </c>
      <c r="B1205" t="s">
        <v>3878</v>
      </c>
      <c r="C1205" t="s">
        <v>3879</v>
      </c>
    </row>
    <row r="1206" spans="1:3" x14ac:dyDescent="0.25">
      <c r="A1206" t="s">
        <v>3882</v>
      </c>
      <c r="B1206" t="s">
        <v>3883</v>
      </c>
      <c r="C1206" t="s">
        <v>3881</v>
      </c>
    </row>
    <row r="1207" spans="1:3" x14ac:dyDescent="0.25">
      <c r="A1207" t="s">
        <v>292</v>
      </c>
      <c r="B1207" t="s">
        <v>3885</v>
      </c>
      <c r="C1207" t="s">
        <v>3884</v>
      </c>
    </row>
    <row r="1208" spans="1:3" x14ac:dyDescent="0.25">
      <c r="A1208" t="s">
        <v>106</v>
      </c>
      <c r="B1208" t="s">
        <v>3887</v>
      </c>
      <c r="C1208" t="s">
        <v>3886</v>
      </c>
    </row>
    <row r="1209" spans="1:3" x14ac:dyDescent="0.25">
      <c r="A1209" t="s">
        <v>293</v>
      </c>
      <c r="B1209" t="s">
        <v>3889</v>
      </c>
      <c r="C1209" t="s">
        <v>3888</v>
      </c>
    </row>
    <row r="1210" spans="1:3" x14ac:dyDescent="0.25">
      <c r="A1210" t="s">
        <v>294</v>
      </c>
      <c r="B1210" t="s">
        <v>3891</v>
      </c>
      <c r="C1210" t="s">
        <v>3890</v>
      </c>
    </row>
    <row r="1211" spans="1:3" x14ac:dyDescent="0.25">
      <c r="A1211" t="s">
        <v>3893</v>
      </c>
      <c r="B1211" t="s">
        <v>3894</v>
      </c>
      <c r="C1211" t="s">
        <v>3892</v>
      </c>
    </row>
    <row r="1212" spans="1:3" x14ac:dyDescent="0.25">
      <c r="A1212" t="s">
        <v>107</v>
      </c>
      <c r="B1212" t="s">
        <v>3896</v>
      </c>
      <c r="C1212" t="s">
        <v>3895</v>
      </c>
    </row>
    <row r="1213" spans="1:3" x14ac:dyDescent="0.25">
      <c r="A1213" t="s">
        <v>108</v>
      </c>
      <c r="B1213" t="s">
        <v>3898</v>
      </c>
      <c r="C1213" t="s">
        <v>3897</v>
      </c>
    </row>
    <row r="1214" spans="1:3" x14ac:dyDescent="0.25">
      <c r="A1214" t="s">
        <v>109</v>
      </c>
      <c r="B1214" t="s">
        <v>3900</v>
      </c>
      <c r="C1214" t="s">
        <v>3899</v>
      </c>
    </row>
    <row r="1215" spans="1:3" x14ac:dyDescent="0.25">
      <c r="A1215" t="s">
        <v>3902</v>
      </c>
      <c r="B1215" t="s">
        <v>3903</v>
      </c>
      <c r="C1215" t="s">
        <v>3901</v>
      </c>
    </row>
    <row r="1216" spans="1:3" x14ac:dyDescent="0.25">
      <c r="A1216" t="s">
        <v>456</v>
      </c>
      <c r="B1216" t="s">
        <v>3905</v>
      </c>
      <c r="C1216" t="s">
        <v>3904</v>
      </c>
    </row>
    <row r="1217" spans="1:3" x14ac:dyDescent="0.25">
      <c r="A1217" t="s">
        <v>3907</v>
      </c>
      <c r="B1217" t="s">
        <v>3908</v>
      </c>
      <c r="C1217" t="s">
        <v>3906</v>
      </c>
    </row>
    <row r="1218" spans="1:3" x14ac:dyDescent="0.25">
      <c r="A1218" t="s">
        <v>457</v>
      </c>
      <c r="B1218" t="s">
        <v>3910</v>
      </c>
      <c r="C1218" t="s">
        <v>3909</v>
      </c>
    </row>
    <row r="1219" spans="1:3" x14ac:dyDescent="0.25">
      <c r="A1219" t="s">
        <v>3912</v>
      </c>
      <c r="B1219" t="s">
        <v>3913</v>
      </c>
      <c r="C1219" t="s">
        <v>3911</v>
      </c>
    </row>
    <row r="1220" spans="1:3" x14ac:dyDescent="0.25">
      <c r="A1220" t="s">
        <v>458</v>
      </c>
      <c r="B1220" t="s">
        <v>3915</v>
      </c>
      <c r="C1220" t="s">
        <v>3914</v>
      </c>
    </row>
    <row r="1221" spans="1:3" x14ac:dyDescent="0.25">
      <c r="A1221" t="s">
        <v>3917</v>
      </c>
      <c r="B1221" t="s">
        <v>3918</v>
      </c>
      <c r="C1221" t="s">
        <v>3916</v>
      </c>
    </row>
    <row r="1222" spans="1:3" x14ac:dyDescent="0.25">
      <c r="A1222" t="s">
        <v>459</v>
      </c>
      <c r="B1222" t="s">
        <v>3920</v>
      </c>
      <c r="C1222" t="s">
        <v>3919</v>
      </c>
    </row>
    <row r="1223" spans="1:3" x14ac:dyDescent="0.25">
      <c r="A1223" t="s">
        <v>3922</v>
      </c>
      <c r="B1223" t="s">
        <v>3923</v>
      </c>
      <c r="C1223" t="s">
        <v>3921</v>
      </c>
    </row>
    <row r="1224" spans="1:3" x14ac:dyDescent="0.25">
      <c r="A1224" t="s">
        <v>3925</v>
      </c>
      <c r="B1224" t="s">
        <v>3926</v>
      </c>
      <c r="C1224" t="s">
        <v>3924</v>
      </c>
    </row>
    <row r="1225" spans="1:3" x14ac:dyDescent="0.25">
      <c r="A1225" t="s">
        <v>111</v>
      </c>
      <c r="B1225" t="s">
        <v>3928</v>
      </c>
      <c r="C1225" t="s">
        <v>3927</v>
      </c>
    </row>
    <row r="1226" spans="1:3" x14ac:dyDescent="0.25">
      <c r="A1226" t="s">
        <v>610</v>
      </c>
      <c r="B1226" t="s">
        <v>3930</v>
      </c>
      <c r="C1226" t="s">
        <v>3929</v>
      </c>
    </row>
    <row r="1227" spans="1:3" x14ac:dyDescent="0.25">
      <c r="A1227" t="s">
        <v>612</v>
      </c>
      <c r="B1227" t="s">
        <v>3932</v>
      </c>
      <c r="C1227" t="s">
        <v>3931</v>
      </c>
    </row>
    <row r="1228" spans="1:3" x14ac:dyDescent="0.25">
      <c r="A1228" t="s">
        <v>614</v>
      </c>
      <c r="B1228" t="s">
        <v>3934</v>
      </c>
      <c r="C1228" t="s">
        <v>3933</v>
      </c>
    </row>
    <row r="1229" spans="1:3" x14ac:dyDescent="0.25">
      <c r="A1229" t="s">
        <v>991</v>
      </c>
      <c r="B1229" t="s">
        <v>992</v>
      </c>
      <c r="C1229" t="s">
        <v>3935</v>
      </c>
    </row>
    <row r="1230" spans="1:3" x14ac:dyDescent="0.25">
      <c r="A1230" t="s">
        <v>3937</v>
      </c>
      <c r="B1230" t="s">
        <v>3826</v>
      </c>
      <c r="C1230" t="s">
        <v>3936</v>
      </c>
    </row>
    <row r="1231" spans="1:3" x14ac:dyDescent="0.25">
      <c r="A1231" t="s">
        <v>3939</v>
      </c>
      <c r="B1231" t="s">
        <v>3833</v>
      </c>
      <c r="C1231" t="s">
        <v>3938</v>
      </c>
    </row>
    <row r="1232" spans="1:3" x14ac:dyDescent="0.25">
      <c r="A1232" t="s">
        <v>3941</v>
      </c>
      <c r="B1232" t="s">
        <v>3838</v>
      </c>
      <c r="C1232" t="s">
        <v>3940</v>
      </c>
    </row>
    <row r="1233" spans="1:3" x14ac:dyDescent="0.25">
      <c r="A1233" t="s">
        <v>3943</v>
      </c>
      <c r="B1233" t="s">
        <v>3843</v>
      </c>
      <c r="C1233" t="s">
        <v>3942</v>
      </c>
    </row>
    <row r="1234" spans="1:3" x14ac:dyDescent="0.25">
      <c r="A1234" t="s">
        <v>3945</v>
      </c>
      <c r="B1234" t="s">
        <v>3946</v>
      </c>
      <c r="C1234" t="s">
        <v>3944</v>
      </c>
    </row>
    <row r="1235" spans="1:3" x14ac:dyDescent="0.25">
      <c r="A1235" t="s">
        <v>3948</v>
      </c>
      <c r="B1235" t="s">
        <v>3949</v>
      </c>
      <c r="C1235" t="s">
        <v>3947</v>
      </c>
    </row>
    <row r="1236" spans="1:3" x14ac:dyDescent="0.25">
      <c r="A1236" t="s">
        <v>3951</v>
      </c>
      <c r="B1236" t="s">
        <v>3952</v>
      </c>
      <c r="C1236" t="s">
        <v>3950</v>
      </c>
    </row>
    <row r="1237" spans="1:3" x14ac:dyDescent="0.25">
      <c r="A1237" t="s">
        <v>3954</v>
      </c>
      <c r="B1237" t="s">
        <v>3955</v>
      </c>
      <c r="C1237" t="s">
        <v>3953</v>
      </c>
    </row>
    <row r="1238" spans="1:3" x14ac:dyDescent="0.25">
      <c r="A1238" t="s">
        <v>3957</v>
      </c>
      <c r="B1238" t="s">
        <v>3958</v>
      </c>
      <c r="C1238" t="s">
        <v>3956</v>
      </c>
    </row>
    <row r="1239" spans="1:3" x14ac:dyDescent="0.25">
      <c r="A1239" t="s">
        <v>3960</v>
      </c>
      <c r="B1239" t="s">
        <v>3961</v>
      </c>
      <c r="C1239" t="s">
        <v>3959</v>
      </c>
    </row>
    <row r="1240" spans="1:3" x14ac:dyDescent="0.25">
      <c r="A1240" t="s">
        <v>3963</v>
      </c>
      <c r="B1240" t="s">
        <v>3964</v>
      </c>
      <c r="C1240" t="s">
        <v>3962</v>
      </c>
    </row>
    <row r="1241" spans="1:3" x14ac:dyDescent="0.25">
      <c r="A1241" t="s">
        <v>3966</v>
      </c>
      <c r="B1241" t="s">
        <v>3967</v>
      </c>
      <c r="C1241" t="s">
        <v>3965</v>
      </c>
    </row>
    <row r="1242" spans="1:3" x14ac:dyDescent="0.25">
      <c r="A1242" t="s">
        <v>3969</v>
      </c>
      <c r="B1242" t="s">
        <v>3970</v>
      </c>
      <c r="C1242" t="s">
        <v>3968</v>
      </c>
    </row>
    <row r="1243" spans="1:3" x14ac:dyDescent="0.25">
      <c r="A1243" t="s">
        <v>3972</v>
      </c>
      <c r="B1243" t="s">
        <v>3973</v>
      </c>
      <c r="C1243" t="s">
        <v>3971</v>
      </c>
    </row>
    <row r="1244" spans="1:3" x14ac:dyDescent="0.25">
      <c r="A1244" t="s">
        <v>3975</v>
      </c>
      <c r="B1244" t="s">
        <v>3976</v>
      </c>
      <c r="C1244" t="s">
        <v>3974</v>
      </c>
    </row>
    <row r="1245" spans="1:3" x14ac:dyDescent="0.25">
      <c r="A1245" t="s">
        <v>3978</v>
      </c>
      <c r="B1245" t="s">
        <v>3979</v>
      </c>
      <c r="C1245" t="s">
        <v>3977</v>
      </c>
    </row>
    <row r="1246" spans="1:3" x14ac:dyDescent="0.25">
      <c r="A1246" t="s">
        <v>3981</v>
      </c>
      <c r="B1246" t="s">
        <v>3982</v>
      </c>
      <c r="C1246" t="s">
        <v>3980</v>
      </c>
    </row>
    <row r="1247" spans="1:3" x14ac:dyDescent="0.25">
      <c r="A1247" t="s">
        <v>3984</v>
      </c>
      <c r="B1247" t="s">
        <v>3985</v>
      </c>
      <c r="C1247" t="s">
        <v>3983</v>
      </c>
    </row>
    <row r="1248" spans="1:3" x14ac:dyDescent="0.25">
      <c r="A1248" t="s">
        <v>3987</v>
      </c>
      <c r="B1248" t="s">
        <v>3988</v>
      </c>
      <c r="C1248" t="s">
        <v>3986</v>
      </c>
    </row>
    <row r="1249" spans="1:3" x14ac:dyDescent="0.25">
      <c r="A1249" t="s">
        <v>3990</v>
      </c>
      <c r="B1249" t="s">
        <v>3991</v>
      </c>
      <c r="C1249" t="s">
        <v>3989</v>
      </c>
    </row>
    <row r="1250" spans="1:3" x14ac:dyDescent="0.25">
      <c r="A1250" t="s">
        <v>3993</v>
      </c>
      <c r="B1250" t="s">
        <v>3994</v>
      </c>
      <c r="C1250" t="s">
        <v>3992</v>
      </c>
    </row>
    <row r="1251" spans="1:3" x14ac:dyDescent="0.25">
      <c r="A1251" t="s">
        <v>3996</v>
      </c>
      <c r="B1251" t="s">
        <v>3997</v>
      </c>
      <c r="C1251" t="s">
        <v>3995</v>
      </c>
    </row>
    <row r="1252" spans="1:3" x14ac:dyDescent="0.25">
      <c r="A1252" t="s">
        <v>3999</v>
      </c>
      <c r="B1252" t="s">
        <v>4000</v>
      </c>
      <c r="C1252" t="s">
        <v>3998</v>
      </c>
    </row>
    <row r="1253" spans="1:3" x14ac:dyDescent="0.25">
      <c r="A1253" t="s">
        <v>4002</v>
      </c>
      <c r="B1253" t="s">
        <v>4003</v>
      </c>
      <c r="C1253" t="s">
        <v>4001</v>
      </c>
    </row>
    <row r="1254" spans="1:3" x14ac:dyDescent="0.25">
      <c r="A1254" t="s">
        <v>4005</v>
      </c>
      <c r="B1254" t="s">
        <v>4006</v>
      </c>
      <c r="C1254" t="s">
        <v>4004</v>
      </c>
    </row>
    <row r="1255" spans="1:3" x14ac:dyDescent="0.25">
      <c r="A1255" t="s">
        <v>4008</v>
      </c>
      <c r="B1255" t="s">
        <v>4009</v>
      </c>
      <c r="C1255" t="s">
        <v>4007</v>
      </c>
    </row>
    <row r="1256" spans="1:3" x14ac:dyDescent="0.25">
      <c r="A1256" t="s">
        <v>4011</v>
      </c>
      <c r="B1256" t="s">
        <v>4012</v>
      </c>
      <c r="C1256" t="s">
        <v>4010</v>
      </c>
    </row>
    <row r="1257" spans="1:3" x14ac:dyDescent="0.25">
      <c r="A1257" t="s">
        <v>4014</v>
      </c>
      <c r="B1257" t="s">
        <v>4015</v>
      </c>
      <c r="C1257" t="s">
        <v>4013</v>
      </c>
    </row>
    <row r="1258" spans="1:3" x14ac:dyDescent="0.25">
      <c r="A1258" t="s">
        <v>4017</v>
      </c>
      <c r="B1258" t="s">
        <v>4018</v>
      </c>
      <c r="C1258" t="s">
        <v>4016</v>
      </c>
    </row>
    <row r="1259" spans="1:3" x14ac:dyDescent="0.25">
      <c r="A1259" t="s">
        <v>4020</v>
      </c>
      <c r="B1259" t="s">
        <v>4021</v>
      </c>
      <c r="C1259" t="s">
        <v>4019</v>
      </c>
    </row>
    <row r="1260" spans="1:3" x14ac:dyDescent="0.25">
      <c r="A1260" t="s">
        <v>4023</v>
      </c>
      <c r="B1260" t="s">
        <v>4024</v>
      </c>
      <c r="C1260" t="s">
        <v>4022</v>
      </c>
    </row>
    <row r="1261" spans="1:3" x14ac:dyDescent="0.25">
      <c r="A1261" t="s">
        <v>4026</v>
      </c>
      <c r="B1261" t="s">
        <v>4027</v>
      </c>
      <c r="C1261" t="s">
        <v>4025</v>
      </c>
    </row>
    <row r="1262" spans="1:3" x14ac:dyDescent="0.25">
      <c r="A1262" t="s">
        <v>4029</v>
      </c>
      <c r="B1262" t="s">
        <v>4030</v>
      </c>
      <c r="C1262" t="s">
        <v>4028</v>
      </c>
    </row>
    <row r="1263" spans="1:3" x14ac:dyDescent="0.25">
      <c r="A1263" t="s">
        <v>96</v>
      </c>
      <c r="B1263" t="s">
        <v>616</v>
      </c>
      <c r="C1263" t="s">
        <v>4031</v>
      </c>
    </row>
    <row r="1264" spans="1:3" x14ac:dyDescent="0.25">
      <c r="A1264" t="s">
        <v>100</v>
      </c>
      <c r="B1264" t="s">
        <v>617</v>
      </c>
      <c r="C1264" t="s">
        <v>4032</v>
      </c>
    </row>
    <row r="1265" spans="1:3" x14ac:dyDescent="0.25">
      <c r="A1265" t="s">
        <v>400</v>
      </c>
      <c r="B1265" t="s">
        <v>401</v>
      </c>
      <c r="C1265" t="s">
        <v>4033</v>
      </c>
    </row>
    <row r="1266" spans="1:3" x14ac:dyDescent="0.25">
      <c r="A1266" t="s">
        <v>4035</v>
      </c>
      <c r="B1266" t="s">
        <v>4036</v>
      </c>
      <c r="C1266" t="s">
        <v>4034</v>
      </c>
    </row>
    <row r="1267" spans="1:3" x14ac:dyDescent="0.25">
      <c r="A1267" t="s">
        <v>4038</v>
      </c>
      <c r="B1267" t="s">
        <v>4039</v>
      </c>
      <c r="C1267" t="s">
        <v>4037</v>
      </c>
    </row>
    <row r="1268" spans="1:3" x14ac:dyDescent="0.25">
      <c r="A1268" t="s">
        <v>402</v>
      </c>
      <c r="B1268" t="s">
        <v>403</v>
      </c>
      <c r="C1268" t="s">
        <v>4040</v>
      </c>
    </row>
    <row r="1269" spans="1:3" x14ac:dyDescent="0.25">
      <c r="A1269" t="s">
        <v>4042</v>
      </c>
      <c r="B1269" t="s">
        <v>4043</v>
      </c>
      <c r="C1269" t="s">
        <v>4041</v>
      </c>
    </row>
    <row r="1270" spans="1:3" x14ac:dyDescent="0.25">
      <c r="A1270" t="s">
        <v>404</v>
      </c>
      <c r="B1270" t="s">
        <v>405</v>
      </c>
      <c r="C1270" t="s">
        <v>4044</v>
      </c>
    </row>
    <row r="1271" spans="1:3" x14ac:dyDescent="0.25">
      <c r="A1271" t="s">
        <v>406</v>
      </c>
      <c r="B1271" t="s">
        <v>407</v>
      </c>
      <c r="C1271" t="s">
        <v>4045</v>
      </c>
    </row>
    <row r="1272" spans="1:3" x14ac:dyDescent="0.25">
      <c r="A1272" t="s">
        <v>4047</v>
      </c>
      <c r="B1272" t="s">
        <v>4048</v>
      </c>
      <c r="C1272" t="s">
        <v>4046</v>
      </c>
    </row>
    <row r="1273" spans="1:3" x14ac:dyDescent="0.25">
      <c r="A1273" t="s">
        <v>4050</v>
      </c>
      <c r="B1273" t="s">
        <v>4051</v>
      </c>
      <c r="C1273" t="s">
        <v>4049</v>
      </c>
    </row>
    <row r="1274" spans="1:3" x14ac:dyDescent="0.25">
      <c r="A1274" t="s">
        <v>4053</v>
      </c>
      <c r="B1274" t="s">
        <v>4054</v>
      </c>
      <c r="C1274" t="s">
        <v>4052</v>
      </c>
    </row>
    <row r="1275" spans="1:3" x14ac:dyDescent="0.25">
      <c r="A1275" t="s">
        <v>4056</v>
      </c>
      <c r="B1275" t="s">
        <v>4057</v>
      </c>
      <c r="C1275" t="s">
        <v>4055</v>
      </c>
    </row>
    <row r="1276" spans="1:3" x14ac:dyDescent="0.25">
      <c r="A1276" t="s">
        <v>4059</v>
      </c>
      <c r="B1276" t="s">
        <v>4057</v>
      </c>
      <c r="C1276" t="s">
        <v>4058</v>
      </c>
    </row>
    <row r="1277" spans="1:3" x14ac:dyDescent="0.25">
      <c r="A1277" t="s">
        <v>4061</v>
      </c>
      <c r="B1277" t="s">
        <v>4062</v>
      </c>
      <c r="C1277" t="s">
        <v>4060</v>
      </c>
    </row>
    <row r="1278" spans="1:3" x14ac:dyDescent="0.25">
      <c r="A1278" t="s">
        <v>4064</v>
      </c>
      <c r="B1278" t="s">
        <v>4062</v>
      </c>
      <c r="C1278" t="s">
        <v>4063</v>
      </c>
    </row>
    <row r="1279" spans="1:3" x14ac:dyDescent="0.25">
      <c r="A1279" t="s">
        <v>4066</v>
      </c>
      <c r="B1279" t="s">
        <v>4067</v>
      </c>
      <c r="C1279" t="s">
        <v>4065</v>
      </c>
    </row>
    <row r="1280" spans="1:3" x14ac:dyDescent="0.25">
      <c r="A1280" t="s">
        <v>4069</v>
      </c>
      <c r="B1280" t="s">
        <v>4067</v>
      </c>
      <c r="C1280" t="s">
        <v>4068</v>
      </c>
    </row>
    <row r="1281" spans="1:3" x14ac:dyDescent="0.25">
      <c r="A1281" t="s">
        <v>66</v>
      </c>
      <c r="B1281" t="s">
        <v>620</v>
      </c>
      <c r="C1281" t="s">
        <v>4070</v>
      </c>
    </row>
    <row r="1282" spans="1:3" x14ac:dyDescent="0.25">
      <c r="A1282" t="s">
        <v>74</v>
      </c>
      <c r="B1282" t="s">
        <v>621</v>
      </c>
      <c r="C1282" t="s">
        <v>4071</v>
      </c>
    </row>
    <row r="1283" spans="1:3" x14ac:dyDescent="0.25">
      <c r="A1283" t="s">
        <v>70</v>
      </c>
      <c r="B1283" t="s">
        <v>622</v>
      </c>
      <c r="C1283" t="s">
        <v>4072</v>
      </c>
    </row>
    <row r="1284" spans="1:3" x14ac:dyDescent="0.25">
      <c r="A1284" t="s">
        <v>78</v>
      </c>
      <c r="B1284" t="s">
        <v>623</v>
      </c>
      <c r="C1284" t="s">
        <v>4073</v>
      </c>
    </row>
    <row r="1285" spans="1:3" x14ac:dyDescent="0.25">
      <c r="A1285" t="s">
        <v>4075</v>
      </c>
      <c r="B1285" t="s">
        <v>4076</v>
      </c>
      <c r="C1285" t="s">
        <v>4074</v>
      </c>
    </row>
    <row r="1286" spans="1:3" x14ac:dyDescent="0.25">
      <c r="A1286" t="s">
        <v>4078</v>
      </c>
      <c r="B1286" t="s">
        <v>4079</v>
      </c>
      <c r="C1286" t="s">
        <v>4077</v>
      </c>
    </row>
    <row r="1287" spans="1:3" x14ac:dyDescent="0.25">
      <c r="A1287" t="s">
        <v>4081</v>
      </c>
      <c r="B1287" t="s">
        <v>4082</v>
      </c>
      <c r="C1287" t="s">
        <v>4080</v>
      </c>
    </row>
    <row r="1288" spans="1:3" x14ac:dyDescent="0.25">
      <c r="A1288" t="s">
        <v>4084</v>
      </c>
      <c r="B1288" t="s">
        <v>4085</v>
      </c>
      <c r="C1288" t="s">
        <v>4083</v>
      </c>
    </row>
    <row r="1289" spans="1:3" x14ac:dyDescent="0.25">
      <c r="A1289" t="s">
        <v>4087</v>
      </c>
      <c r="B1289" t="s">
        <v>4088</v>
      </c>
      <c r="C1289" t="s">
        <v>4086</v>
      </c>
    </row>
    <row r="1290" spans="1:3" x14ac:dyDescent="0.25">
      <c r="A1290" t="s">
        <v>4090</v>
      </c>
      <c r="B1290" t="s">
        <v>4091</v>
      </c>
      <c r="C1290" t="s">
        <v>4089</v>
      </c>
    </row>
    <row r="1291" spans="1:3" x14ac:dyDescent="0.25">
      <c r="A1291" t="s">
        <v>4093</v>
      </c>
      <c r="B1291" t="s">
        <v>4094</v>
      </c>
      <c r="C1291" t="s">
        <v>4092</v>
      </c>
    </row>
    <row r="1292" spans="1:3" x14ac:dyDescent="0.25">
      <c r="A1292" t="s">
        <v>4096</v>
      </c>
      <c r="B1292" t="s">
        <v>4097</v>
      </c>
      <c r="C1292" t="s">
        <v>4095</v>
      </c>
    </row>
    <row r="1293" spans="1:3" x14ac:dyDescent="0.25">
      <c r="A1293" t="s">
        <v>4099</v>
      </c>
      <c r="B1293" t="s">
        <v>4100</v>
      </c>
      <c r="C1293" t="s">
        <v>4098</v>
      </c>
    </row>
    <row r="1294" spans="1:3" x14ac:dyDescent="0.25">
      <c r="A1294" t="s">
        <v>97</v>
      </c>
      <c r="B1294" t="s">
        <v>624</v>
      </c>
      <c r="C1294" t="s">
        <v>4101</v>
      </c>
    </row>
    <row r="1295" spans="1:3" x14ac:dyDescent="0.25">
      <c r="A1295" t="s">
        <v>101</v>
      </c>
      <c r="B1295" t="s">
        <v>625</v>
      </c>
      <c r="C1295" t="s">
        <v>4102</v>
      </c>
    </row>
    <row r="1296" spans="1:3" x14ac:dyDescent="0.25">
      <c r="A1296" t="s">
        <v>408</v>
      </c>
      <c r="B1296" t="s">
        <v>409</v>
      </c>
      <c r="C1296" t="s">
        <v>4103</v>
      </c>
    </row>
    <row r="1297" spans="1:3" x14ac:dyDescent="0.25">
      <c r="A1297" t="s">
        <v>4105</v>
      </c>
      <c r="B1297" t="s">
        <v>4106</v>
      </c>
      <c r="C1297" t="s">
        <v>4104</v>
      </c>
    </row>
    <row r="1298" spans="1:3" x14ac:dyDescent="0.25">
      <c r="A1298" t="s">
        <v>4108</v>
      </c>
      <c r="B1298" t="s">
        <v>4109</v>
      </c>
      <c r="C1298" t="s">
        <v>4107</v>
      </c>
    </row>
    <row r="1299" spans="1:3" x14ac:dyDescent="0.25">
      <c r="A1299" t="s">
        <v>410</v>
      </c>
      <c r="B1299" t="s">
        <v>411</v>
      </c>
      <c r="C1299" t="s">
        <v>4110</v>
      </c>
    </row>
    <row r="1300" spans="1:3" x14ac:dyDescent="0.25">
      <c r="A1300" t="s">
        <v>4112</v>
      </c>
      <c r="B1300" t="s">
        <v>4113</v>
      </c>
      <c r="C1300" t="s">
        <v>4111</v>
      </c>
    </row>
    <row r="1301" spans="1:3" x14ac:dyDescent="0.25">
      <c r="A1301" t="s">
        <v>412</v>
      </c>
      <c r="B1301" t="s">
        <v>413</v>
      </c>
      <c r="C1301" t="s">
        <v>4114</v>
      </c>
    </row>
    <row r="1302" spans="1:3" x14ac:dyDescent="0.25">
      <c r="A1302" t="s">
        <v>414</v>
      </c>
      <c r="B1302" t="s">
        <v>415</v>
      </c>
      <c r="C1302" t="s">
        <v>4115</v>
      </c>
    </row>
    <row r="1303" spans="1:3" x14ac:dyDescent="0.25">
      <c r="A1303" t="s">
        <v>4117</v>
      </c>
      <c r="B1303" t="s">
        <v>4118</v>
      </c>
      <c r="C1303" t="s">
        <v>4116</v>
      </c>
    </row>
    <row r="1304" spans="1:3" x14ac:dyDescent="0.25">
      <c r="A1304" t="s">
        <v>4120</v>
      </c>
      <c r="B1304" t="s">
        <v>4121</v>
      </c>
      <c r="C1304" t="s">
        <v>4119</v>
      </c>
    </row>
    <row r="1305" spans="1:3" x14ac:dyDescent="0.25">
      <c r="A1305" t="s">
        <v>4123</v>
      </c>
      <c r="B1305" t="s">
        <v>4124</v>
      </c>
      <c r="C1305" t="s">
        <v>4122</v>
      </c>
    </row>
    <row r="1306" spans="1:3" x14ac:dyDescent="0.25">
      <c r="A1306" t="s">
        <v>4126</v>
      </c>
      <c r="B1306" t="s">
        <v>4127</v>
      </c>
      <c r="C1306" t="s">
        <v>4125</v>
      </c>
    </row>
    <row r="1307" spans="1:3" x14ac:dyDescent="0.25">
      <c r="A1307" t="s">
        <v>4129</v>
      </c>
      <c r="B1307" t="s">
        <v>4127</v>
      </c>
      <c r="C1307" t="s">
        <v>4128</v>
      </c>
    </row>
    <row r="1308" spans="1:3" x14ac:dyDescent="0.25">
      <c r="A1308" t="s">
        <v>4131</v>
      </c>
      <c r="B1308" t="s">
        <v>4132</v>
      </c>
      <c r="C1308" t="s">
        <v>4130</v>
      </c>
    </row>
    <row r="1309" spans="1:3" x14ac:dyDescent="0.25">
      <c r="A1309" t="s">
        <v>4134</v>
      </c>
      <c r="B1309" t="s">
        <v>4132</v>
      </c>
      <c r="C1309" t="s">
        <v>4133</v>
      </c>
    </row>
    <row r="1310" spans="1:3" x14ac:dyDescent="0.25">
      <c r="A1310" t="s">
        <v>4136</v>
      </c>
      <c r="B1310" t="s">
        <v>4137</v>
      </c>
      <c r="C1310" t="s">
        <v>4135</v>
      </c>
    </row>
    <row r="1311" spans="1:3" x14ac:dyDescent="0.25">
      <c r="A1311" t="s">
        <v>4139</v>
      </c>
      <c r="B1311" t="s">
        <v>4137</v>
      </c>
      <c r="C1311" t="s">
        <v>4138</v>
      </c>
    </row>
    <row r="1312" spans="1:3" x14ac:dyDescent="0.25">
      <c r="A1312" t="s">
        <v>67</v>
      </c>
      <c r="B1312" t="s">
        <v>628</v>
      </c>
      <c r="C1312" t="s">
        <v>4140</v>
      </c>
    </row>
    <row r="1313" spans="1:3" x14ac:dyDescent="0.25">
      <c r="A1313" t="s">
        <v>75</v>
      </c>
      <c r="B1313" t="s">
        <v>629</v>
      </c>
      <c r="C1313" t="s">
        <v>4141</v>
      </c>
    </row>
    <row r="1314" spans="1:3" x14ac:dyDescent="0.25">
      <c r="A1314" t="s">
        <v>71</v>
      </c>
      <c r="B1314" t="s">
        <v>630</v>
      </c>
      <c r="C1314" t="s">
        <v>4142</v>
      </c>
    </row>
    <row r="1315" spans="1:3" x14ac:dyDescent="0.25">
      <c r="A1315" t="s">
        <v>79</v>
      </c>
      <c r="B1315" t="s">
        <v>631</v>
      </c>
      <c r="C1315" t="s">
        <v>4143</v>
      </c>
    </row>
    <row r="1316" spans="1:3" x14ac:dyDescent="0.25">
      <c r="A1316" t="s">
        <v>4145</v>
      </c>
      <c r="B1316" t="s">
        <v>4146</v>
      </c>
      <c r="C1316" t="s">
        <v>4144</v>
      </c>
    </row>
    <row r="1317" spans="1:3" x14ac:dyDescent="0.25">
      <c r="A1317" t="s">
        <v>4148</v>
      </c>
      <c r="B1317" t="s">
        <v>4149</v>
      </c>
      <c r="C1317" t="s">
        <v>4147</v>
      </c>
    </row>
    <row r="1318" spans="1:3" x14ac:dyDescent="0.25">
      <c r="A1318" t="s">
        <v>4151</v>
      </c>
      <c r="B1318" t="s">
        <v>4152</v>
      </c>
      <c r="C1318" t="s">
        <v>4150</v>
      </c>
    </row>
    <row r="1319" spans="1:3" x14ac:dyDescent="0.25">
      <c r="A1319" t="s">
        <v>4154</v>
      </c>
      <c r="B1319" t="s">
        <v>4155</v>
      </c>
      <c r="C1319" t="s">
        <v>4153</v>
      </c>
    </row>
    <row r="1320" spans="1:3" x14ac:dyDescent="0.25">
      <c r="A1320" t="s">
        <v>4157</v>
      </c>
      <c r="B1320" t="s">
        <v>4158</v>
      </c>
      <c r="C1320" t="s">
        <v>4156</v>
      </c>
    </row>
    <row r="1321" spans="1:3" x14ac:dyDescent="0.25">
      <c r="A1321" t="s">
        <v>4160</v>
      </c>
      <c r="B1321" t="s">
        <v>4161</v>
      </c>
      <c r="C1321" t="s">
        <v>4159</v>
      </c>
    </row>
    <row r="1322" spans="1:3" x14ac:dyDescent="0.25">
      <c r="A1322" t="s">
        <v>4163</v>
      </c>
      <c r="B1322" t="s">
        <v>4164</v>
      </c>
      <c r="C1322" t="s">
        <v>4162</v>
      </c>
    </row>
    <row r="1323" spans="1:3" x14ac:dyDescent="0.25">
      <c r="A1323" t="s">
        <v>4166</v>
      </c>
      <c r="B1323" t="s">
        <v>4167</v>
      </c>
      <c r="C1323" t="s">
        <v>4165</v>
      </c>
    </row>
    <row r="1324" spans="1:3" x14ac:dyDescent="0.25">
      <c r="A1324" t="s">
        <v>4169</v>
      </c>
      <c r="B1324" t="s">
        <v>4170</v>
      </c>
      <c r="C1324" t="s">
        <v>4168</v>
      </c>
    </row>
    <row r="1325" spans="1:3" x14ac:dyDescent="0.25">
      <c r="A1325" t="s">
        <v>4172</v>
      </c>
      <c r="B1325" t="s">
        <v>4173</v>
      </c>
      <c r="C1325" t="s">
        <v>4171</v>
      </c>
    </row>
    <row r="1326" spans="1:3" x14ac:dyDescent="0.25">
      <c r="A1326" t="s">
        <v>4175</v>
      </c>
      <c r="B1326" t="s">
        <v>4176</v>
      </c>
      <c r="C1326" t="s">
        <v>4174</v>
      </c>
    </row>
    <row r="1327" spans="1:3" x14ac:dyDescent="0.25">
      <c r="A1327" t="s">
        <v>4178</v>
      </c>
      <c r="B1327" t="s">
        <v>4179</v>
      </c>
      <c r="C1327" t="s">
        <v>4177</v>
      </c>
    </row>
    <row r="1328" spans="1:3" x14ac:dyDescent="0.25">
      <c r="A1328" t="s">
        <v>4181</v>
      </c>
      <c r="B1328" t="s">
        <v>4182</v>
      </c>
      <c r="C1328" t="s">
        <v>4180</v>
      </c>
    </row>
    <row r="1329" spans="1:3" x14ac:dyDescent="0.25">
      <c r="A1329" t="s">
        <v>4184</v>
      </c>
      <c r="B1329" t="s">
        <v>4185</v>
      </c>
      <c r="C1329" t="s">
        <v>4183</v>
      </c>
    </row>
    <row r="1330" spans="1:3" x14ac:dyDescent="0.25">
      <c r="A1330" t="s">
        <v>4187</v>
      </c>
      <c r="B1330" t="s">
        <v>4188</v>
      </c>
      <c r="C1330" t="s">
        <v>4186</v>
      </c>
    </row>
    <row r="1331" spans="1:3" x14ac:dyDescent="0.25">
      <c r="A1331" t="s">
        <v>4190</v>
      </c>
      <c r="B1331" t="s">
        <v>4191</v>
      </c>
      <c r="C1331" t="s">
        <v>4189</v>
      </c>
    </row>
    <row r="1332" spans="1:3" x14ac:dyDescent="0.25">
      <c r="A1332" t="s">
        <v>4193</v>
      </c>
      <c r="B1332" t="s">
        <v>4194</v>
      </c>
      <c r="C1332" t="s">
        <v>4192</v>
      </c>
    </row>
    <row r="1333" spans="1:3" x14ac:dyDescent="0.25">
      <c r="A1333" t="s">
        <v>98</v>
      </c>
      <c r="B1333" t="s">
        <v>632</v>
      </c>
      <c r="C1333" t="s">
        <v>4195</v>
      </c>
    </row>
    <row r="1334" spans="1:3" x14ac:dyDescent="0.25">
      <c r="A1334" t="s">
        <v>99</v>
      </c>
      <c r="B1334" t="s">
        <v>633</v>
      </c>
      <c r="C1334" t="s">
        <v>4196</v>
      </c>
    </row>
    <row r="1335" spans="1:3" x14ac:dyDescent="0.25">
      <c r="A1335" t="s">
        <v>102</v>
      </c>
      <c r="B1335" t="s">
        <v>634</v>
      </c>
      <c r="C1335" t="s">
        <v>4197</v>
      </c>
    </row>
    <row r="1336" spans="1:3" x14ac:dyDescent="0.25">
      <c r="A1336" t="s">
        <v>103</v>
      </c>
      <c r="B1336" t="s">
        <v>635</v>
      </c>
      <c r="C1336" t="s">
        <v>4198</v>
      </c>
    </row>
    <row r="1337" spans="1:3" x14ac:dyDescent="0.25">
      <c r="A1337" t="s">
        <v>416</v>
      </c>
      <c r="B1337" t="s">
        <v>113</v>
      </c>
      <c r="C1337" t="s">
        <v>4199</v>
      </c>
    </row>
    <row r="1338" spans="1:3" x14ac:dyDescent="0.25">
      <c r="A1338" t="s">
        <v>417</v>
      </c>
      <c r="B1338" t="s">
        <v>418</v>
      </c>
      <c r="C1338" t="s">
        <v>4200</v>
      </c>
    </row>
    <row r="1339" spans="1:3" x14ac:dyDescent="0.25">
      <c r="A1339" t="s">
        <v>4202</v>
      </c>
      <c r="B1339" t="s">
        <v>4203</v>
      </c>
      <c r="C1339" t="s">
        <v>4201</v>
      </c>
    </row>
    <row r="1340" spans="1:3" x14ac:dyDescent="0.25">
      <c r="A1340" t="s">
        <v>4205</v>
      </c>
      <c r="B1340" t="s">
        <v>4206</v>
      </c>
      <c r="C1340" t="s">
        <v>4204</v>
      </c>
    </row>
    <row r="1341" spans="1:3" x14ac:dyDescent="0.25">
      <c r="A1341" t="s">
        <v>419</v>
      </c>
      <c r="B1341" t="s">
        <v>420</v>
      </c>
      <c r="C1341" t="s">
        <v>4207</v>
      </c>
    </row>
    <row r="1342" spans="1:3" x14ac:dyDescent="0.25">
      <c r="A1342" t="s">
        <v>4209</v>
      </c>
      <c r="B1342" t="s">
        <v>4210</v>
      </c>
      <c r="C1342" t="s">
        <v>4208</v>
      </c>
    </row>
    <row r="1343" spans="1:3" x14ac:dyDescent="0.25">
      <c r="A1343" t="s">
        <v>421</v>
      </c>
      <c r="B1343" t="s">
        <v>422</v>
      </c>
      <c r="C1343" t="s">
        <v>4211</v>
      </c>
    </row>
    <row r="1344" spans="1:3" x14ac:dyDescent="0.25">
      <c r="A1344" t="s">
        <v>423</v>
      </c>
      <c r="B1344" t="s">
        <v>424</v>
      </c>
      <c r="C1344" t="s">
        <v>4212</v>
      </c>
    </row>
    <row r="1345" spans="1:3" x14ac:dyDescent="0.25">
      <c r="A1345" t="s">
        <v>425</v>
      </c>
      <c r="B1345" t="s">
        <v>426</v>
      </c>
      <c r="C1345" t="s">
        <v>4213</v>
      </c>
    </row>
    <row r="1346" spans="1:3" x14ac:dyDescent="0.25">
      <c r="A1346" t="s">
        <v>4215</v>
      </c>
      <c r="B1346" t="s">
        <v>4216</v>
      </c>
      <c r="C1346" t="s">
        <v>4214</v>
      </c>
    </row>
    <row r="1347" spans="1:3" x14ac:dyDescent="0.25">
      <c r="A1347" t="s">
        <v>4218</v>
      </c>
      <c r="B1347" t="s">
        <v>4219</v>
      </c>
      <c r="C1347" t="s">
        <v>4217</v>
      </c>
    </row>
    <row r="1348" spans="1:3" x14ac:dyDescent="0.25">
      <c r="A1348" t="s">
        <v>4221</v>
      </c>
      <c r="B1348" t="s">
        <v>4222</v>
      </c>
      <c r="C1348" t="s">
        <v>4220</v>
      </c>
    </row>
    <row r="1349" spans="1:3" x14ac:dyDescent="0.25">
      <c r="A1349" t="s">
        <v>4224</v>
      </c>
      <c r="B1349" t="s">
        <v>4225</v>
      </c>
      <c r="C1349" t="s">
        <v>4223</v>
      </c>
    </row>
    <row r="1350" spans="1:3" x14ac:dyDescent="0.25">
      <c r="A1350" t="s">
        <v>4227</v>
      </c>
      <c r="B1350" t="s">
        <v>4225</v>
      </c>
      <c r="C1350" t="s">
        <v>4226</v>
      </c>
    </row>
    <row r="1351" spans="1:3" x14ac:dyDescent="0.25">
      <c r="A1351" t="s">
        <v>4229</v>
      </c>
      <c r="B1351" t="s">
        <v>4230</v>
      </c>
      <c r="C1351" t="s">
        <v>4228</v>
      </c>
    </row>
    <row r="1352" spans="1:3" x14ac:dyDescent="0.25">
      <c r="A1352" t="s">
        <v>4232</v>
      </c>
      <c r="B1352" t="s">
        <v>4230</v>
      </c>
      <c r="C1352" t="s">
        <v>4231</v>
      </c>
    </row>
    <row r="1353" spans="1:3" x14ac:dyDescent="0.25">
      <c r="A1353" t="s">
        <v>4234</v>
      </c>
      <c r="B1353" t="s">
        <v>4235</v>
      </c>
      <c r="C1353" t="s">
        <v>4233</v>
      </c>
    </row>
    <row r="1354" spans="1:3" x14ac:dyDescent="0.25">
      <c r="A1354" t="s">
        <v>4237</v>
      </c>
      <c r="B1354" t="s">
        <v>4238</v>
      </c>
      <c r="C1354" t="s">
        <v>4236</v>
      </c>
    </row>
    <row r="1355" spans="1:3" x14ac:dyDescent="0.25">
      <c r="A1355" t="s">
        <v>4240</v>
      </c>
      <c r="B1355" t="s">
        <v>4241</v>
      </c>
      <c r="C1355" t="s">
        <v>4239</v>
      </c>
    </row>
    <row r="1356" spans="1:3" x14ac:dyDescent="0.25">
      <c r="A1356" t="s">
        <v>4243</v>
      </c>
      <c r="B1356" t="s">
        <v>4238</v>
      </c>
      <c r="C1356" t="s">
        <v>4242</v>
      </c>
    </row>
    <row r="1357" spans="1:3" x14ac:dyDescent="0.25">
      <c r="A1357" t="s">
        <v>4245</v>
      </c>
      <c r="B1357" t="s">
        <v>4246</v>
      </c>
      <c r="C1357" t="s">
        <v>4244</v>
      </c>
    </row>
    <row r="1358" spans="1:3" x14ac:dyDescent="0.25">
      <c r="A1358" t="s">
        <v>4248</v>
      </c>
      <c r="B1358" t="s">
        <v>4249</v>
      </c>
      <c r="C1358" t="s">
        <v>4247</v>
      </c>
    </row>
    <row r="1359" spans="1:3" x14ac:dyDescent="0.25">
      <c r="A1359" t="s">
        <v>4251</v>
      </c>
      <c r="B1359" t="s">
        <v>4246</v>
      </c>
      <c r="C1359" t="s">
        <v>4250</v>
      </c>
    </row>
    <row r="1360" spans="1:3" x14ac:dyDescent="0.25">
      <c r="A1360" t="s">
        <v>68</v>
      </c>
      <c r="B1360" t="s">
        <v>640</v>
      </c>
      <c r="C1360" t="s">
        <v>4252</v>
      </c>
    </row>
    <row r="1361" spans="1:3" x14ac:dyDescent="0.25">
      <c r="A1361" t="s">
        <v>76</v>
      </c>
      <c r="B1361" t="s">
        <v>641</v>
      </c>
      <c r="C1361" t="s">
        <v>4253</v>
      </c>
    </row>
    <row r="1362" spans="1:3" x14ac:dyDescent="0.25">
      <c r="A1362" t="s">
        <v>72</v>
      </c>
      <c r="B1362" t="s">
        <v>642</v>
      </c>
      <c r="C1362" t="s">
        <v>4254</v>
      </c>
    </row>
    <row r="1363" spans="1:3" x14ac:dyDescent="0.25">
      <c r="A1363" t="s">
        <v>80</v>
      </c>
      <c r="B1363" t="s">
        <v>643</v>
      </c>
      <c r="C1363" t="s">
        <v>4255</v>
      </c>
    </row>
    <row r="1364" spans="1:3" x14ac:dyDescent="0.25">
      <c r="A1364" t="s">
        <v>69</v>
      </c>
      <c r="B1364" t="s">
        <v>644</v>
      </c>
      <c r="C1364" t="s">
        <v>4256</v>
      </c>
    </row>
    <row r="1365" spans="1:3" x14ac:dyDescent="0.25">
      <c r="A1365" t="s">
        <v>77</v>
      </c>
      <c r="B1365" t="s">
        <v>645</v>
      </c>
      <c r="C1365" t="s">
        <v>4257</v>
      </c>
    </row>
    <row r="1366" spans="1:3" x14ac:dyDescent="0.25">
      <c r="A1366" t="s">
        <v>73</v>
      </c>
      <c r="B1366" t="s">
        <v>646</v>
      </c>
      <c r="C1366" t="s">
        <v>4258</v>
      </c>
    </row>
    <row r="1367" spans="1:3" x14ac:dyDescent="0.25">
      <c r="A1367" t="s">
        <v>81</v>
      </c>
      <c r="B1367" t="s">
        <v>647</v>
      </c>
      <c r="C1367" t="s">
        <v>4259</v>
      </c>
    </row>
    <row r="1368" spans="1:3" x14ac:dyDescent="0.25">
      <c r="A1368" t="s">
        <v>4261</v>
      </c>
      <c r="B1368" t="s">
        <v>4262</v>
      </c>
      <c r="C1368" t="s">
        <v>4260</v>
      </c>
    </row>
    <row r="1369" spans="1:3" x14ac:dyDescent="0.25">
      <c r="A1369" t="s">
        <v>4264</v>
      </c>
      <c r="B1369" t="s">
        <v>4265</v>
      </c>
      <c r="C1369" t="s">
        <v>4263</v>
      </c>
    </row>
    <row r="1370" spans="1:3" x14ac:dyDescent="0.25">
      <c r="A1370" t="s">
        <v>4267</v>
      </c>
      <c r="B1370" t="s">
        <v>4268</v>
      </c>
      <c r="C1370" t="s">
        <v>4266</v>
      </c>
    </row>
    <row r="1371" spans="1:3" x14ac:dyDescent="0.25">
      <c r="A1371" t="s">
        <v>4270</v>
      </c>
      <c r="B1371" t="s">
        <v>4271</v>
      </c>
      <c r="C1371" t="s">
        <v>4269</v>
      </c>
    </row>
    <row r="1372" spans="1:3" x14ac:dyDescent="0.25">
      <c r="A1372" t="s">
        <v>4273</v>
      </c>
      <c r="B1372" t="s">
        <v>4274</v>
      </c>
      <c r="C1372" t="s">
        <v>4272</v>
      </c>
    </row>
    <row r="1373" spans="1:3" x14ac:dyDescent="0.25">
      <c r="A1373" t="s">
        <v>4276</v>
      </c>
      <c r="B1373" t="s">
        <v>4277</v>
      </c>
      <c r="C1373" t="s">
        <v>4275</v>
      </c>
    </row>
    <row r="1374" spans="1:3" x14ac:dyDescent="0.25">
      <c r="A1374" t="s">
        <v>4279</v>
      </c>
      <c r="B1374" t="s">
        <v>4280</v>
      </c>
      <c r="C1374" t="s">
        <v>4278</v>
      </c>
    </row>
    <row r="1375" spans="1:3" x14ac:dyDescent="0.25">
      <c r="A1375" t="s">
        <v>4282</v>
      </c>
      <c r="B1375" t="s">
        <v>4283</v>
      </c>
      <c r="C1375" t="s">
        <v>4281</v>
      </c>
    </row>
    <row r="1376" spans="1:3" x14ac:dyDescent="0.25">
      <c r="A1376" t="s">
        <v>4285</v>
      </c>
      <c r="B1376" t="s">
        <v>4286</v>
      </c>
      <c r="C1376" t="s">
        <v>4284</v>
      </c>
    </row>
    <row r="1377" spans="1:3" x14ac:dyDescent="0.25">
      <c r="A1377" t="s">
        <v>4288</v>
      </c>
      <c r="B1377" t="s">
        <v>4289</v>
      </c>
      <c r="C1377" t="s">
        <v>4287</v>
      </c>
    </row>
    <row r="1378" spans="1:3" x14ac:dyDescent="0.25">
      <c r="A1378" t="s">
        <v>971</v>
      </c>
      <c r="B1378" t="s">
        <v>972</v>
      </c>
      <c r="C1378" t="s">
        <v>4290</v>
      </c>
    </row>
    <row r="1379" spans="1:3" x14ac:dyDescent="0.25">
      <c r="A1379" t="s">
        <v>973</v>
      </c>
      <c r="B1379" t="s">
        <v>974</v>
      </c>
      <c r="C1379" t="s">
        <v>4291</v>
      </c>
    </row>
    <row r="1380" spans="1:3" x14ac:dyDescent="0.25">
      <c r="A1380" t="s">
        <v>975</v>
      </c>
      <c r="B1380" t="s">
        <v>976</v>
      </c>
      <c r="C1380" t="s">
        <v>4292</v>
      </c>
    </row>
    <row r="1381" spans="1:3" x14ac:dyDescent="0.25">
      <c r="A1381" t="s">
        <v>977</v>
      </c>
      <c r="B1381" t="s">
        <v>978</v>
      </c>
      <c r="C1381" t="s">
        <v>4293</v>
      </c>
    </row>
    <row r="1382" spans="1:3" x14ac:dyDescent="0.25">
      <c r="A1382" t="s">
        <v>979</v>
      </c>
      <c r="B1382" t="s">
        <v>980</v>
      </c>
      <c r="C1382" t="s">
        <v>4294</v>
      </c>
    </row>
    <row r="1383" spans="1:3" x14ac:dyDescent="0.25">
      <c r="A1383" t="s">
        <v>981</v>
      </c>
      <c r="B1383" t="s">
        <v>982</v>
      </c>
      <c r="C1383" t="s">
        <v>4295</v>
      </c>
    </row>
    <row r="1384" spans="1:3" x14ac:dyDescent="0.25">
      <c r="A1384" t="s">
        <v>983</v>
      </c>
      <c r="B1384" t="s">
        <v>984</v>
      </c>
      <c r="C1384" t="s">
        <v>4296</v>
      </c>
    </row>
    <row r="1385" spans="1:3" x14ac:dyDescent="0.25">
      <c r="A1385" t="s">
        <v>985</v>
      </c>
      <c r="B1385" t="s">
        <v>986</v>
      </c>
      <c r="C1385" t="s">
        <v>4297</v>
      </c>
    </row>
    <row r="1386" spans="1:3" x14ac:dyDescent="0.25">
      <c r="A1386" t="s">
        <v>987</v>
      </c>
      <c r="B1386" t="s">
        <v>988</v>
      </c>
      <c r="C1386" t="s">
        <v>4298</v>
      </c>
    </row>
    <row r="1387" spans="1:3" x14ac:dyDescent="0.25">
      <c r="A1387" t="s">
        <v>989</v>
      </c>
      <c r="B1387" t="s">
        <v>990</v>
      </c>
      <c r="C1387" t="s">
        <v>4299</v>
      </c>
    </row>
    <row r="1388" spans="1:3" x14ac:dyDescent="0.25">
      <c r="A1388" t="s">
        <v>931</v>
      </c>
      <c r="B1388" t="s">
        <v>932</v>
      </c>
      <c r="C1388" t="s">
        <v>4300</v>
      </c>
    </row>
    <row r="1389" spans="1:3" x14ac:dyDescent="0.25">
      <c r="A1389" t="s">
        <v>933</v>
      </c>
      <c r="B1389" t="s">
        <v>934</v>
      </c>
      <c r="C1389" t="s">
        <v>4301</v>
      </c>
    </row>
    <row r="1390" spans="1:3" x14ac:dyDescent="0.25">
      <c r="A1390" t="s">
        <v>935</v>
      </c>
      <c r="B1390" t="s">
        <v>936</v>
      </c>
      <c r="C1390" t="s">
        <v>4302</v>
      </c>
    </row>
    <row r="1391" spans="1:3" x14ac:dyDescent="0.25">
      <c r="A1391" t="s">
        <v>937</v>
      </c>
      <c r="B1391" t="s">
        <v>938</v>
      </c>
      <c r="C1391" t="s">
        <v>4303</v>
      </c>
    </row>
    <row r="1392" spans="1:3" x14ac:dyDescent="0.25">
      <c r="A1392" t="s">
        <v>939</v>
      </c>
      <c r="B1392" t="s">
        <v>940</v>
      </c>
      <c r="C1392" t="s">
        <v>4304</v>
      </c>
    </row>
    <row r="1393" spans="1:3" x14ac:dyDescent="0.25">
      <c r="A1393" t="s">
        <v>941</v>
      </c>
      <c r="B1393" t="s">
        <v>942</v>
      </c>
      <c r="C1393" t="s">
        <v>4305</v>
      </c>
    </row>
    <row r="1394" spans="1:3" x14ac:dyDescent="0.25">
      <c r="A1394" t="s">
        <v>943</v>
      </c>
      <c r="B1394" t="s">
        <v>944</v>
      </c>
      <c r="C1394" t="s">
        <v>4306</v>
      </c>
    </row>
    <row r="1395" spans="1:3" x14ac:dyDescent="0.25">
      <c r="A1395" t="s">
        <v>945</v>
      </c>
      <c r="B1395" t="s">
        <v>946</v>
      </c>
      <c r="C1395" t="s">
        <v>4307</v>
      </c>
    </row>
    <row r="1396" spans="1:3" x14ac:dyDescent="0.25">
      <c r="A1396" t="s">
        <v>947</v>
      </c>
      <c r="B1396" t="s">
        <v>948</v>
      </c>
      <c r="C1396" t="s">
        <v>4308</v>
      </c>
    </row>
    <row r="1397" spans="1:3" x14ac:dyDescent="0.25">
      <c r="A1397" t="s">
        <v>949</v>
      </c>
      <c r="B1397" t="s">
        <v>950</v>
      </c>
      <c r="C1397" t="s">
        <v>4309</v>
      </c>
    </row>
    <row r="1398" spans="1:3" x14ac:dyDescent="0.25">
      <c r="A1398" t="s">
        <v>951</v>
      </c>
      <c r="B1398" t="s">
        <v>952</v>
      </c>
      <c r="C1398" t="s">
        <v>4310</v>
      </c>
    </row>
    <row r="1399" spans="1:3" x14ac:dyDescent="0.25">
      <c r="A1399" t="s">
        <v>953</v>
      </c>
      <c r="B1399" t="s">
        <v>954</v>
      </c>
      <c r="C1399" t="s">
        <v>4311</v>
      </c>
    </row>
    <row r="1400" spans="1:3" x14ac:dyDescent="0.25">
      <c r="A1400" t="s">
        <v>955</v>
      </c>
      <c r="B1400" t="s">
        <v>956</v>
      </c>
      <c r="C1400" t="s">
        <v>4312</v>
      </c>
    </row>
    <row r="1401" spans="1:3" x14ac:dyDescent="0.25">
      <c r="A1401" t="s">
        <v>957</v>
      </c>
      <c r="B1401" t="s">
        <v>958</v>
      </c>
      <c r="C1401" t="s">
        <v>4313</v>
      </c>
    </row>
    <row r="1402" spans="1:3" x14ac:dyDescent="0.25">
      <c r="A1402" t="s">
        <v>959</v>
      </c>
      <c r="B1402" t="s">
        <v>960</v>
      </c>
      <c r="C1402" t="s">
        <v>4314</v>
      </c>
    </row>
    <row r="1403" spans="1:3" x14ac:dyDescent="0.25">
      <c r="A1403" t="s">
        <v>961</v>
      </c>
      <c r="B1403" t="s">
        <v>962</v>
      </c>
      <c r="C1403" t="s">
        <v>4315</v>
      </c>
    </row>
    <row r="1404" spans="1:3" x14ac:dyDescent="0.25">
      <c r="A1404" t="s">
        <v>963</v>
      </c>
      <c r="B1404" t="s">
        <v>964</v>
      </c>
      <c r="C1404" t="s">
        <v>4316</v>
      </c>
    </row>
    <row r="1405" spans="1:3" x14ac:dyDescent="0.25">
      <c r="A1405" t="s">
        <v>965</v>
      </c>
      <c r="B1405" t="s">
        <v>966</v>
      </c>
      <c r="C1405" t="s">
        <v>4317</v>
      </c>
    </row>
    <row r="1406" spans="1:3" x14ac:dyDescent="0.25">
      <c r="A1406" t="s">
        <v>967</v>
      </c>
      <c r="B1406" t="s">
        <v>968</v>
      </c>
      <c r="C1406" t="s">
        <v>4318</v>
      </c>
    </row>
    <row r="1407" spans="1:3" x14ac:dyDescent="0.25">
      <c r="A1407" t="s">
        <v>969</v>
      </c>
      <c r="B1407" t="s">
        <v>970</v>
      </c>
      <c r="C1407" t="s">
        <v>4319</v>
      </c>
    </row>
    <row r="1408" spans="1:3" x14ac:dyDescent="0.25">
      <c r="A1408" t="s">
        <v>4321</v>
      </c>
      <c r="B1408" t="s">
        <v>4322</v>
      </c>
      <c r="C1408" t="s">
        <v>4320</v>
      </c>
    </row>
    <row r="1409" spans="1:3" x14ac:dyDescent="0.25">
      <c r="A1409" t="s">
        <v>4324</v>
      </c>
      <c r="B1409" t="s">
        <v>4325</v>
      </c>
      <c r="C1409" t="s">
        <v>4323</v>
      </c>
    </row>
    <row r="1410" spans="1:3" x14ac:dyDescent="0.25">
      <c r="A1410" t="s">
        <v>4327</v>
      </c>
      <c r="B1410" t="s">
        <v>4328</v>
      </c>
      <c r="C1410" t="s">
        <v>4326</v>
      </c>
    </row>
    <row r="1411" spans="1:3" x14ac:dyDescent="0.25">
      <c r="A1411" t="s">
        <v>4330</v>
      </c>
      <c r="B1411" t="s">
        <v>4331</v>
      </c>
      <c r="C1411" t="s">
        <v>4329</v>
      </c>
    </row>
    <row r="1412" spans="1:3" x14ac:dyDescent="0.25">
      <c r="A1412" t="s">
        <v>4333</v>
      </c>
      <c r="B1412" t="s">
        <v>4334</v>
      </c>
      <c r="C1412" t="s">
        <v>4332</v>
      </c>
    </row>
    <row r="1413" spans="1:3" x14ac:dyDescent="0.25">
      <c r="A1413" t="s">
        <v>4336</v>
      </c>
      <c r="B1413" t="s">
        <v>4337</v>
      </c>
      <c r="C1413" t="s">
        <v>4335</v>
      </c>
    </row>
    <row r="1414" spans="1:3" x14ac:dyDescent="0.25">
      <c r="A1414" t="s">
        <v>4339</v>
      </c>
      <c r="B1414" t="s">
        <v>4340</v>
      </c>
      <c r="C1414" t="s">
        <v>4338</v>
      </c>
    </row>
    <row r="1415" spans="1:3" x14ac:dyDescent="0.25">
      <c r="A1415" t="s">
        <v>4342</v>
      </c>
      <c r="B1415" t="s">
        <v>4343</v>
      </c>
      <c r="C1415" t="s">
        <v>4341</v>
      </c>
    </row>
    <row r="1416" spans="1:3" x14ac:dyDescent="0.25">
      <c r="A1416" t="s">
        <v>4345</v>
      </c>
      <c r="B1416" t="s">
        <v>4346</v>
      </c>
      <c r="C1416" t="s">
        <v>4344</v>
      </c>
    </row>
    <row r="1417" spans="1:3" x14ac:dyDescent="0.25">
      <c r="A1417" t="s">
        <v>4348</v>
      </c>
      <c r="B1417" t="s">
        <v>4349</v>
      </c>
      <c r="C1417" t="s">
        <v>4347</v>
      </c>
    </row>
    <row r="1418" spans="1:3" x14ac:dyDescent="0.25">
      <c r="A1418" t="s">
        <v>490</v>
      </c>
      <c r="B1418" t="s">
        <v>491</v>
      </c>
      <c r="C1418" t="s">
        <v>4350</v>
      </c>
    </row>
    <row r="1419" spans="1:3" x14ac:dyDescent="0.25">
      <c r="A1419" t="s">
        <v>479</v>
      </c>
      <c r="B1419" t="s">
        <v>492</v>
      </c>
      <c r="C1419" t="s">
        <v>4351</v>
      </c>
    </row>
    <row r="1420" spans="1:3" x14ac:dyDescent="0.25">
      <c r="A1420" t="s">
        <v>480</v>
      </c>
      <c r="B1420" t="s">
        <v>467</v>
      </c>
      <c r="C1420" t="s">
        <v>4352</v>
      </c>
    </row>
    <row r="1421" spans="1:3" x14ac:dyDescent="0.25">
      <c r="A1421" t="s">
        <v>494</v>
      </c>
      <c r="B1421" t="s">
        <v>495</v>
      </c>
      <c r="C1421" t="s">
        <v>4353</v>
      </c>
    </row>
    <row r="1422" spans="1:3" x14ac:dyDescent="0.25">
      <c r="A1422" t="s">
        <v>481</v>
      </c>
      <c r="B1422" t="s">
        <v>468</v>
      </c>
      <c r="C1422" t="s">
        <v>4354</v>
      </c>
    </row>
    <row r="1423" spans="1:3" x14ac:dyDescent="0.25">
      <c r="A1423" t="s">
        <v>4356</v>
      </c>
      <c r="B1423" t="s">
        <v>4357</v>
      </c>
      <c r="C1423" t="s">
        <v>4355</v>
      </c>
    </row>
    <row r="1424" spans="1:3" x14ac:dyDescent="0.25">
      <c r="A1424" t="s">
        <v>4358</v>
      </c>
      <c r="B1424" t="s">
        <v>4359</v>
      </c>
      <c r="C1424" t="s">
        <v>4355</v>
      </c>
    </row>
    <row r="1425" spans="1:3" x14ac:dyDescent="0.25">
      <c r="A1425" t="s">
        <v>4360</v>
      </c>
      <c r="B1425" t="s">
        <v>4361</v>
      </c>
      <c r="C1425" t="s">
        <v>4355</v>
      </c>
    </row>
    <row r="1426" spans="1:3" x14ac:dyDescent="0.25">
      <c r="A1426" t="s">
        <v>4362</v>
      </c>
      <c r="B1426" t="s">
        <v>4363</v>
      </c>
      <c r="C1426" t="s">
        <v>4355</v>
      </c>
    </row>
    <row r="1427" spans="1:3" x14ac:dyDescent="0.25">
      <c r="A1427" t="s">
        <v>4364</v>
      </c>
      <c r="B1427" t="s">
        <v>4365</v>
      </c>
      <c r="C1427" t="s">
        <v>3403</v>
      </c>
    </row>
    <row r="1428" spans="1:3" x14ac:dyDescent="0.25">
      <c r="A1428" t="s">
        <v>4366</v>
      </c>
      <c r="B1428" t="s">
        <v>4367</v>
      </c>
      <c r="C1428" t="s">
        <v>3403</v>
      </c>
    </row>
    <row r="1429" spans="1:3" x14ac:dyDescent="0.25">
      <c r="A1429" t="s">
        <v>4369</v>
      </c>
      <c r="B1429" t="s">
        <v>4370</v>
      </c>
      <c r="C1429" t="s">
        <v>4368</v>
      </c>
    </row>
    <row r="1430" spans="1:3" x14ac:dyDescent="0.25">
      <c r="A1430" t="s">
        <v>4372</v>
      </c>
      <c r="B1430" t="s">
        <v>4373</v>
      </c>
      <c r="C1430" t="s">
        <v>4371</v>
      </c>
    </row>
    <row r="1431" spans="1:3" x14ac:dyDescent="0.25">
      <c r="A1431" t="s">
        <v>4375</v>
      </c>
      <c r="B1431" t="s">
        <v>4376</v>
      </c>
      <c r="C1431" t="s">
        <v>4374</v>
      </c>
    </row>
    <row r="1432" spans="1:3" x14ac:dyDescent="0.25">
      <c r="A1432" t="s">
        <v>4378</v>
      </c>
      <c r="B1432" t="s">
        <v>4376</v>
      </c>
      <c r="C1432" t="s">
        <v>4377</v>
      </c>
    </row>
    <row r="1433" spans="1:3" x14ac:dyDescent="0.25">
      <c r="A1433" t="s">
        <v>4380</v>
      </c>
      <c r="B1433" t="s">
        <v>4381</v>
      </c>
      <c r="C1433" t="s">
        <v>4379</v>
      </c>
    </row>
    <row r="1434" spans="1:3" x14ac:dyDescent="0.25">
      <c r="A1434" t="s">
        <v>4383</v>
      </c>
      <c r="B1434" t="s">
        <v>4384</v>
      </c>
      <c r="C1434" t="s">
        <v>4382</v>
      </c>
    </row>
    <row r="1435" spans="1:3" x14ac:dyDescent="0.25">
      <c r="A1435" t="s">
        <v>4386</v>
      </c>
      <c r="B1435" t="s">
        <v>4387</v>
      </c>
      <c r="C1435" t="s">
        <v>4385</v>
      </c>
    </row>
    <row r="1436" spans="1:3" x14ac:dyDescent="0.25">
      <c r="A1436" t="s">
        <v>4389</v>
      </c>
      <c r="B1436" t="s">
        <v>4390</v>
      </c>
      <c r="C1436" t="s">
        <v>4388</v>
      </c>
    </row>
    <row r="1437" spans="1:3" x14ac:dyDescent="0.25">
      <c r="A1437" t="s">
        <v>4392</v>
      </c>
      <c r="B1437" t="s">
        <v>4393</v>
      </c>
      <c r="C1437" t="s">
        <v>4391</v>
      </c>
    </row>
    <row r="1438" spans="1:3" x14ac:dyDescent="0.25">
      <c r="A1438" t="s">
        <v>4395</v>
      </c>
      <c r="B1438" t="s">
        <v>4396</v>
      </c>
      <c r="C1438" t="s">
        <v>4394</v>
      </c>
    </row>
    <row r="1439" spans="1:3" x14ac:dyDescent="0.25">
      <c r="A1439" t="s">
        <v>4398</v>
      </c>
      <c r="B1439" t="s">
        <v>4399</v>
      </c>
      <c r="C1439" t="s">
        <v>4397</v>
      </c>
    </row>
    <row r="1440" spans="1:3" x14ac:dyDescent="0.25">
      <c r="A1440" t="s">
        <v>4401</v>
      </c>
      <c r="B1440" t="s">
        <v>4402</v>
      </c>
      <c r="C1440" t="s">
        <v>4400</v>
      </c>
    </row>
    <row r="1441" spans="1:3" x14ac:dyDescent="0.25">
      <c r="A1441" t="s">
        <v>4404</v>
      </c>
      <c r="B1441" t="s">
        <v>4405</v>
      </c>
      <c r="C1441" t="s">
        <v>4403</v>
      </c>
    </row>
    <row r="1442" spans="1:3" x14ac:dyDescent="0.25">
      <c r="A1442" t="s">
        <v>4407</v>
      </c>
      <c r="B1442" t="s">
        <v>4408</v>
      </c>
      <c r="C1442" t="s">
        <v>4406</v>
      </c>
    </row>
    <row r="1443" spans="1:3" x14ac:dyDescent="0.25">
      <c r="A1443" t="s">
        <v>4410</v>
      </c>
      <c r="B1443" t="s">
        <v>4411</v>
      </c>
      <c r="C1443" t="s">
        <v>4409</v>
      </c>
    </row>
    <row r="1444" spans="1:3" x14ac:dyDescent="0.25">
      <c r="A1444" t="s">
        <v>4413</v>
      </c>
      <c r="B1444" t="s">
        <v>4414</v>
      </c>
      <c r="C1444" t="s">
        <v>4412</v>
      </c>
    </row>
    <row r="1445" spans="1:3" x14ac:dyDescent="0.25">
      <c r="A1445" t="s">
        <v>4416</v>
      </c>
      <c r="B1445" t="s">
        <v>4417</v>
      </c>
      <c r="C1445" t="s">
        <v>4415</v>
      </c>
    </row>
    <row r="1446" spans="1:3" x14ac:dyDescent="0.25">
      <c r="A1446" t="s">
        <v>4419</v>
      </c>
      <c r="B1446" t="s">
        <v>4420</v>
      </c>
      <c r="C1446" t="s">
        <v>4418</v>
      </c>
    </row>
    <row r="1447" spans="1:3" x14ac:dyDescent="0.25">
      <c r="A1447" t="s">
        <v>4422</v>
      </c>
      <c r="B1447" t="s">
        <v>4423</v>
      </c>
      <c r="C1447" t="s">
        <v>4421</v>
      </c>
    </row>
    <row r="1448" spans="1:3" x14ac:dyDescent="0.25">
      <c r="A1448" t="s">
        <v>4425</v>
      </c>
      <c r="B1448" t="s">
        <v>4426</v>
      </c>
      <c r="C1448" t="s">
        <v>4424</v>
      </c>
    </row>
    <row r="1449" spans="1:3" x14ac:dyDescent="0.25">
      <c r="A1449" t="s">
        <v>4428</v>
      </c>
      <c r="B1449" t="s">
        <v>4429</v>
      </c>
      <c r="C1449" t="s">
        <v>4427</v>
      </c>
    </row>
    <row r="1450" spans="1:3" x14ac:dyDescent="0.25">
      <c r="A1450" t="s">
        <v>4431</v>
      </c>
      <c r="B1450" t="s">
        <v>4432</v>
      </c>
      <c r="C1450" t="s">
        <v>4430</v>
      </c>
    </row>
    <row r="1451" spans="1:3" x14ac:dyDescent="0.25">
      <c r="A1451" t="s">
        <v>4434</v>
      </c>
      <c r="B1451" t="s">
        <v>4435</v>
      </c>
      <c r="C1451" t="s">
        <v>4433</v>
      </c>
    </row>
    <row r="1452" spans="1:3" x14ac:dyDescent="0.25">
      <c r="A1452" t="s">
        <v>4437</v>
      </c>
      <c r="B1452" t="s">
        <v>4438</v>
      </c>
      <c r="C1452" t="s">
        <v>4436</v>
      </c>
    </row>
    <row r="1453" spans="1:3" x14ac:dyDescent="0.25">
      <c r="A1453" t="s">
        <v>4440</v>
      </c>
      <c r="B1453" t="s">
        <v>4441</v>
      </c>
      <c r="C1453" t="s">
        <v>4439</v>
      </c>
    </row>
    <row r="1454" spans="1:3" x14ac:dyDescent="0.25">
      <c r="A1454" t="s">
        <v>4443</v>
      </c>
      <c r="B1454" t="s">
        <v>4444</v>
      </c>
      <c r="C1454" t="s">
        <v>4442</v>
      </c>
    </row>
    <row r="1455" spans="1:3" x14ac:dyDescent="0.25">
      <c r="A1455" t="s">
        <v>4446</v>
      </c>
      <c r="B1455" t="s">
        <v>4447</v>
      </c>
      <c r="C1455" t="s">
        <v>4445</v>
      </c>
    </row>
    <row r="1456" spans="1:3" x14ac:dyDescent="0.25">
      <c r="A1456" t="s">
        <v>4449</v>
      </c>
      <c r="B1456" t="s">
        <v>4450</v>
      </c>
      <c r="C1456" t="s">
        <v>4448</v>
      </c>
    </row>
    <row r="1457" spans="1:3" x14ac:dyDescent="0.25">
      <c r="A1457" t="s">
        <v>4452</v>
      </c>
      <c r="B1457" t="s">
        <v>4453</v>
      </c>
      <c r="C1457" t="s">
        <v>4451</v>
      </c>
    </row>
    <row r="1458" spans="1:3" x14ac:dyDescent="0.25">
      <c r="A1458" t="s">
        <v>4455</v>
      </c>
      <c r="B1458" t="s">
        <v>4456</v>
      </c>
      <c r="C1458" t="s">
        <v>4454</v>
      </c>
    </row>
    <row r="1459" spans="1:3" x14ac:dyDescent="0.25">
      <c r="A1459" t="s">
        <v>4458</v>
      </c>
      <c r="B1459" t="s">
        <v>4459</v>
      </c>
      <c r="C1459" t="s">
        <v>4457</v>
      </c>
    </row>
    <row r="1460" spans="1:3" x14ac:dyDescent="0.25">
      <c r="A1460" t="s">
        <v>4461</v>
      </c>
      <c r="B1460" t="s">
        <v>4462</v>
      </c>
      <c r="C1460" t="s">
        <v>4460</v>
      </c>
    </row>
    <row r="1461" spans="1:3" x14ac:dyDescent="0.25">
      <c r="A1461" t="s">
        <v>4464</v>
      </c>
      <c r="B1461" t="s">
        <v>4465</v>
      </c>
      <c r="C1461" t="s">
        <v>4463</v>
      </c>
    </row>
    <row r="1462" spans="1:3" x14ac:dyDescent="0.25">
      <c r="A1462" t="s">
        <v>4467</v>
      </c>
      <c r="B1462" t="s">
        <v>4468</v>
      </c>
      <c r="C1462" t="s">
        <v>4466</v>
      </c>
    </row>
    <row r="1463" spans="1:3" x14ac:dyDescent="0.25">
      <c r="A1463" t="s">
        <v>4470</v>
      </c>
      <c r="B1463" t="s">
        <v>4471</v>
      </c>
      <c r="C1463" t="s">
        <v>4469</v>
      </c>
    </row>
    <row r="1464" spans="1:3" x14ac:dyDescent="0.25">
      <c r="A1464" t="s">
        <v>4473</v>
      </c>
      <c r="B1464" t="s">
        <v>4474</v>
      </c>
      <c r="C1464" t="s">
        <v>4472</v>
      </c>
    </row>
    <row r="1465" spans="1:3" x14ac:dyDescent="0.25">
      <c r="A1465" t="s">
        <v>4476</v>
      </c>
      <c r="B1465" t="s">
        <v>4477</v>
      </c>
      <c r="C1465" t="s">
        <v>4475</v>
      </c>
    </row>
    <row r="1466" spans="1:3" x14ac:dyDescent="0.25">
      <c r="A1466" t="s">
        <v>4479</v>
      </c>
      <c r="B1466" t="s">
        <v>4480</v>
      </c>
      <c r="C1466" t="s">
        <v>4478</v>
      </c>
    </row>
    <row r="1467" spans="1:3" x14ac:dyDescent="0.25">
      <c r="A1467" t="s">
        <v>4482</v>
      </c>
      <c r="B1467" t="s">
        <v>4423</v>
      </c>
      <c r="C1467" t="s">
        <v>4481</v>
      </c>
    </row>
    <row r="1468" spans="1:3" x14ac:dyDescent="0.25">
      <c r="A1468" t="s">
        <v>4484</v>
      </c>
      <c r="B1468" t="s">
        <v>4485</v>
      </c>
      <c r="C1468" t="s">
        <v>4483</v>
      </c>
    </row>
    <row r="1469" spans="1:3" x14ac:dyDescent="0.25">
      <c r="A1469" t="s">
        <v>4487</v>
      </c>
      <c r="B1469" t="s">
        <v>4488</v>
      </c>
      <c r="C1469" t="s">
        <v>4486</v>
      </c>
    </row>
    <row r="1470" spans="1:3" x14ac:dyDescent="0.25">
      <c r="A1470" t="s">
        <v>4490</v>
      </c>
      <c r="B1470" t="s">
        <v>4491</v>
      </c>
      <c r="C1470" t="s">
        <v>4489</v>
      </c>
    </row>
    <row r="1471" spans="1:3" x14ac:dyDescent="0.25">
      <c r="A1471" t="s">
        <v>4493</v>
      </c>
      <c r="B1471" t="s">
        <v>4494</v>
      </c>
      <c r="C1471" t="s">
        <v>4492</v>
      </c>
    </row>
    <row r="1472" spans="1:3" x14ac:dyDescent="0.25">
      <c r="A1472" t="s">
        <v>4496</v>
      </c>
      <c r="B1472" t="s">
        <v>4497</v>
      </c>
      <c r="C1472" t="s">
        <v>4495</v>
      </c>
    </row>
    <row r="1473" spans="1:3" x14ac:dyDescent="0.25">
      <c r="A1473" t="s">
        <v>4499</v>
      </c>
      <c r="B1473" t="s">
        <v>4500</v>
      </c>
      <c r="C1473" t="s">
        <v>4498</v>
      </c>
    </row>
    <row r="1474" spans="1:3" x14ac:dyDescent="0.25">
      <c r="A1474" t="s">
        <v>4502</v>
      </c>
      <c r="B1474" t="s">
        <v>4503</v>
      </c>
      <c r="C1474" t="s">
        <v>4501</v>
      </c>
    </row>
    <row r="1475" spans="1:3" x14ac:dyDescent="0.25">
      <c r="A1475" t="s">
        <v>4505</v>
      </c>
      <c r="B1475" t="s">
        <v>4506</v>
      </c>
      <c r="C1475" t="s">
        <v>4504</v>
      </c>
    </row>
    <row r="1476" spans="1:3" x14ac:dyDescent="0.25">
      <c r="A1476" t="s">
        <v>4508</v>
      </c>
      <c r="B1476" t="s">
        <v>4509</v>
      </c>
      <c r="C1476" t="s">
        <v>4507</v>
      </c>
    </row>
    <row r="1477" spans="1:3" x14ac:dyDescent="0.25">
      <c r="A1477" t="s">
        <v>4511</v>
      </c>
      <c r="B1477" t="s">
        <v>4512</v>
      </c>
      <c r="C1477" t="s">
        <v>4510</v>
      </c>
    </row>
    <row r="1478" spans="1:3" x14ac:dyDescent="0.25">
      <c r="A1478" t="s">
        <v>4514</v>
      </c>
      <c r="B1478" t="s">
        <v>4515</v>
      </c>
      <c r="C1478" t="s">
        <v>4513</v>
      </c>
    </row>
    <row r="1479" spans="1:3" x14ac:dyDescent="0.25">
      <c r="A1479" t="s">
        <v>4517</v>
      </c>
      <c r="B1479" t="s">
        <v>4518</v>
      </c>
      <c r="C1479" t="s">
        <v>4516</v>
      </c>
    </row>
    <row r="1480" spans="1:3" x14ac:dyDescent="0.25">
      <c r="A1480" t="s">
        <v>4520</v>
      </c>
      <c r="B1480" t="s">
        <v>4521</v>
      </c>
      <c r="C1480" t="s">
        <v>4519</v>
      </c>
    </row>
    <row r="1481" spans="1:3" x14ac:dyDescent="0.25">
      <c r="A1481" t="s">
        <v>4523</v>
      </c>
      <c r="B1481" t="s">
        <v>4524</v>
      </c>
      <c r="C1481" t="s">
        <v>4522</v>
      </c>
    </row>
    <row r="1482" spans="1:3" x14ac:dyDescent="0.25">
      <c r="A1482" t="s">
        <v>4526</v>
      </c>
      <c r="B1482" t="s">
        <v>4527</v>
      </c>
      <c r="C1482" t="s">
        <v>4525</v>
      </c>
    </row>
    <row r="1483" spans="1:3" x14ac:dyDescent="0.25">
      <c r="A1483" t="s">
        <v>4529</v>
      </c>
      <c r="B1483" t="s">
        <v>4530</v>
      </c>
      <c r="C1483" t="s">
        <v>4528</v>
      </c>
    </row>
    <row r="1484" spans="1:3" x14ac:dyDescent="0.25">
      <c r="A1484" t="s">
        <v>4532</v>
      </c>
      <c r="B1484" t="s">
        <v>4533</v>
      </c>
      <c r="C1484" t="s">
        <v>4531</v>
      </c>
    </row>
    <row r="1485" spans="1:3" x14ac:dyDescent="0.25">
      <c r="A1485" t="s">
        <v>4535</v>
      </c>
      <c r="B1485" t="s">
        <v>4536</v>
      </c>
      <c r="C1485" t="s">
        <v>4534</v>
      </c>
    </row>
    <row r="1486" spans="1:3" x14ac:dyDescent="0.25">
      <c r="A1486" t="s">
        <v>4538</v>
      </c>
      <c r="B1486" t="s">
        <v>4539</v>
      </c>
      <c r="C1486" t="s">
        <v>4537</v>
      </c>
    </row>
    <row r="1487" spans="1:3" x14ac:dyDescent="0.25">
      <c r="A1487" t="s">
        <v>4541</v>
      </c>
      <c r="B1487" t="s">
        <v>4542</v>
      </c>
      <c r="C1487" t="s">
        <v>4540</v>
      </c>
    </row>
    <row r="1488" spans="1:3" x14ac:dyDescent="0.25">
      <c r="A1488" t="s">
        <v>4544</v>
      </c>
      <c r="B1488" t="s">
        <v>4545</v>
      </c>
      <c r="C1488" t="s">
        <v>4543</v>
      </c>
    </row>
    <row r="1489" spans="1:3" x14ac:dyDescent="0.25">
      <c r="A1489" t="s">
        <v>4547</v>
      </c>
      <c r="B1489" t="s">
        <v>4548</v>
      </c>
      <c r="C1489" t="s">
        <v>4546</v>
      </c>
    </row>
    <row r="1490" spans="1:3" x14ac:dyDescent="0.25">
      <c r="A1490" t="s">
        <v>4550</v>
      </c>
      <c r="B1490" t="s">
        <v>4551</v>
      </c>
      <c r="C1490" t="s">
        <v>4549</v>
      </c>
    </row>
    <row r="1491" spans="1:3" x14ac:dyDescent="0.25">
      <c r="A1491" t="s">
        <v>4553</v>
      </c>
      <c r="B1491" t="s">
        <v>4554</v>
      </c>
      <c r="C1491" t="s">
        <v>4552</v>
      </c>
    </row>
    <row r="1492" spans="1:3" x14ac:dyDescent="0.25">
      <c r="A1492" t="s">
        <v>4556</v>
      </c>
      <c r="B1492" t="s">
        <v>4557</v>
      </c>
      <c r="C1492" t="s">
        <v>4555</v>
      </c>
    </row>
    <row r="1493" spans="1:3" x14ac:dyDescent="0.25">
      <c r="A1493" t="s">
        <v>4559</v>
      </c>
      <c r="B1493" t="s">
        <v>4560</v>
      </c>
      <c r="C1493" t="s">
        <v>4558</v>
      </c>
    </row>
    <row r="1494" spans="1:3" x14ac:dyDescent="0.25">
      <c r="A1494" t="s">
        <v>4562</v>
      </c>
      <c r="B1494" t="s">
        <v>4563</v>
      </c>
      <c r="C1494" t="s">
        <v>4561</v>
      </c>
    </row>
    <row r="1495" spans="1:3" x14ac:dyDescent="0.25">
      <c r="A1495" t="s">
        <v>4565</v>
      </c>
      <c r="B1495" t="s">
        <v>4566</v>
      </c>
      <c r="C1495" t="s">
        <v>4564</v>
      </c>
    </row>
    <row r="1496" spans="1:3" x14ac:dyDescent="0.25">
      <c r="A1496" t="s">
        <v>4568</v>
      </c>
      <c r="B1496" t="s">
        <v>4569</v>
      </c>
      <c r="C1496" t="s">
        <v>4567</v>
      </c>
    </row>
    <row r="1497" spans="1:3" x14ac:dyDescent="0.25">
      <c r="A1497" t="s">
        <v>4571</v>
      </c>
      <c r="B1497" t="s">
        <v>4572</v>
      </c>
      <c r="C1497" t="s">
        <v>4570</v>
      </c>
    </row>
    <row r="1498" spans="1:3" x14ac:dyDescent="0.25">
      <c r="A1498" t="s">
        <v>4574</v>
      </c>
      <c r="B1498" t="s">
        <v>4575</v>
      </c>
      <c r="C1498" t="s">
        <v>4573</v>
      </c>
    </row>
    <row r="1499" spans="1:3" x14ac:dyDescent="0.25">
      <c r="A1499" t="s">
        <v>4577</v>
      </c>
      <c r="B1499" t="s">
        <v>4578</v>
      </c>
      <c r="C1499" t="s">
        <v>4576</v>
      </c>
    </row>
    <row r="1500" spans="1:3" x14ac:dyDescent="0.25">
      <c r="A1500" t="s">
        <v>4580</v>
      </c>
      <c r="B1500" t="s">
        <v>4581</v>
      </c>
      <c r="C1500" t="s">
        <v>4579</v>
      </c>
    </row>
    <row r="1501" spans="1:3" x14ac:dyDescent="0.25">
      <c r="A1501" t="s">
        <v>4583</v>
      </c>
      <c r="B1501" t="s">
        <v>4584</v>
      </c>
      <c r="C1501" t="s">
        <v>4582</v>
      </c>
    </row>
    <row r="1502" spans="1:3" x14ac:dyDescent="0.25">
      <c r="A1502" t="s">
        <v>4586</v>
      </c>
      <c r="B1502" t="s">
        <v>4587</v>
      </c>
      <c r="C1502" t="s">
        <v>4585</v>
      </c>
    </row>
    <row r="1503" spans="1:3" x14ac:dyDescent="0.25">
      <c r="A1503" t="s">
        <v>4589</v>
      </c>
      <c r="B1503" t="s">
        <v>4590</v>
      </c>
      <c r="C1503" t="s">
        <v>4588</v>
      </c>
    </row>
    <row r="1504" spans="1:3" x14ac:dyDescent="0.25">
      <c r="A1504" t="s">
        <v>4592</v>
      </c>
      <c r="B1504" t="s">
        <v>4593</v>
      </c>
      <c r="C1504" t="s">
        <v>4591</v>
      </c>
    </row>
    <row r="1505" spans="1:3" x14ac:dyDescent="0.25">
      <c r="A1505" t="s">
        <v>4595</v>
      </c>
      <c r="B1505" t="s">
        <v>4596</v>
      </c>
      <c r="C1505" t="s">
        <v>4594</v>
      </c>
    </row>
    <row r="1506" spans="1:3" x14ac:dyDescent="0.25">
      <c r="A1506" t="s">
        <v>4598</v>
      </c>
      <c r="B1506" t="s">
        <v>4599</v>
      </c>
      <c r="C1506" t="s">
        <v>4597</v>
      </c>
    </row>
    <row r="1507" spans="1:3" x14ac:dyDescent="0.25">
      <c r="A1507" t="s">
        <v>4601</v>
      </c>
      <c r="B1507" t="s">
        <v>4599</v>
      </c>
      <c r="C1507" t="s">
        <v>4600</v>
      </c>
    </row>
    <row r="1508" spans="1:3" x14ac:dyDescent="0.25">
      <c r="A1508" t="s">
        <v>4603</v>
      </c>
      <c r="B1508" t="s">
        <v>4604</v>
      </c>
      <c r="C1508" t="s">
        <v>4602</v>
      </c>
    </row>
    <row r="1509" spans="1:3" x14ac:dyDescent="0.25">
      <c r="A1509" t="s">
        <v>4606</v>
      </c>
      <c r="B1509" t="s">
        <v>4607</v>
      </c>
      <c r="C1509" t="s">
        <v>4605</v>
      </c>
    </row>
    <row r="1510" spans="1:3" x14ac:dyDescent="0.25">
      <c r="A1510" t="s">
        <v>4609</v>
      </c>
      <c r="B1510" t="s">
        <v>4610</v>
      </c>
      <c r="C1510" t="s">
        <v>4608</v>
      </c>
    </row>
    <row r="1511" spans="1:3" x14ac:dyDescent="0.25">
      <c r="A1511" t="s">
        <v>4612</v>
      </c>
      <c r="B1511" t="s">
        <v>4613</v>
      </c>
      <c r="C1511" t="s">
        <v>4611</v>
      </c>
    </row>
    <row r="1512" spans="1:3" x14ac:dyDescent="0.25">
      <c r="A1512" t="s">
        <v>4615</v>
      </c>
      <c r="B1512" t="s">
        <v>4616</v>
      </c>
      <c r="C1512" t="s">
        <v>4614</v>
      </c>
    </row>
    <row r="1513" spans="1:3" x14ac:dyDescent="0.25">
      <c r="A1513" t="s">
        <v>4618</v>
      </c>
      <c r="B1513" t="s">
        <v>4619</v>
      </c>
      <c r="C1513" t="s">
        <v>4617</v>
      </c>
    </row>
    <row r="1514" spans="1:3" x14ac:dyDescent="0.25">
      <c r="A1514" t="s">
        <v>4621</v>
      </c>
      <c r="B1514" t="s">
        <v>4622</v>
      </c>
      <c r="C1514" t="s">
        <v>4620</v>
      </c>
    </row>
    <row r="1515" spans="1:3" x14ac:dyDescent="0.25">
      <c r="A1515" t="s">
        <v>4624</v>
      </c>
      <c r="B1515" t="s">
        <v>4625</v>
      </c>
      <c r="C1515" t="s">
        <v>4623</v>
      </c>
    </row>
    <row r="1516" spans="1:3" x14ac:dyDescent="0.25">
      <c r="A1516" t="s">
        <v>4627</v>
      </c>
      <c r="B1516" t="s">
        <v>4628</v>
      </c>
      <c r="C1516" t="s">
        <v>4626</v>
      </c>
    </row>
    <row r="1517" spans="1:3" x14ac:dyDescent="0.25">
      <c r="A1517" t="s">
        <v>4630</v>
      </c>
      <c r="B1517" t="s">
        <v>4631</v>
      </c>
      <c r="C1517" t="s">
        <v>4629</v>
      </c>
    </row>
    <row r="1518" spans="1:3" x14ac:dyDescent="0.25">
      <c r="A1518" t="s">
        <v>4633</v>
      </c>
      <c r="B1518" t="s">
        <v>4634</v>
      </c>
      <c r="C1518" t="s">
        <v>4632</v>
      </c>
    </row>
    <row r="1519" spans="1:3" x14ac:dyDescent="0.25">
      <c r="A1519" t="s">
        <v>4636</v>
      </c>
      <c r="B1519" t="s">
        <v>4637</v>
      </c>
      <c r="C1519" t="s">
        <v>4635</v>
      </c>
    </row>
    <row r="1520" spans="1:3" x14ac:dyDescent="0.25">
      <c r="A1520" t="s">
        <v>4639</v>
      </c>
      <c r="B1520" t="s">
        <v>4640</v>
      </c>
      <c r="C1520" t="s">
        <v>4638</v>
      </c>
    </row>
    <row r="1521" spans="1:3" x14ac:dyDescent="0.25">
      <c r="A1521" t="s">
        <v>4642</v>
      </c>
      <c r="B1521" t="s">
        <v>4643</v>
      </c>
      <c r="C1521" t="s">
        <v>4641</v>
      </c>
    </row>
    <row r="1522" spans="1:3" x14ac:dyDescent="0.25">
      <c r="A1522" t="s">
        <v>4645</v>
      </c>
      <c r="B1522" t="s">
        <v>4646</v>
      </c>
      <c r="C1522" t="s">
        <v>4644</v>
      </c>
    </row>
    <row r="1523" spans="1:3" x14ac:dyDescent="0.25">
      <c r="A1523" t="s">
        <v>4648</v>
      </c>
      <c r="B1523" t="s">
        <v>4649</v>
      </c>
      <c r="C1523" t="s">
        <v>4647</v>
      </c>
    </row>
    <row r="1524" spans="1:3" x14ac:dyDescent="0.25">
      <c r="A1524" t="s">
        <v>4651</v>
      </c>
      <c r="B1524" t="s">
        <v>4652</v>
      </c>
      <c r="C1524" t="s">
        <v>4650</v>
      </c>
    </row>
    <row r="1525" spans="1:3" x14ac:dyDescent="0.25">
      <c r="A1525" t="s">
        <v>4654</v>
      </c>
      <c r="B1525" t="s">
        <v>4655</v>
      </c>
      <c r="C1525" t="s">
        <v>4653</v>
      </c>
    </row>
    <row r="1526" spans="1:3" x14ac:dyDescent="0.25">
      <c r="A1526" t="s">
        <v>4657</v>
      </c>
      <c r="B1526" t="s">
        <v>4658</v>
      </c>
      <c r="C1526" t="s">
        <v>4656</v>
      </c>
    </row>
    <row r="1527" spans="1:3" x14ac:dyDescent="0.25">
      <c r="A1527" t="s">
        <v>4660</v>
      </c>
      <c r="B1527" t="s">
        <v>4661</v>
      </c>
      <c r="C1527" t="s">
        <v>4659</v>
      </c>
    </row>
    <row r="1528" spans="1:3" x14ac:dyDescent="0.25">
      <c r="A1528" t="s">
        <v>4663</v>
      </c>
      <c r="B1528" t="s">
        <v>4664</v>
      </c>
      <c r="C1528" t="s">
        <v>4662</v>
      </c>
    </row>
    <row r="1529" spans="1:3" x14ac:dyDescent="0.25">
      <c r="A1529" t="s">
        <v>4666</v>
      </c>
      <c r="B1529" t="s">
        <v>4667</v>
      </c>
      <c r="C1529" t="s">
        <v>4665</v>
      </c>
    </row>
    <row r="1530" spans="1:3" x14ac:dyDescent="0.25">
      <c r="A1530" t="s">
        <v>4669</v>
      </c>
      <c r="B1530" t="s">
        <v>4670</v>
      </c>
      <c r="C1530" t="s">
        <v>4668</v>
      </c>
    </row>
    <row r="1531" spans="1:3" x14ac:dyDescent="0.25">
      <c r="A1531" t="s">
        <v>4672</v>
      </c>
      <c r="B1531" t="s">
        <v>4673</v>
      </c>
      <c r="C1531" t="s">
        <v>4671</v>
      </c>
    </row>
    <row r="1532" spans="1:3" x14ac:dyDescent="0.25">
      <c r="A1532" t="s">
        <v>4675</v>
      </c>
      <c r="B1532" t="s">
        <v>4676</v>
      </c>
      <c r="C1532" t="s">
        <v>4674</v>
      </c>
    </row>
    <row r="1533" spans="1:3" x14ac:dyDescent="0.25">
      <c r="A1533" t="s">
        <v>4678</v>
      </c>
      <c r="B1533" t="s">
        <v>4679</v>
      </c>
      <c r="C1533" t="s">
        <v>4677</v>
      </c>
    </row>
    <row r="1534" spans="1:3" x14ac:dyDescent="0.25">
      <c r="A1534" t="s">
        <v>4681</v>
      </c>
      <c r="B1534" t="s">
        <v>4682</v>
      </c>
      <c r="C1534" t="s">
        <v>4680</v>
      </c>
    </row>
    <row r="1535" spans="1:3" x14ac:dyDescent="0.25">
      <c r="A1535" t="s">
        <v>4684</v>
      </c>
      <c r="B1535" t="s">
        <v>4685</v>
      </c>
      <c r="C1535" t="s">
        <v>4683</v>
      </c>
    </row>
    <row r="1536" spans="1:3" x14ac:dyDescent="0.25">
      <c r="A1536" t="s">
        <v>4687</v>
      </c>
      <c r="B1536" t="s">
        <v>4688</v>
      </c>
      <c r="C1536" t="s">
        <v>4686</v>
      </c>
    </row>
    <row r="1537" spans="1:3" x14ac:dyDescent="0.25">
      <c r="A1537" t="s">
        <v>4690</v>
      </c>
      <c r="B1537" t="s">
        <v>4691</v>
      </c>
      <c r="C1537" t="s">
        <v>4689</v>
      </c>
    </row>
    <row r="1538" spans="1:3" x14ac:dyDescent="0.25">
      <c r="A1538" t="s">
        <v>4693</v>
      </c>
      <c r="B1538" t="s">
        <v>4694</v>
      </c>
      <c r="C1538" t="s">
        <v>4692</v>
      </c>
    </row>
    <row r="1539" spans="1:3" x14ac:dyDescent="0.25">
      <c r="A1539" t="s">
        <v>4696</v>
      </c>
      <c r="B1539" t="s">
        <v>4697</v>
      </c>
      <c r="C1539" t="s">
        <v>4695</v>
      </c>
    </row>
    <row r="1540" spans="1:3" x14ac:dyDescent="0.25">
      <c r="A1540" t="s">
        <v>4699</v>
      </c>
      <c r="B1540" t="s">
        <v>4700</v>
      </c>
      <c r="C1540" t="s">
        <v>4698</v>
      </c>
    </row>
    <row r="1541" spans="1:3" x14ac:dyDescent="0.25">
      <c r="A1541" t="s">
        <v>4702</v>
      </c>
      <c r="B1541" t="s">
        <v>4703</v>
      </c>
      <c r="C1541" t="s">
        <v>4701</v>
      </c>
    </row>
    <row r="1542" spans="1:3" x14ac:dyDescent="0.25">
      <c r="A1542" t="s">
        <v>4705</v>
      </c>
      <c r="B1542" t="s">
        <v>4706</v>
      </c>
      <c r="C1542" t="s">
        <v>4704</v>
      </c>
    </row>
    <row r="1543" spans="1:3" x14ac:dyDescent="0.25">
      <c r="A1543" t="s">
        <v>4708</v>
      </c>
      <c r="B1543" t="s">
        <v>4709</v>
      </c>
      <c r="C1543" t="s">
        <v>4707</v>
      </c>
    </row>
    <row r="1544" spans="1:3" x14ac:dyDescent="0.25">
      <c r="A1544" t="s">
        <v>4711</v>
      </c>
      <c r="B1544" t="s">
        <v>4712</v>
      </c>
      <c r="C1544" t="s">
        <v>4710</v>
      </c>
    </row>
    <row r="1545" spans="1:3" x14ac:dyDescent="0.25">
      <c r="A1545" t="s">
        <v>4714</v>
      </c>
      <c r="B1545" t="s">
        <v>4715</v>
      </c>
      <c r="C1545" t="s">
        <v>4713</v>
      </c>
    </row>
    <row r="1546" spans="1:3" x14ac:dyDescent="0.25">
      <c r="A1546" t="s">
        <v>4717</v>
      </c>
      <c r="B1546" t="s">
        <v>4718</v>
      </c>
      <c r="C1546" t="s">
        <v>4716</v>
      </c>
    </row>
    <row r="1547" spans="1:3" x14ac:dyDescent="0.25">
      <c r="A1547" t="s">
        <v>4720</v>
      </c>
      <c r="B1547" t="s">
        <v>4721</v>
      </c>
      <c r="C1547" t="s">
        <v>4719</v>
      </c>
    </row>
    <row r="1548" spans="1:3" x14ac:dyDescent="0.25">
      <c r="A1548" t="s">
        <v>4723</v>
      </c>
      <c r="B1548" t="s">
        <v>4724</v>
      </c>
      <c r="C1548" t="s">
        <v>4722</v>
      </c>
    </row>
    <row r="1549" spans="1:3" x14ac:dyDescent="0.25">
      <c r="A1549" t="s">
        <v>4726</v>
      </c>
      <c r="B1549" t="s">
        <v>4727</v>
      </c>
      <c r="C1549" t="s">
        <v>4725</v>
      </c>
    </row>
    <row r="1550" spans="1:3" x14ac:dyDescent="0.25">
      <c r="A1550" t="s">
        <v>4729</v>
      </c>
      <c r="B1550" t="s">
        <v>4730</v>
      </c>
      <c r="C1550" t="s">
        <v>4728</v>
      </c>
    </row>
    <row r="1551" spans="1:3" x14ac:dyDescent="0.25">
      <c r="A1551" t="s">
        <v>4732</v>
      </c>
      <c r="B1551" t="s">
        <v>4733</v>
      </c>
      <c r="C1551" t="s">
        <v>4731</v>
      </c>
    </row>
    <row r="1552" spans="1:3" x14ac:dyDescent="0.25">
      <c r="A1552" t="s">
        <v>4735</v>
      </c>
      <c r="B1552" t="s">
        <v>4736</v>
      </c>
      <c r="C1552" t="s">
        <v>4734</v>
      </c>
    </row>
    <row r="1553" spans="1:3" x14ac:dyDescent="0.25">
      <c r="A1553" t="s">
        <v>4738</v>
      </c>
      <c r="B1553" t="s">
        <v>4739</v>
      </c>
      <c r="C1553" t="s">
        <v>4737</v>
      </c>
    </row>
    <row r="1554" spans="1:3" x14ac:dyDescent="0.25">
      <c r="A1554" t="s">
        <v>4741</v>
      </c>
      <c r="B1554" t="s">
        <v>4742</v>
      </c>
      <c r="C1554" t="s">
        <v>4740</v>
      </c>
    </row>
    <row r="1555" spans="1:3" x14ac:dyDescent="0.25">
      <c r="A1555" t="s">
        <v>4744</v>
      </c>
      <c r="B1555" t="s">
        <v>4745</v>
      </c>
      <c r="C1555" t="s">
        <v>4743</v>
      </c>
    </row>
    <row r="1556" spans="1:3" x14ac:dyDescent="0.25">
      <c r="A1556" t="s">
        <v>4747</v>
      </c>
      <c r="B1556" t="s">
        <v>4748</v>
      </c>
      <c r="C1556" t="s">
        <v>4746</v>
      </c>
    </row>
    <row r="1557" spans="1:3" x14ac:dyDescent="0.25">
      <c r="A1557" t="s">
        <v>4750</v>
      </c>
      <c r="B1557" t="s">
        <v>4751</v>
      </c>
      <c r="C1557" t="s">
        <v>4749</v>
      </c>
    </row>
    <row r="1558" spans="1:3" x14ac:dyDescent="0.25">
      <c r="A1558" t="s">
        <v>4753</v>
      </c>
      <c r="B1558" t="s">
        <v>4754</v>
      </c>
      <c r="C1558" t="s">
        <v>4752</v>
      </c>
    </row>
    <row r="1559" spans="1:3" x14ac:dyDescent="0.25">
      <c r="A1559" t="s">
        <v>4756</v>
      </c>
      <c r="B1559" t="s">
        <v>4757</v>
      </c>
      <c r="C1559" t="s">
        <v>4755</v>
      </c>
    </row>
    <row r="1560" spans="1:3" x14ac:dyDescent="0.25">
      <c r="A1560" t="s">
        <v>4759</v>
      </c>
      <c r="B1560" t="s">
        <v>4760</v>
      </c>
      <c r="C1560" t="s">
        <v>4758</v>
      </c>
    </row>
    <row r="1561" spans="1:3" x14ac:dyDescent="0.25">
      <c r="A1561" t="s">
        <v>4762</v>
      </c>
      <c r="B1561" t="s">
        <v>4763</v>
      </c>
      <c r="C1561" t="s">
        <v>4761</v>
      </c>
    </row>
    <row r="1562" spans="1:3" x14ac:dyDescent="0.25">
      <c r="A1562" t="s">
        <v>4765</v>
      </c>
      <c r="B1562" t="s">
        <v>4766</v>
      </c>
      <c r="C1562" t="s">
        <v>4764</v>
      </c>
    </row>
    <row r="1563" spans="1:3" x14ac:dyDescent="0.25">
      <c r="A1563" t="s">
        <v>4768</v>
      </c>
      <c r="B1563" t="s">
        <v>4769</v>
      </c>
      <c r="C1563" t="s">
        <v>4767</v>
      </c>
    </row>
    <row r="1564" spans="1:3" x14ac:dyDescent="0.25">
      <c r="A1564" t="s">
        <v>4771</v>
      </c>
      <c r="B1564" t="s">
        <v>4772</v>
      </c>
      <c r="C1564" t="s">
        <v>4770</v>
      </c>
    </row>
    <row r="1565" spans="1:3" x14ac:dyDescent="0.25">
      <c r="A1565" t="s">
        <v>4774</v>
      </c>
      <c r="B1565" t="s">
        <v>4775</v>
      </c>
      <c r="C1565" t="s">
        <v>4773</v>
      </c>
    </row>
    <row r="1566" spans="1:3" x14ac:dyDescent="0.25">
      <c r="A1566" t="s">
        <v>4777</v>
      </c>
      <c r="B1566" t="s">
        <v>4778</v>
      </c>
      <c r="C1566" t="s">
        <v>4776</v>
      </c>
    </row>
    <row r="1567" spans="1:3" x14ac:dyDescent="0.25">
      <c r="A1567" t="s">
        <v>4780</v>
      </c>
      <c r="B1567" t="s">
        <v>4781</v>
      </c>
      <c r="C1567" t="s">
        <v>4779</v>
      </c>
    </row>
    <row r="1568" spans="1:3" x14ac:dyDescent="0.25">
      <c r="A1568" t="s">
        <v>4783</v>
      </c>
      <c r="B1568" t="s">
        <v>4784</v>
      </c>
      <c r="C1568" t="s">
        <v>4782</v>
      </c>
    </row>
    <row r="1569" spans="1:3" x14ac:dyDescent="0.25">
      <c r="A1569" t="s">
        <v>4786</v>
      </c>
      <c r="B1569" t="s">
        <v>4787</v>
      </c>
      <c r="C1569" t="s">
        <v>4785</v>
      </c>
    </row>
    <row r="1570" spans="1:3" x14ac:dyDescent="0.25">
      <c r="A1570" t="s">
        <v>4789</v>
      </c>
      <c r="B1570" t="s">
        <v>4790</v>
      </c>
      <c r="C1570" t="s">
        <v>4788</v>
      </c>
    </row>
    <row r="1571" spans="1:3" x14ac:dyDescent="0.25">
      <c r="A1571" t="s">
        <v>4792</v>
      </c>
      <c r="B1571" t="s">
        <v>4793</v>
      </c>
      <c r="C1571" t="s">
        <v>4791</v>
      </c>
    </row>
    <row r="1572" spans="1:3" x14ac:dyDescent="0.25">
      <c r="A1572" t="s">
        <v>4795</v>
      </c>
      <c r="B1572" t="s">
        <v>4796</v>
      </c>
      <c r="C1572" t="s">
        <v>4794</v>
      </c>
    </row>
    <row r="1573" spans="1:3" x14ac:dyDescent="0.25">
      <c r="A1573" t="s">
        <v>4798</v>
      </c>
      <c r="B1573" t="s">
        <v>4799</v>
      </c>
      <c r="C1573" t="s">
        <v>4797</v>
      </c>
    </row>
    <row r="1574" spans="1:3" x14ac:dyDescent="0.25">
      <c r="A1574" t="s">
        <v>4801</v>
      </c>
      <c r="B1574" t="s">
        <v>4802</v>
      </c>
      <c r="C1574" t="s">
        <v>4800</v>
      </c>
    </row>
    <row r="1575" spans="1:3" x14ac:dyDescent="0.25">
      <c r="A1575" t="s">
        <v>4804</v>
      </c>
      <c r="B1575" t="s">
        <v>4805</v>
      </c>
      <c r="C1575" t="s">
        <v>4803</v>
      </c>
    </row>
    <row r="1576" spans="1:3" x14ac:dyDescent="0.25">
      <c r="A1576" t="s">
        <v>4807</v>
      </c>
      <c r="B1576" t="s">
        <v>4808</v>
      </c>
      <c r="C1576" t="s">
        <v>4806</v>
      </c>
    </row>
    <row r="1577" spans="1:3" x14ac:dyDescent="0.25">
      <c r="A1577" t="s">
        <v>4810</v>
      </c>
      <c r="B1577" t="s">
        <v>4811</v>
      </c>
      <c r="C1577" t="s">
        <v>4809</v>
      </c>
    </row>
    <row r="1578" spans="1:3" x14ac:dyDescent="0.25">
      <c r="A1578" t="s">
        <v>4813</v>
      </c>
      <c r="B1578" t="s">
        <v>4799</v>
      </c>
      <c r="C1578" t="s">
        <v>4812</v>
      </c>
    </row>
    <row r="1579" spans="1:3" x14ac:dyDescent="0.25">
      <c r="A1579" t="s">
        <v>4815</v>
      </c>
      <c r="B1579" t="s">
        <v>4816</v>
      </c>
      <c r="C1579" t="s">
        <v>4814</v>
      </c>
    </row>
    <row r="1580" spans="1:3" x14ac:dyDescent="0.25">
      <c r="A1580" t="s">
        <v>4818</v>
      </c>
      <c r="B1580" t="s">
        <v>4819</v>
      </c>
      <c r="C1580" t="s">
        <v>4817</v>
      </c>
    </row>
    <row r="1581" spans="1:3" x14ac:dyDescent="0.25">
      <c r="A1581" t="s">
        <v>4821</v>
      </c>
      <c r="B1581" t="s">
        <v>4822</v>
      </c>
      <c r="C1581" t="s">
        <v>4820</v>
      </c>
    </row>
    <row r="1582" spans="1:3" x14ac:dyDescent="0.25">
      <c r="A1582" t="s">
        <v>4824</v>
      </c>
      <c r="B1582" t="s">
        <v>4825</v>
      </c>
      <c r="C1582" t="s">
        <v>4823</v>
      </c>
    </row>
    <row r="1583" spans="1:3" x14ac:dyDescent="0.25">
      <c r="A1583" t="s">
        <v>4827</v>
      </c>
      <c r="B1583" t="s">
        <v>4828</v>
      </c>
      <c r="C1583" t="s">
        <v>4826</v>
      </c>
    </row>
    <row r="1584" spans="1:3" x14ac:dyDescent="0.25">
      <c r="A1584" t="s">
        <v>4830</v>
      </c>
      <c r="B1584" t="s">
        <v>4831</v>
      </c>
      <c r="C1584" t="s">
        <v>4829</v>
      </c>
    </row>
    <row r="1585" spans="1:3" x14ac:dyDescent="0.25">
      <c r="A1585" t="s">
        <v>4833</v>
      </c>
      <c r="B1585" t="s">
        <v>4834</v>
      </c>
      <c r="C1585" t="s">
        <v>4832</v>
      </c>
    </row>
    <row r="1586" spans="1:3" x14ac:dyDescent="0.25">
      <c r="A1586" t="s">
        <v>4836</v>
      </c>
      <c r="B1586" t="s">
        <v>4837</v>
      </c>
      <c r="C1586" t="s">
        <v>4835</v>
      </c>
    </row>
    <row r="1587" spans="1:3" x14ac:dyDescent="0.25">
      <c r="A1587" t="s">
        <v>4839</v>
      </c>
      <c r="B1587" t="s">
        <v>4840</v>
      </c>
      <c r="C1587" t="s">
        <v>4838</v>
      </c>
    </row>
    <row r="1588" spans="1:3" x14ac:dyDescent="0.25">
      <c r="A1588" t="s">
        <v>4842</v>
      </c>
      <c r="B1588" t="s">
        <v>4843</v>
      </c>
      <c r="C1588" t="s">
        <v>4841</v>
      </c>
    </row>
    <row r="1589" spans="1:3" x14ac:dyDescent="0.25">
      <c r="A1589" t="s">
        <v>4845</v>
      </c>
      <c r="B1589" t="s">
        <v>4846</v>
      </c>
      <c r="C1589" t="s">
        <v>4844</v>
      </c>
    </row>
    <row r="1590" spans="1:3" x14ac:dyDescent="0.25">
      <c r="A1590" t="s">
        <v>4848</v>
      </c>
      <c r="B1590" t="s">
        <v>4849</v>
      </c>
      <c r="C1590" t="s">
        <v>4847</v>
      </c>
    </row>
    <row r="1591" spans="1:3" x14ac:dyDescent="0.25">
      <c r="A1591" t="s">
        <v>4851</v>
      </c>
      <c r="B1591" t="s">
        <v>4852</v>
      </c>
      <c r="C1591" t="s">
        <v>4850</v>
      </c>
    </row>
    <row r="1592" spans="1:3" x14ac:dyDescent="0.25">
      <c r="A1592" t="s">
        <v>4854</v>
      </c>
      <c r="B1592" t="s">
        <v>4855</v>
      </c>
      <c r="C1592" t="s">
        <v>4853</v>
      </c>
    </row>
    <row r="1593" spans="1:3" x14ac:dyDescent="0.25">
      <c r="A1593" t="s">
        <v>4857</v>
      </c>
      <c r="B1593" t="s">
        <v>4858</v>
      </c>
      <c r="C1593" t="s">
        <v>4856</v>
      </c>
    </row>
    <row r="1594" spans="1:3" x14ac:dyDescent="0.25">
      <c r="A1594" t="s">
        <v>4860</v>
      </c>
      <c r="B1594" t="s">
        <v>4861</v>
      </c>
      <c r="C1594" t="s">
        <v>4859</v>
      </c>
    </row>
    <row r="1595" spans="1:3" x14ac:dyDescent="0.25">
      <c r="A1595" t="s">
        <v>4863</v>
      </c>
      <c r="B1595" t="s">
        <v>4864</v>
      </c>
      <c r="C1595" t="s">
        <v>4862</v>
      </c>
    </row>
    <row r="1596" spans="1:3" x14ac:dyDescent="0.25">
      <c r="A1596" t="s">
        <v>4866</v>
      </c>
      <c r="B1596" t="s">
        <v>4867</v>
      </c>
      <c r="C1596" t="s">
        <v>4865</v>
      </c>
    </row>
    <row r="1597" spans="1:3" x14ac:dyDescent="0.25">
      <c r="A1597" t="s">
        <v>4869</v>
      </c>
      <c r="B1597" t="s">
        <v>4870</v>
      </c>
      <c r="C1597" t="s">
        <v>4868</v>
      </c>
    </row>
    <row r="1598" spans="1:3" x14ac:dyDescent="0.25">
      <c r="A1598" t="s">
        <v>4872</v>
      </c>
      <c r="B1598" t="s">
        <v>4873</v>
      </c>
      <c r="C1598" t="s">
        <v>4871</v>
      </c>
    </row>
    <row r="1599" spans="1:3" x14ac:dyDescent="0.25">
      <c r="A1599" t="s">
        <v>4875</v>
      </c>
      <c r="B1599" t="s">
        <v>4876</v>
      </c>
      <c r="C1599" t="s">
        <v>4874</v>
      </c>
    </row>
    <row r="1600" spans="1:3" x14ac:dyDescent="0.25">
      <c r="A1600" t="s">
        <v>4878</v>
      </c>
      <c r="B1600" t="s">
        <v>4879</v>
      </c>
      <c r="C1600" t="s">
        <v>4877</v>
      </c>
    </row>
    <row r="1601" spans="1:3" x14ac:dyDescent="0.25">
      <c r="A1601" t="s">
        <v>4881</v>
      </c>
      <c r="B1601" t="s">
        <v>4882</v>
      </c>
      <c r="C1601" t="s">
        <v>4880</v>
      </c>
    </row>
    <row r="1602" spans="1:3" x14ac:dyDescent="0.25">
      <c r="A1602" t="s">
        <v>4884</v>
      </c>
      <c r="B1602" t="s">
        <v>4885</v>
      </c>
      <c r="C1602" t="s">
        <v>4883</v>
      </c>
    </row>
    <row r="1603" spans="1:3" x14ac:dyDescent="0.25">
      <c r="A1603" t="s">
        <v>4887</v>
      </c>
      <c r="B1603" t="s">
        <v>4888</v>
      </c>
      <c r="C1603" t="s">
        <v>4886</v>
      </c>
    </row>
    <row r="1604" spans="1:3" x14ac:dyDescent="0.25">
      <c r="A1604" t="s">
        <v>4890</v>
      </c>
      <c r="B1604" t="s">
        <v>4891</v>
      </c>
      <c r="C1604" t="s">
        <v>4889</v>
      </c>
    </row>
    <row r="1605" spans="1:3" x14ac:dyDescent="0.25">
      <c r="A1605" t="s">
        <v>4893</v>
      </c>
      <c r="B1605" t="s">
        <v>4894</v>
      </c>
      <c r="C1605" t="s">
        <v>4892</v>
      </c>
    </row>
    <row r="1606" spans="1:3" x14ac:dyDescent="0.25">
      <c r="A1606" t="s">
        <v>4896</v>
      </c>
      <c r="B1606" t="s">
        <v>4897</v>
      </c>
      <c r="C1606" t="s">
        <v>4895</v>
      </c>
    </row>
    <row r="1607" spans="1:3" x14ac:dyDescent="0.25">
      <c r="A1607" t="s">
        <v>4899</v>
      </c>
      <c r="B1607" t="s">
        <v>4900</v>
      </c>
      <c r="C1607" t="s">
        <v>4898</v>
      </c>
    </row>
    <row r="1608" spans="1:3" x14ac:dyDescent="0.25">
      <c r="A1608" t="s">
        <v>4902</v>
      </c>
      <c r="B1608" t="s">
        <v>4903</v>
      </c>
      <c r="C1608" t="s">
        <v>4901</v>
      </c>
    </row>
    <row r="1609" spans="1:3" x14ac:dyDescent="0.25">
      <c r="A1609" t="s">
        <v>4905</v>
      </c>
      <c r="B1609" t="s">
        <v>4906</v>
      </c>
      <c r="C1609" t="s">
        <v>4904</v>
      </c>
    </row>
    <row r="1610" spans="1:3" x14ac:dyDescent="0.25">
      <c r="A1610" t="s">
        <v>4908</v>
      </c>
      <c r="B1610" t="s">
        <v>4903</v>
      </c>
      <c r="C1610" t="s">
        <v>4907</v>
      </c>
    </row>
    <row r="1611" spans="1:3" x14ac:dyDescent="0.25">
      <c r="A1611" t="s">
        <v>4910</v>
      </c>
      <c r="B1611" t="s">
        <v>4911</v>
      </c>
      <c r="C1611" t="s">
        <v>4909</v>
      </c>
    </row>
    <row r="1612" spans="1:3" x14ac:dyDescent="0.25">
      <c r="A1612" t="s">
        <v>4913</v>
      </c>
      <c r="B1612" t="s">
        <v>4914</v>
      </c>
      <c r="C1612" t="s">
        <v>4912</v>
      </c>
    </row>
    <row r="1613" spans="1:3" x14ac:dyDescent="0.25">
      <c r="A1613" t="s">
        <v>4916</v>
      </c>
      <c r="B1613" t="s">
        <v>4917</v>
      </c>
      <c r="C1613" t="s">
        <v>4915</v>
      </c>
    </row>
    <row r="1614" spans="1:3" x14ac:dyDescent="0.25">
      <c r="A1614" t="s">
        <v>4919</v>
      </c>
      <c r="B1614" t="s">
        <v>4920</v>
      </c>
      <c r="C1614" t="s">
        <v>4918</v>
      </c>
    </row>
    <row r="1615" spans="1:3" x14ac:dyDescent="0.25">
      <c r="A1615" t="s">
        <v>4922</v>
      </c>
      <c r="B1615" t="s">
        <v>4923</v>
      </c>
      <c r="C1615" t="s">
        <v>4921</v>
      </c>
    </row>
    <row r="1616" spans="1:3" x14ac:dyDescent="0.25">
      <c r="A1616" t="s">
        <v>4925</v>
      </c>
      <c r="B1616" t="s">
        <v>4926</v>
      </c>
      <c r="C1616" t="s">
        <v>4924</v>
      </c>
    </row>
    <row r="1617" spans="1:3" x14ac:dyDescent="0.25">
      <c r="A1617" t="s">
        <v>4928</v>
      </c>
      <c r="B1617" t="s">
        <v>4929</v>
      </c>
      <c r="C1617" t="s">
        <v>4927</v>
      </c>
    </row>
    <row r="1618" spans="1:3" x14ac:dyDescent="0.25">
      <c r="A1618" t="s">
        <v>4931</v>
      </c>
      <c r="B1618" t="s">
        <v>4932</v>
      </c>
      <c r="C1618" t="s">
        <v>4930</v>
      </c>
    </row>
    <row r="1619" spans="1:3" x14ac:dyDescent="0.25">
      <c r="A1619" t="s">
        <v>4934</v>
      </c>
      <c r="B1619" t="s">
        <v>4935</v>
      </c>
      <c r="C1619" t="s">
        <v>4933</v>
      </c>
    </row>
    <row r="1620" spans="1:3" x14ac:dyDescent="0.25">
      <c r="A1620" t="s">
        <v>4937</v>
      </c>
      <c r="B1620" t="s">
        <v>4938</v>
      </c>
      <c r="C1620" t="s">
        <v>4936</v>
      </c>
    </row>
    <row r="1621" spans="1:3" x14ac:dyDescent="0.25">
      <c r="A1621" t="s">
        <v>4940</v>
      </c>
      <c r="B1621" t="s">
        <v>4941</v>
      </c>
      <c r="C1621" t="s">
        <v>4939</v>
      </c>
    </row>
    <row r="1622" spans="1:3" x14ac:dyDescent="0.25">
      <c r="A1622" t="s">
        <v>4943</v>
      </c>
      <c r="B1622" t="s">
        <v>4944</v>
      </c>
      <c r="C1622" t="s">
        <v>4942</v>
      </c>
    </row>
    <row r="1623" spans="1:3" x14ac:dyDescent="0.25">
      <c r="A1623" t="s">
        <v>4946</v>
      </c>
      <c r="B1623" t="s">
        <v>4947</v>
      </c>
      <c r="C1623" t="s">
        <v>4945</v>
      </c>
    </row>
    <row r="1624" spans="1:3" x14ac:dyDescent="0.25">
      <c r="A1624" t="s">
        <v>4949</v>
      </c>
      <c r="B1624" t="s">
        <v>4950</v>
      </c>
      <c r="C1624" t="s">
        <v>4948</v>
      </c>
    </row>
    <row r="1625" spans="1:3" x14ac:dyDescent="0.25">
      <c r="A1625" t="s">
        <v>4952</v>
      </c>
      <c r="B1625" t="s">
        <v>4953</v>
      </c>
      <c r="C1625" t="s">
        <v>4951</v>
      </c>
    </row>
    <row r="1626" spans="1:3" x14ac:dyDescent="0.25">
      <c r="A1626" t="s">
        <v>4955</v>
      </c>
      <c r="B1626" t="s">
        <v>4956</v>
      </c>
      <c r="C1626" t="s">
        <v>4954</v>
      </c>
    </row>
    <row r="1627" spans="1:3" x14ac:dyDescent="0.25">
      <c r="A1627" t="s">
        <v>4958</v>
      </c>
      <c r="B1627" t="s">
        <v>4959</v>
      </c>
      <c r="C1627" t="s">
        <v>4957</v>
      </c>
    </row>
    <row r="1628" spans="1:3" x14ac:dyDescent="0.25">
      <c r="A1628" t="s">
        <v>4961</v>
      </c>
      <c r="B1628" t="s">
        <v>4962</v>
      </c>
      <c r="C1628" t="s">
        <v>4960</v>
      </c>
    </row>
    <row r="1629" spans="1:3" x14ac:dyDescent="0.25">
      <c r="A1629" t="s">
        <v>4964</v>
      </c>
      <c r="B1629" t="s">
        <v>4965</v>
      </c>
      <c r="C1629" t="s">
        <v>4963</v>
      </c>
    </row>
    <row r="1630" spans="1:3" x14ac:dyDescent="0.25">
      <c r="A1630" t="s">
        <v>4967</v>
      </c>
      <c r="B1630" t="s">
        <v>4968</v>
      </c>
      <c r="C1630" t="s">
        <v>4966</v>
      </c>
    </row>
    <row r="1631" spans="1:3" x14ac:dyDescent="0.25">
      <c r="A1631" t="s">
        <v>4970</v>
      </c>
      <c r="B1631" t="s">
        <v>4971</v>
      </c>
      <c r="C1631" t="s">
        <v>4969</v>
      </c>
    </row>
    <row r="1632" spans="1:3" x14ac:dyDescent="0.25">
      <c r="A1632" t="s">
        <v>4973</v>
      </c>
      <c r="B1632" t="s">
        <v>4974</v>
      </c>
      <c r="C1632" t="s">
        <v>4972</v>
      </c>
    </row>
    <row r="1633" spans="1:3" x14ac:dyDescent="0.25">
      <c r="A1633" t="s">
        <v>4976</v>
      </c>
      <c r="B1633" t="s">
        <v>4977</v>
      </c>
      <c r="C1633" t="s">
        <v>4975</v>
      </c>
    </row>
    <row r="1634" spans="1:3" x14ac:dyDescent="0.25">
      <c r="A1634" t="s">
        <v>4979</v>
      </c>
      <c r="B1634" t="s">
        <v>4980</v>
      </c>
      <c r="C1634" t="s">
        <v>4978</v>
      </c>
    </row>
    <row r="1635" spans="1:3" x14ac:dyDescent="0.25">
      <c r="A1635" t="s">
        <v>4982</v>
      </c>
      <c r="B1635" t="s">
        <v>4983</v>
      </c>
      <c r="C1635" t="s">
        <v>4981</v>
      </c>
    </row>
    <row r="1636" spans="1:3" x14ac:dyDescent="0.25">
      <c r="A1636" t="s">
        <v>4985</v>
      </c>
      <c r="B1636" t="s">
        <v>4986</v>
      </c>
      <c r="C1636" t="s">
        <v>4984</v>
      </c>
    </row>
    <row r="1637" spans="1:3" x14ac:dyDescent="0.25">
      <c r="A1637" t="s">
        <v>4988</v>
      </c>
      <c r="B1637" t="s">
        <v>4989</v>
      </c>
      <c r="C1637" t="s">
        <v>4987</v>
      </c>
    </row>
    <row r="1638" spans="1:3" x14ac:dyDescent="0.25">
      <c r="A1638" t="s">
        <v>4991</v>
      </c>
      <c r="B1638" t="s">
        <v>4992</v>
      </c>
      <c r="C1638" t="s">
        <v>4990</v>
      </c>
    </row>
    <row r="1639" spans="1:3" x14ac:dyDescent="0.25">
      <c r="A1639" t="s">
        <v>4994</v>
      </c>
      <c r="B1639" t="s">
        <v>4995</v>
      </c>
      <c r="C1639" t="s">
        <v>4993</v>
      </c>
    </row>
    <row r="1640" spans="1:3" x14ac:dyDescent="0.25">
      <c r="A1640" t="s">
        <v>4997</v>
      </c>
      <c r="B1640" t="s">
        <v>4998</v>
      </c>
      <c r="C1640" t="s">
        <v>4996</v>
      </c>
    </row>
    <row r="1641" spans="1:3" x14ac:dyDescent="0.25">
      <c r="A1641" t="s">
        <v>5000</v>
      </c>
      <c r="B1641" t="s">
        <v>5001</v>
      </c>
      <c r="C1641" t="s">
        <v>4999</v>
      </c>
    </row>
    <row r="1642" spans="1:3" x14ac:dyDescent="0.25">
      <c r="A1642" t="s">
        <v>5003</v>
      </c>
      <c r="B1642" t="s">
        <v>5004</v>
      </c>
      <c r="C1642" t="s">
        <v>5002</v>
      </c>
    </row>
    <row r="1643" spans="1:3" x14ac:dyDescent="0.25">
      <c r="A1643" t="s">
        <v>5006</v>
      </c>
      <c r="B1643" t="s">
        <v>5007</v>
      </c>
      <c r="C1643" t="s">
        <v>5005</v>
      </c>
    </row>
    <row r="1644" spans="1:3" x14ac:dyDescent="0.25">
      <c r="A1644" t="s">
        <v>5009</v>
      </c>
      <c r="B1644" t="s">
        <v>5010</v>
      </c>
      <c r="C1644" t="s">
        <v>5008</v>
      </c>
    </row>
    <row r="1645" spans="1:3" x14ac:dyDescent="0.25">
      <c r="A1645" t="s">
        <v>5012</v>
      </c>
      <c r="B1645" t="s">
        <v>5013</v>
      </c>
      <c r="C1645" t="s">
        <v>5011</v>
      </c>
    </row>
    <row r="1646" spans="1:3" x14ac:dyDescent="0.25">
      <c r="A1646" t="s">
        <v>5015</v>
      </c>
      <c r="B1646" t="s">
        <v>5016</v>
      </c>
      <c r="C1646" t="s">
        <v>5014</v>
      </c>
    </row>
    <row r="1647" spans="1:3" x14ac:dyDescent="0.25">
      <c r="A1647" t="s">
        <v>5018</v>
      </c>
      <c r="B1647" t="s">
        <v>4980</v>
      </c>
      <c r="C1647" t="s">
        <v>5017</v>
      </c>
    </row>
    <row r="1648" spans="1:3" x14ac:dyDescent="0.25">
      <c r="A1648" t="s">
        <v>5020</v>
      </c>
      <c r="B1648" t="s">
        <v>5021</v>
      </c>
      <c r="C1648" t="s">
        <v>5019</v>
      </c>
    </row>
    <row r="1649" spans="1:3" x14ac:dyDescent="0.25">
      <c r="A1649" t="s">
        <v>5023</v>
      </c>
      <c r="B1649" t="s">
        <v>5024</v>
      </c>
      <c r="C1649" t="s">
        <v>5022</v>
      </c>
    </row>
    <row r="1650" spans="1:3" x14ac:dyDescent="0.25">
      <c r="A1650" t="s">
        <v>5026</v>
      </c>
      <c r="B1650" t="s">
        <v>5027</v>
      </c>
      <c r="C1650" t="s">
        <v>5025</v>
      </c>
    </row>
    <row r="1651" spans="1:3" x14ac:dyDescent="0.25">
      <c r="A1651" t="s">
        <v>5029</v>
      </c>
      <c r="B1651" t="s">
        <v>5030</v>
      </c>
      <c r="C1651" t="s">
        <v>5028</v>
      </c>
    </row>
    <row r="1652" spans="1:3" x14ac:dyDescent="0.25">
      <c r="A1652" t="s">
        <v>5032</v>
      </c>
      <c r="B1652" t="s">
        <v>5033</v>
      </c>
      <c r="C1652" t="s">
        <v>5031</v>
      </c>
    </row>
    <row r="1653" spans="1:3" x14ac:dyDescent="0.25">
      <c r="A1653" t="s">
        <v>5035</v>
      </c>
      <c r="B1653" t="s">
        <v>5036</v>
      </c>
      <c r="C1653" t="s">
        <v>5034</v>
      </c>
    </row>
    <row r="1654" spans="1:3" x14ac:dyDescent="0.25">
      <c r="A1654" t="s">
        <v>5038</v>
      </c>
      <c r="B1654" t="s">
        <v>5033</v>
      </c>
      <c r="C1654" t="s">
        <v>5037</v>
      </c>
    </row>
    <row r="1655" spans="1:3" x14ac:dyDescent="0.25">
      <c r="A1655" t="s">
        <v>5040</v>
      </c>
      <c r="B1655" t="s">
        <v>5041</v>
      </c>
      <c r="C1655" t="s">
        <v>5039</v>
      </c>
    </row>
    <row r="1656" spans="1:3" x14ac:dyDescent="0.25">
      <c r="A1656" t="s">
        <v>5043</v>
      </c>
      <c r="B1656" t="s">
        <v>5044</v>
      </c>
      <c r="C1656" t="s">
        <v>5042</v>
      </c>
    </row>
    <row r="1657" spans="1:3" x14ac:dyDescent="0.25">
      <c r="A1657" t="s">
        <v>5046</v>
      </c>
      <c r="B1657" t="s">
        <v>5047</v>
      </c>
      <c r="C1657" t="s">
        <v>5045</v>
      </c>
    </row>
    <row r="1658" spans="1:3" x14ac:dyDescent="0.25">
      <c r="A1658" t="s">
        <v>5049</v>
      </c>
      <c r="B1658" t="s">
        <v>5050</v>
      </c>
      <c r="C1658" t="s">
        <v>5048</v>
      </c>
    </row>
    <row r="1659" spans="1:3" x14ac:dyDescent="0.25">
      <c r="A1659" t="s">
        <v>5052</v>
      </c>
      <c r="B1659" t="s">
        <v>5053</v>
      </c>
      <c r="C1659" t="s">
        <v>5051</v>
      </c>
    </row>
    <row r="1660" spans="1:3" x14ac:dyDescent="0.25">
      <c r="A1660" t="s">
        <v>5055</v>
      </c>
      <c r="B1660" t="s">
        <v>5056</v>
      </c>
      <c r="C1660" t="s">
        <v>5054</v>
      </c>
    </row>
    <row r="1661" spans="1:3" x14ac:dyDescent="0.25">
      <c r="A1661" t="s">
        <v>5058</v>
      </c>
      <c r="B1661" t="s">
        <v>5059</v>
      </c>
      <c r="C1661" t="s">
        <v>5057</v>
      </c>
    </row>
    <row r="1662" spans="1:3" x14ac:dyDescent="0.25">
      <c r="A1662" t="s">
        <v>5061</v>
      </c>
      <c r="B1662" t="s">
        <v>5062</v>
      </c>
      <c r="C1662" t="s">
        <v>5060</v>
      </c>
    </row>
    <row r="1663" spans="1:3" x14ac:dyDescent="0.25">
      <c r="A1663" t="s">
        <v>5064</v>
      </c>
      <c r="B1663" t="s">
        <v>5065</v>
      </c>
      <c r="C1663" t="s">
        <v>5063</v>
      </c>
    </row>
    <row r="1664" spans="1:3" x14ac:dyDescent="0.25">
      <c r="A1664" t="s">
        <v>5067</v>
      </c>
      <c r="B1664" t="s">
        <v>5068</v>
      </c>
      <c r="C1664" t="s">
        <v>5066</v>
      </c>
    </row>
    <row r="1665" spans="1:3" x14ac:dyDescent="0.25">
      <c r="A1665" t="s">
        <v>5070</v>
      </c>
      <c r="B1665" t="s">
        <v>5071</v>
      </c>
      <c r="C1665" t="s">
        <v>5069</v>
      </c>
    </row>
    <row r="1666" spans="1:3" x14ac:dyDescent="0.25">
      <c r="A1666" t="s">
        <v>5073</v>
      </c>
      <c r="B1666" t="s">
        <v>5074</v>
      </c>
      <c r="C1666" t="s">
        <v>5072</v>
      </c>
    </row>
    <row r="1667" spans="1:3" x14ac:dyDescent="0.25">
      <c r="A1667" t="s">
        <v>5076</v>
      </c>
      <c r="B1667" t="s">
        <v>5077</v>
      </c>
      <c r="C1667" t="s">
        <v>5075</v>
      </c>
    </row>
    <row r="1668" spans="1:3" x14ac:dyDescent="0.25">
      <c r="A1668" t="s">
        <v>5079</v>
      </c>
      <c r="B1668" t="s">
        <v>5080</v>
      </c>
      <c r="C1668" t="s">
        <v>5078</v>
      </c>
    </row>
    <row r="1669" spans="1:3" x14ac:dyDescent="0.25">
      <c r="A1669" t="s">
        <v>5082</v>
      </c>
      <c r="B1669" t="s">
        <v>5083</v>
      </c>
      <c r="C1669" t="s">
        <v>5081</v>
      </c>
    </row>
    <row r="1670" spans="1:3" x14ac:dyDescent="0.25">
      <c r="A1670" t="s">
        <v>5085</v>
      </c>
      <c r="B1670" t="s">
        <v>5086</v>
      </c>
      <c r="C1670" t="s">
        <v>5084</v>
      </c>
    </row>
    <row r="1671" spans="1:3" x14ac:dyDescent="0.25">
      <c r="A1671" t="s">
        <v>5088</v>
      </c>
      <c r="B1671" t="s">
        <v>5089</v>
      </c>
      <c r="C1671" t="s">
        <v>5087</v>
      </c>
    </row>
    <row r="1672" spans="1:3" x14ac:dyDescent="0.25">
      <c r="A1672" t="s">
        <v>5091</v>
      </c>
      <c r="B1672" t="s">
        <v>5092</v>
      </c>
      <c r="C1672" t="s">
        <v>5090</v>
      </c>
    </row>
    <row r="1673" spans="1:3" x14ac:dyDescent="0.25">
      <c r="A1673" t="s">
        <v>5094</v>
      </c>
      <c r="B1673" t="s">
        <v>5095</v>
      </c>
      <c r="C1673" t="s">
        <v>5093</v>
      </c>
    </row>
    <row r="1674" spans="1:3" x14ac:dyDescent="0.25">
      <c r="A1674" t="s">
        <v>5097</v>
      </c>
      <c r="B1674" t="s">
        <v>5098</v>
      </c>
      <c r="C1674" t="s">
        <v>5096</v>
      </c>
    </row>
    <row r="1675" spans="1:3" x14ac:dyDescent="0.25">
      <c r="A1675" t="s">
        <v>5100</v>
      </c>
      <c r="B1675" t="s">
        <v>5101</v>
      </c>
      <c r="C1675" t="s">
        <v>5099</v>
      </c>
    </row>
    <row r="1676" spans="1:3" x14ac:dyDescent="0.25">
      <c r="A1676" t="s">
        <v>5103</v>
      </c>
      <c r="B1676" t="s">
        <v>5104</v>
      </c>
      <c r="C1676" t="s">
        <v>5102</v>
      </c>
    </row>
    <row r="1677" spans="1:3" x14ac:dyDescent="0.25">
      <c r="A1677" t="s">
        <v>5106</v>
      </c>
      <c r="B1677" t="s">
        <v>5107</v>
      </c>
      <c r="C1677" t="s">
        <v>5105</v>
      </c>
    </row>
    <row r="1678" spans="1:3" x14ac:dyDescent="0.25">
      <c r="A1678" t="s">
        <v>5109</v>
      </c>
      <c r="B1678" t="s">
        <v>5110</v>
      </c>
      <c r="C1678" t="s">
        <v>5108</v>
      </c>
    </row>
    <row r="1679" spans="1:3" x14ac:dyDescent="0.25">
      <c r="A1679" t="s">
        <v>5112</v>
      </c>
      <c r="B1679" t="s">
        <v>5113</v>
      </c>
      <c r="C1679" t="s">
        <v>5111</v>
      </c>
    </row>
    <row r="1680" spans="1:3" x14ac:dyDescent="0.25">
      <c r="A1680" t="s">
        <v>5115</v>
      </c>
      <c r="B1680" t="s">
        <v>5116</v>
      </c>
      <c r="C1680" t="s">
        <v>5114</v>
      </c>
    </row>
    <row r="1681" spans="1:3" x14ac:dyDescent="0.25">
      <c r="A1681" t="s">
        <v>5118</v>
      </c>
      <c r="B1681" t="s">
        <v>5119</v>
      </c>
      <c r="C1681" t="s">
        <v>5117</v>
      </c>
    </row>
    <row r="1682" spans="1:3" x14ac:dyDescent="0.25">
      <c r="A1682" t="s">
        <v>5121</v>
      </c>
      <c r="B1682" t="s">
        <v>5122</v>
      </c>
      <c r="C1682" t="s">
        <v>5120</v>
      </c>
    </row>
    <row r="1683" spans="1:3" x14ac:dyDescent="0.25">
      <c r="A1683" t="s">
        <v>5124</v>
      </c>
      <c r="B1683" t="s">
        <v>5125</v>
      </c>
      <c r="C1683" t="s">
        <v>5123</v>
      </c>
    </row>
    <row r="1684" spans="1:3" x14ac:dyDescent="0.25">
      <c r="A1684" t="s">
        <v>5127</v>
      </c>
      <c r="B1684" t="s">
        <v>5128</v>
      </c>
      <c r="C1684" t="s">
        <v>5126</v>
      </c>
    </row>
    <row r="1685" spans="1:3" x14ac:dyDescent="0.25">
      <c r="A1685" t="s">
        <v>5130</v>
      </c>
      <c r="B1685" t="s">
        <v>5131</v>
      </c>
      <c r="C1685" t="s">
        <v>5129</v>
      </c>
    </row>
    <row r="1686" spans="1:3" x14ac:dyDescent="0.25">
      <c r="A1686" t="s">
        <v>5133</v>
      </c>
      <c r="B1686" t="s">
        <v>5134</v>
      </c>
      <c r="C1686" t="s">
        <v>5132</v>
      </c>
    </row>
    <row r="1687" spans="1:3" x14ac:dyDescent="0.25">
      <c r="A1687" t="s">
        <v>5136</v>
      </c>
      <c r="B1687" t="s">
        <v>5134</v>
      </c>
      <c r="C1687" t="s">
        <v>5135</v>
      </c>
    </row>
    <row r="1688" spans="1:3" x14ac:dyDescent="0.25">
      <c r="A1688" t="s">
        <v>5138</v>
      </c>
      <c r="B1688" t="s">
        <v>5139</v>
      </c>
      <c r="C1688" t="s">
        <v>5137</v>
      </c>
    </row>
    <row r="1689" spans="1:3" x14ac:dyDescent="0.25">
      <c r="A1689" t="s">
        <v>5141</v>
      </c>
      <c r="B1689" t="s">
        <v>5142</v>
      </c>
      <c r="C1689" t="s">
        <v>5140</v>
      </c>
    </row>
    <row r="1690" spans="1:3" x14ac:dyDescent="0.25">
      <c r="A1690" t="s">
        <v>5144</v>
      </c>
      <c r="B1690" t="s">
        <v>5145</v>
      </c>
      <c r="C1690" t="s">
        <v>5143</v>
      </c>
    </row>
    <row r="1691" spans="1:3" x14ac:dyDescent="0.25">
      <c r="A1691" t="s">
        <v>5147</v>
      </c>
      <c r="B1691" t="s">
        <v>5148</v>
      </c>
      <c r="C1691" t="s">
        <v>5146</v>
      </c>
    </row>
    <row r="1692" spans="1:3" x14ac:dyDescent="0.25">
      <c r="A1692" t="s">
        <v>5150</v>
      </c>
      <c r="B1692" t="s">
        <v>5151</v>
      </c>
      <c r="C1692" t="s">
        <v>5149</v>
      </c>
    </row>
    <row r="1693" spans="1:3" x14ac:dyDescent="0.25">
      <c r="A1693" t="s">
        <v>5153</v>
      </c>
      <c r="B1693" t="s">
        <v>5154</v>
      </c>
      <c r="C1693" t="s">
        <v>5152</v>
      </c>
    </row>
    <row r="1694" spans="1:3" x14ac:dyDescent="0.25">
      <c r="A1694" t="s">
        <v>5156</v>
      </c>
      <c r="B1694" t="s">
        <v>5157</v>
      </c>
      <c r="C1694" t="s">
        <v>5155</v>
      </c>
    </row>
    <row r="1695" spans="1:3" x14ac:dyDescent="0.25">
      <c r="A1695" t="s">
        <v>5159</v>
      </c>
      <c r="B1695" t="s">
        <v>5160</v>
      </c>
      <c r="C1695" t="s">
        <v>5158</v>
      </c>
    </row>
    <row r="1696" spans="1:3" x14ac:dyDescent="0.25">
      <c r="A1696" t="s">
        <v>5162</v>
      </c>
      <c r="B1696" t="s">
        <v>5163</v>
      </c>
      <c r="C1696" t="s">
        <v>5161</v>
      </c>
    </row>
    <row r="1697" spans="1:3" x14ac:dyDescent="0.25">
      <c r="A1697" t="s">
        <v>5165</v>
      </c>
      <c r="B1697" t="s">
        <v>5166</v>
      </c>
      <c r="C1697" t="s">
        <v>5164</v>
      </c>
    </row>
    <row r="1698" spans="1:3" x14ac:dyDescent="0.25">
      <c r="A1698" t="s">
        <v>5168</v>
      </c>
      <c r="B1698" t="s">
        <v>5169</v>
      </c>
      <c r="C1698" t="s">
        <v>5167</v>
      </c>
    </row>
    <row r="1699" spans="1:3" x14ac:dyDescent="0.25">
      <c r="A1699" t="s">
        <v>5171</v>
      </c>
      <c r="B1699" t="s">
        <v>5172</v>
      </c>
      <c r="C1699" t="s">
        <v>5170</v>
      </c>
    </row>
    <row r="1700" spans="1:3" x14ac:dyDescent="0.25">
      <c r="A1700" t="s">
        <v>5174</v>
      </c>
      <c r="B1700" t="s">
        <v>5175</v>
      </c>
      <c r="C1700" t="s">
        <v>5173</v>
      </c>
    </row>
    <row r="1701" spans="1:3" x14ac:dyDescent="0.25">
      <c r="A1701" t="s">
        <v>5177</v>
      </c>
      <c r="B1701" t="s">
        <v>5178</v>
      </c>
      <c r="C1701" t="s">
        <v>5176</v>
      </c>
    </row>
    <row r="1702" spans="1:3" x14ac:dyDescent="0.25">
      <c r="A1702" t="s">
        <v>5180</v>
      </c>
      <c r="B1702" t="s">
        <v>5181</v>
      </c>
      <c r="C1702" t="s">
        <v>5179</v>
      </c>
    </row>
    <row r="1703" spans="1:3" x14ac:dyDescent="0.25">
      <c r="A1703" t="s">
        <v>5183</v>
      </c>
      <c r="B1703" t="s">
        <v>5184</v>
      </c>
      <c r="C1703" t="s">
        <v>5182</v>
      </c>
    </row>
    <row r="1704" spans="1:3" x14ac:dyDescent="0.25">
      <c r="A1704" t="s">
        <v>5186</v>
      </c>
      <c r="B1704" t="s">
        <v>5187</v>
      </c>
      <c r="C1704" t="s">
        <v>5185</v>
      </c>
    </row>
    <row r="1705" spans="1:3" x14ac:dyDescent="0.25">
      <c r="A1705" t="s">
        <v>5189</v>
      </c>
      <c r="B1705" t="s">
        <v>5190</v>
      </c>
      <c r="C1705" t="s">
        <v>5188</v>
      </c>
    </row>
    <row r="1706" spans="1:3" x14ac:dyDescent="0.25">
      <c r="A1706" t="s">
        <v>5192</v>
      </c>
      <c r="B1706" t="s">
        <v>5193</v>
      </c>
      <c r="C1706" t="s">
        <v>5191</v>
      </c>
    </row>
    <row r="1707" spans="1:3" x14ac:dyDescent="0.25">
      <c r="A1707" t="s">
        <v>5195</v>
      </c>
      <c r="B1707" t="s">
        <v>5196</v>
      </c>
      <c r="C1707" t="s">
        <v>5194</v>
      </c>
    </row>
    <row r="1708" spans="1:3" x14ac:dyDescent="0.25">
      <c r="A1708" t="s">
        <v>5198</v>
      </c>
      <c r="B1708" t="s">
        <v>5199</v>
      </c>
      <c r="C1708" t="s">
        <v>5197</v>
      </c>
    </row>
    <row r="1709" spans="1:3" x14ac:dyDescent="0.25">
      <c r="A1709" t="s">
        <v>5201</v>
      </c>
      <c r="B1709" t="s">
        <v>5202</v>
      </c>
      <c r="C1709" t="s">
        <v>5200</v>
      </c>
    </row>
    <row r="1710" spans="1:3" x14ac:dyDescent="0.25">
      <c r="A1710" t="s">
        <v>5204</v>
      </c>
      <c r="B1710" t="s">
        <v>5205</v>
      </c>
      <c r="C1710" t="s">
        <v>5203</v>
      </c>
    </row>
    <row r="1711" spans="1:3" x14ac:dyDescent="0.25">
      <c r="A1711" t="s">
        <v>5207</v>
      </c>
      <c r="B1711" t="s">
        <v>5208</v>
      </c>
      <c r="C1711" t="s">
        <v>5206</v>
      </c>
    </row>
    <row r="1712" spans="1:3" x14ac:dyDescent="0.25">
      <c r="A1712" t="s">
        <v>5210</v>
      </c>
      <c r="B1712" t="s">
        <v>5211</v>
      </c>
      <c r="C1712" t="s">
        <v>5209</v>
      </c>
    </row>
    <row r="1713" spans="1:3" x14ac:dyDescent="0.25">
      <c r="A1713" t="s">
        <v>5213</v>
      </c>
      <c r="B1713" t="s">
        <v>5214</v>
      </c>
      <c r="C1713" t="s">
        <v>5212</v>
      </c>
    </row>
    <row r="1714" spans="1:3" x14ac:dyDescent="0.25">
      <c r="A1714" t="s">
        <v>5216</v>
      </c>
      <c r="B1714" t="s">
        <v>5217</v>
      </c>
      <c r="C1714" t="s">
        <v>5215</v>
      </c>
    </row>
    <row r="1715" spans="1:3" x14ac:dyDescent="0.25">
      <c r="A1715" t="s">
        <v>5219</v>
      </c>
      <c r="B1715" t="s">
        <v>5220</v>
      </c>
      <c r="C1715" t="s">
        <v>5218</v>
      </c>
    </row>
    <row r="1716" spans="1:3" x14ac:dyDescent="0.25">
      <c r="A1716" t="s">
        <v>5222</v>
      </c>
      <c r="B1716" t="s">
        <v>5223</v>
      </c>
      <c r="C1716" t="s">
        <v>5221</v>
      </c>
    </row>
    <row r="1717" spans="1:3" x14ac:dyDescent="0.25">
      <c r="A1717" t="s">
        <v>5225</v>
      </c>
      <c r="B1717" t="s">
        <v>5226</v>
      </c>
      <c r="C1717" t="s">
        <v>5224</v>
      </c>
    </row>
    <row r="1718" spans="1:3" x14ac:dyDescent="0.25">
      <c r="A1718" t="s">
        <v>5228</v>
      </c>
      <c r="B1718" t="s">
        <v>5229</v>
      </c>
      <c r="C1718" t="s">
        <v>5227</v>
      </c>
    </row>
    <row r="1719" spans="1:3" x14ac:dyDescent="0.25">
      <c r="A1719" t="s">
        <v>5231</v>
      </c>
      <c r="B1719" t="s">
        <v>5232</v>
      </c>
      <c r="C1719" t="s">
        <v>5230</v>
      </c>
    </row>
    <row r="1720" spans="1:3" x14ac:dyDescent="0.25">
      <c r="A1720" t="s">
        <v>5234</v>
      </c>
      <c r="B1720" t="s">
        <v>5235</v>
      </c>
      <c r="C1720" t="s">
        <v>5233</v>
      </c>
    </row>
    <row r="1721" spans="1:3" x14ac:dyDescent="0.25">
      <c r="A1721" t="s">
        <v>5237</v>
      </c>
      <c r="B1721" t="s">
        <v>5238</v>
      </c>
      <c r="C1721" t="s">
        <v>5236</v>
      </c>
    </row>
    <row r="1722" spans="1:3" x14ac:dyDescent="0.25">
      <c r="A1722" t="s">
        <v>5240</v>
      </c>
      <c r="B1722" t="s">
        <v>5241</v>
      </c>
      <c r="C1722" t="s">
        <v>5239</v>
      </c>
    </row>
    <row r="1723" spans="1:3" x14ac:dyDescent="0.25">
      <c r="A1723" t="s">
        <v>5243</v>
      </c>
      <c r="B1723" t="s">
        <v>5244</v>
      </c>
      <c r="C1723" t="s">
        <v>5242</v>
      </c>
    </row>
    <row r="1724" spans="1:3" x14ac:dyDescent="0.25">
      <c r="A1724" t="s">
        <v>5246</v>
      </c>
      <c r="B1724" t="s">
        <v>5247</v>
      </c>
      <c r="C1724" t="s">
        <v>5245</v>
      </c>
    </row>
    <row r="1725" spans="1:3" x14ac:dyDescent="0.25">
      <c r="A1725" t="s">
        <v>5249</v>
      </c>
      <c r="B1725" t="s">
        <v>5250</v>
      </c>
      <c r="C1725" t="s">
        <v>5248</v>
      </c>
    </row>
    <row r="1726" spans="1:3" x14ac:dyDescent="0.25">
      <c r="A1726" t="s">
        <v>5252</v>
      </c>
      <c r="B1726" t="s">
        <v>5253</v>
      </c>
      <c r="C1726" t="s">
        <v>5251</v>
      </c>
    </row>
    <row r="1727" spans="1:3" x14ac:dyDescent="0.25">
      <c r="A1727" t="s">
        <v>5255</v>
      </c>
      <c r="B1727" t="s">
        <v>5256</v>
      </c>
      <c r="C1727" t="s">
        <v>5254</v>
      </c>
    </row>
    <row r="1728" spans="1:3" x14ac:dyDescent="0.25">
      <c r="A1728" t="s">
        <v>5258</v>
      </c>
      <c r="B1728" t="s">
        <v>5259</v>
      </c>
      <c r="C1728" t="s">
        <v>5257</v>
      </c>
    </row>
    <row r="1729" spans="1:3" x14ac:dyDescent="0.25">
      <c r="A1729" t="s">
        <v>5261</v>
      </c>
      <c r="B1729" t="s">
        <v>5262</v>
      </c>
      <c r="C1729" t="s">
        <v>5260</v>
      </c>
    </row>
    <row r="1730" spans="1:3" x14ac:dyDescent="0.25">
      <c r="A1730" t="s">
        <v>5264</v>
      </c>
      <c r="B1730" t="s">
        <v>5265</v>
      </c>
      <c r="C1730" t="s">
        <v>5263</v>
      </c>
    </row>
    <row r="1731" spans="1:3" x14ac:dyDescent="0.25">
      <c r="A1731" t="s">
        <v>5267</v>
      </c>
      <c r="B1731" t="s">
        <v>5268</v>
      </c>
      <c r="C1731" t="s">
        <v>5266</v>
      </c>
    </row>
    <row r="1732" spans="1:3" x14ac:dyDescent="0.25">
      <c r="A1732" t="s">
        <v>5270</v>
      </c>
      <c r="B1732" t="s">
        <v>5271</v>
      </c>
      <c r="C1732" t="s">
        <v>5269</v>
      </c>
    </row>
    <row r="1733" spans="1:3" x14ac:dyDescent="0.25">
      <c r="A1733" t="s">
        <v>5273</v>
      </c>
      <c r="B1733" t="s">
        <v>5274</v>
      </c>
      <c r="C1733" t="s">
        <v>5272</v>
      </c>
    </row>
    <row r="1734" spans="1:3" x14ac:dyDescent="0.25">
      <c r="A1734" t="s">
        <v>5276</v>
      </c>
      <c r="B1734" t="s">
        <v>5277</v>
      </c>
      <c r="C1734" t="s">
        <v>5275</v>
      </c>
    </row>
    <row r="1735" spans="1:3" x14ac:dyDescent="0.25">
      <c r="A1735" t="s">
        <v>5279</v>
      </c>
      <c r="B1735" t="s">
        <v>5280</v>
      </c>
      <c r="C1735" t="s">
        <v>5278</v>
      </c>
    </row>
    <row r="1736" spans="1:3" x14ac:dyDescent="0.25">
      <c r="A1736" t="s">
        <v>5282</v>
      </c>
      <c r="B1736" t="s">
        <v>5283</v>
      </c>
      <c r="C1736" t="s">
        <v>5281</v>
      </c>
    </row>
    <row r="1737" spans="1:3" x14ac:dyDescent="0.25">
      <c r="A1737" t="s">
        <v>5285</v>
      </c>
      <c r="B1737" t="s">
        <v>5286</v>
      </c>
      <c r="C1737" t="s">
        <v>5284</v>
      </c>
    </row>
    <row r="1738" spans="1:3" x14ac:dyDescent="0.25">
      <c r="A1738" t="s">
        <v>5288</v>
      </c>
      <c r="B1738" t="s">
        <v>5289</v>
      </c>
      <c r="C1738" t="s">
        <v>5287</v>
      </c>
    </row>
    <row r="1739" spans="1:3" x14ac:dyDescent="0.25">
      <c r="A1739" t="s">
        <v>5291</v>
      </c>
      <c r="B1739" t="s">
        <v>5292</v>
      </c>
      <c r="C1739" t="s">
        <v>5290</v>
      </c>
    </row>
    <row r="1740" spans="1:3" x14ac:dyDescent="0.25">
      <c r="A1740" t="s">
        <v>5294</v>
      </c>
      <c r="B1740" t="s">
        <v>5295</v>
      </c>
      <c r="C1740" t="s">
        <v>5293</v>
      </c>
    </row>
    <row r="1741" spans="1:3" x14ac:dyDescent="0.25">
      <c r="A1741" t="s">
        <v>5297</v>
      </c>
      <c r="B1741" t="s">
        <v>5298</v>
      </c>
      <c r="C1741" t="s">
        <v>5296</v>
      </c>
    </row>
    <row r="1742" spans="1:3" x14ac:dyDescent="0.25">
      <c r="A1742" t="s">
        <v>5300</v>
      </c>
      <c r="B1742" t="s">
        <v>5301</v>
      </c>
      <c r="C1742" t="s">
        <v>5299</v>
      </c>
    </row>
    <row r="1743" spans="1:3" x14ac:dyDescent="0.25">
      <c r="A1743" t="s">
        <v>5303</v>
      </c>
      <c r="B1743" t="s">
        <v>5304</v>
      </c>
      <c r="C1743" t="s">
        <v>5302</v>
      </c>
    </row>
    <row r="1744" spans="1:3" x14ac:dyDescent="0.25">
      <c r="A1744" t="s">
        <v>5306</v>
      </c>
      <c r="B1744" t="s">
        <v>5307</v>
      </c>
      <c r="C1744" t="s">
        <v>5305</v>
      </c>
    </row>
    <row r="1745" spans="1:3" x14ac:dyDescent="0.25">
      <c r="A1745" t="s">
        <v>5309</v>
      </c>
      <c r="B1745" t="s">
        <v>5310</v>
      </c>
      <c r="C1745" t="s">
        <v>5308</v>
      </c>
    </row>
    <row r="1746" spans="1:3" x14ac:dyDescent="0.25">
      <c r="A1746" t="s">
        <v>5312</v>
      </c>
      <c r="B1746" t="s">
        <v>5313</v>
      </c>
      <c r="C1746" t="s">
        <v>5311</v>
      </c>
    </row>
    <row r="1747" spans="1:3" x14ac:dyDescent="0.25">
      <c r="A1747" t="s">
        <v>5315</v>
      </c>
      <c r="B1747" t="s">
        <v>5316</v>
      </c>
      <c r="C1747" t="s">
        <v>5314</v>
      </c>
    </row>
    <row r="1748" spans="1:3" x14ac:dyDescent="0.25">
      <c r="A1748" t="s">
        <v>5318</v>
      </c>
      <c r="B1748" t="s">
        <v>5319</v>
      </c>
      <c r="C1748" t="s">
        <v>5317</v>
      </c>
    </row>
    <row r="1749" spans="1:3" x14ac:dyDescent="0.25">
      <c r="A1749" t="s">
        <v>5321</v>
      </c>
      <c r="B1749" t="s">
        <v>5322</v>
      </c>
      <c r="C1749" t="s">
        <v>5320</v>
      </c>
    </row>
    <row r="1750" spans="1:3" x14ac:dyDescent="0.25">
      <c r="A1750" t="s">
        <v>5324</v>
      </c>
      <c r="B1750" t="s">
        <v>5325</v>
      </c>
      <c r="C1750" t="s">
        <v>5323</v>
      </c>
    </row>
    <row r="1751" spans="1:3" x14ac:dyDescent="0.25">
      <c r="A1751" t="s">
        <v>5327</v>
      </c>
      <c r="B1751" t="s">
        <v>5328</v>
      </c>
      <c r="C1751" t="s">
        <v>5326</v>
      </c>
    </row>
    <row r="1752" spans="1:3" x14ac:dyDescent="0.25">
      <c r="A1752" t="s">
        <v>5330</v>
      </c>
      <c r="B1752" t="s">
        <v>5331</v>
      </c>
      <c r="C1752" t="s">
        <v>5329</v>
      </c>
    </row>
    <row r="1753" spans="1:3" x14ac:dyDescent="0.25">
      <c r="A1753" t="s">
        <v>5333</v>
      </c>
      <c r="B1753" t="s">
        <v>5334</v>
      </c>
      <c r="C1753" t="s">
        <v>5332</v>
      </c>
    </row>
    <row r="1754" spans="1:3" x14ac:dyDescent="0.25">
      <c r="A1754" t="s">
        <v>5336</v>
      </c>
      <c r="B1754" t="s">
        <v>5337</v>
      </c>
      <c r="C1754" t="s">
        <v>5335</v>
      </c>
    </row>
    <row r="1755" spans="1:3" x14ac:dyDescent="0.25">
      <c r="A1755" t="s">
        <v>5339</v>
      </c>
      <c r="B1755" t="s">
        <v>5340</v>
      </c>
      <c r="C1755" t="s">
        <v>5338</v>
      </c>
    </row>
    <row r="1756" spans="1:3" x14ac:dyDescent="0.25">
      <c r="A1756" t="s">
        <v>5342</v>
      </c>
      <c r="B1756" t="s">
        <v>5343</v>
      </c>
      <c r="C1756" t="s">
        <v>5341</v>
      </c>
    </row>
    <row r="1757" spans="1:3" x14ac:dyDescent="0.25">
      <c r="A1757" t="s">
        <v>5345</v>
      </c>
      <c r="B1757" t="s">
        <v>5346</v>
      </c>
      <c r="C1757" t="s">
        <v>5344</v>
      </c>
    </row>
    <row r="1758" spans="1:3" x14ac:dyDescent="0.25">
      <c r="A1758" t="s">
        <v>5348</v>
      </c>
      <c r="B1758" t="s">
        <v>5349</v>
      </c>
      <c r="C1758" t="s">
        <v>5347</v>
      </c>
    </row>
    <row r="1759" spans="1:3" x14ac:dyDescent="0.25">
      <c r="A1759" t="s">
        <v>5351</v>
      </c>
      <c r="B1759" t="s">
        <v>5352</v>
      </c>
      <c r="C1759" t="s">
        <v>5350</v>
      </c>
    </row>
    <row r="1760" spans="1:3" x14ac:dyDescent="0.25">
      <c r="A1760" t="s">
        <v>5354</v>
      </c>
      <c r="B1760" t="s">
        <v>5355</v>
      </c>
      <c r="C1760" t="s">
        <v>5353</v>
      </c>
    </row>
    <row r="1761" spans="1:3" x14ac:dyDescent="0.25">
      <c r="A1761" t="s">
        <v>5357</v>
      </c>
      <c r="B1761" t="s">
        <v>5358</v>
      </c>
      <c r="C1761" t="s">
        <v>5356</v>
      </c>
    </row>
    <row r="1762" spans="1:3" x14ac:dyDescent="0.25">
      <c r="A1762" t="s">
        <v>5360</v>
      </c>
      <c r="B1762" t="s">
        <v>5361</v>
      </c>
      <c r="C1762" t="s">
        <v>5359</v>
      </c>
    </row>
    <row r="1763" spans="1:3" x14ac:dyDescent="0.25">
      <c r="A1763" t="s">
        <v>5363</v>
      </c>
      <c r="B1763" t="s">
        <v>5364</v>
      </c>
      <c r="C1763" t="s">
        <v>5362</v>
      </c>
    </row>
    <row r="1764" spans="1:3" x14ac:dyDescent="0.25">
      <c r="A1764" t="s">
        <v>5366</v>
      </c>
      <c r="B1764" t="s">
        <v>5367</v>
      </c>
      <c r="C1764" t="s">
        <v>5365</v>
      </c>
    </row>
    <row r="1765" spans="1:3" x14ac:dyDescent="0.25">
      <c r="A1765" t="s">
        <v>5369</v>
      </c>
      <c r="B1765" t="s">
        <v>5370</v>
      </c>
      <c r="C1765" t="s">
        <v>5368</v>
      </c>
    </row>
    <row r="1766" spans="1:3" x14ac:dyDescent="0.25">
      <c r="A1766" t="s">
        <v>5372</v>
      </c>
      <c r="B1766" t="s">
        <v>5373</v>
      </c>
      <c r="C1766" t="s">
        <v>5371</v>
      </c>
    </row>
    <row r="1767" spans="1:3" x14ac:dyDescent="0.25">
      <c r="A1767" t="s">
        <v>5375</v>
      </c>
      <c r="B1767" t="s">
        <v>5376</v>
      </c>
      <c r="C1767" t="s">
        <v>5374</v>
      </c>
    </row>
    <row r="1768" spans="1:3" x14ac:dyDescent="0.25">
      <c r="A1768" t="s">
        <v>5378</v>
      </c>
      <c r="B1768" t="s">
        <v>5379</v>
      </c>
      <c r="C1768" t="s">
        <v>5377</v>
      </c>
    </row>
    <row r="1769" spans="1:3" x14ac:dyDescent="0.25">
      <c r="A1769" t="s">
        <v>5381</v>
      </c>
      <c r="B1769" t="s">
        <v>5382</v>
      </c>
      <c r="C1769" t="s">
        <v>5380</v>
      </c>
    </row>
    <row r="1770" spans="1:3" x14ac:dyDescent="0.25">
      <c r="A1770" t="s">
        <v>5384</v>
      </c>
      <c r="B1770" t="s">
        <v>5385</v>
      </c>
      <c r="C1770" t="s">
        <v>5383</v>
      </c>
    </row>
    <row r="1771" spans="1:3" x14ac:dyDescent="0.25">
      <c r="A1771" t="s">
        <v>5387</v>
      </c>
      <c r="B1771" t="s">
        <v>5388</v>
      </c>
      <c r="C1771" t="s">
        <v>5386</v>
      </c>
    </row>
    <row r="1772" spans="1:3" x14ac:dyDescent="0.25">
      <c r="A1772" t="s">
        <v>5390</v>
      </c>
      <c r="B1772" t="s">
        <v>5391</v>
      </c>
      <c r="C1772" t="s">
        <v>5389</v>
      </c>
    </row>
    <row r="1773" spans="1:3" x14ac:dyDescent="0.25">
      <c r="A1773" t="s">
        <v>5393</v>
      </c>
      <c r="B1773" t="s">
        <v>5394</v>
      </c>
      <c r="C1773" t="s">
        <v>5392</v>
      </c>
    </row>
    <row r="1774" spans="1:3" x14ac:dyDescent="0.25">
      <c r="A1774" t="s">
        <v>5396</v>
      </c>
      <c r="B1774" t="s">
        <v>5397</v>
      </c>
      <c r="C1774" t="s">
        <v>5395</v>
      </c>
    </row>
    <row r="1775" spans="1:3" x14ac:dyDescent="0.25">
      <c r="A1775" t="s">
        <v>5399</v>
      </c>
      <c r="B1775" t="s">
        <v>5400</v>
      </c>
      <c r="C1775" t="s">
        <v>5398</v>
      </c>
    </row>
    <row r="1776" spans="1:3" x14ac:dyDescent="0.25">
      <c r="A1776" t="s">
        <v>5402</v>
      </c>
      <c r="B1776" t="s">
        <v>5403</v>
      </c>
      <c r="C1776" t="s">
        <v>5401</v>
      </c>
    </row>
    <row r="1777" spans="1:3" x14ac:dyDescent="0.25">
      <c r="A1777" t="s">
        <v>5405</v>
      </c>
      <c r="B1777" t="s">
        <v>5406</v>
      </c>
      <c r="C1777" t="s">
        <v>5404</v>
      </c>
    </row>
    <row r="1778" spans="1:3" x14ac:dyDescent="0.25">
      <c r="A1778" t="s">
        <v>5408</v>
      </c>
      <c r="B1778" t="s">
        <v>5409</v>
      </c>
      <c r="C1778" t="s">
        <v>5407</v>
      </c>
    </row>
    <row r="1779" spans="1:3" x14ac:dyDescent="0.25">
      <c r="A1779" t="s">
        <v>5411</v>
      </c>
      <c r="B1779" t="s">
        <v>5412</v>
      </c>
      <c r="C1779" t="s">
        <v>5410</v>
      </c>
    </row>
    <row r="1780" spans="1:3" x14ac:dyDescent="0.25">
      <c r="A1780" t="s">
        <v>5414</v>
      </c>
      <c r="B1780" t="s">
        <v>5415</v>
      </c>
      <c r="C1780" t="s">
        <v>5413</v>
      </c>
    </row>
    <row r="1781" spans="1:3" x14ac:dyDescent="0.25">
      <c r="A1781" t="s">
        <v>5417</v>
      </c>
      <c r="B1781" t="s">
        <v>5415</v>
      </c>
      <c r="C1781" t="s">
        <v>5416</v>
      </c>
    </row>
    <row r="1782" spans="1:3" x14ac:dyDescent="0.25">
      <c r="A1782" t="s">
        <v>5419</v>
      </c>
      <c r="B1782" t="s">
        <v>5420</v>
      </c>
      <c r="C1782" t="s">
        <v>5418</v>
      </c>
    </row>
    <row r="1783" spans="1:3" x14ac:dyDescent="0.25">
      <c r="A1783" t="s">
        <v>5422</v>
      </c>
      <c r="B1783" t="s">
        <v>5423</v>
      </c>
      <c r="C1783" t="s">
        <v>5421</v>
      </c>
    </row>
    <row r="1784" spans="1:3" x14ac:dyDescent="0.25">
      <c r="A1784" t="s">
        <v>5425</v>
      </c>
      <c r="B1784" t="s">
        <v>5426</v>
      </c>
      <c r="C1784" t="s">
        <v>5424</v>
      </c>
    </row>
    <row r="1785" spans="1:3" x14ac:dyDescent="0.25">
      <c r="A1785" t="s">
        <v>5428</v>
      </c>
      <c r="B1785" t="s">
        <v>5429</v>
      </c>
      <c r="C1785" t="s">
        <v>5427</v>
      </c>
    </row>
    <row r="1786" spans="1:3" x14ac:dyDescent="0.25">
      <c r="A1786" t="s">
        <v>5431</v>
      </c>
      <c r="B1786" t="s">
        <v>5432</v>
      </c>
      <c r="C1786" t="s">
        <v>5430</v>
      </c>
    </row>
    <row r="1787" spans="1:3" x14ac:dyDescent="0.25">
      <c r="A1787" t="s">
        <v>5434</v>
      </c>
      <c r="B1787" t="s">
        <v>5435</v>
      </c>
      <c r="C1787" t="s">
        <v>5433</v>
      </c>
    </row>
    <row r="1788" spans="1:3" x14ac:dyDescent="0.25">
      <c r="A1788" t="s">
        <v>5437</v>
      </c>
      <c r="B1788" t="s">
        <v>5438</v>
      </c>
      <c r="C1788" t="s">
        <v>5436</v>
      </c>
    </row>
    <row r="1789" spans="1:3" x14ac:dyDescent="0.25">
      <c r="A1789" t="s">
        <v>5440</v>
      </c>
      <c r="B1789" t="s">
        <v>5441</v>
      </c>
      <c r="C1789" t="s">
        <v>5439</v>
      </c>
    </row>
    <row r="1790" spans="1:3" x14ac:dyDescent="0.25">
      <c r="A1790" t="s">
        <v>5443</v>
      </c>
      <c r="B1790" t="s">
        <v>5444</v>
      </c>
      <c r="C1790" t="s">
        <v>5442</v>
      </c>
    </row>
    <row r="1791" spans="1:3" x14ac:dyDescent="0.25">
      <c r="A1791" t="s">
        <v>5446</v>
      </c>
      <c r="B1791" t="s">
        <v>5447</v>
      </c>
      <c r="C1791" t="s">
        <v>5445</v>
      </c>
    </row>
    <row r="1792" spans="1:3" x14ac:dyDescent="0.25">
      <c r="A1792" t="s">
        <v>5449</v>
      </c>
      <c r="B1792" t="s">
        <v>5450</v>
      </c>
      <c r="C1792" t="s">
        <v>5448</v>
      </c>
    </row>
    <row r="1793" spans="1:3" x14ac:dyDescent="0.25">
      <c r="A1793" t="s">
        <v>5452</v>
      </c>
      <c r="B1793" t="s">
        <v>5453</v>
      </c>
      <c r="C1793" t="s">
        <v>5451</v>
      </c>
    </row>
    <row r="1794" spans="1:3" x14ac:dyDescent="0.25">
      <c r="A1794" t="s">
        <v>5455</v>
      </c>
      <c r="B1794" t="s">
        <v>5456</v>
      </c>
      <c r="C1794" t="s">
        <v>5454</v>
      </c>
    </row>
    <row r="1795" spans="1:3" x14ac:dyDescent="0.25">
      <c r="A1795" t="s">
        <v>5458</v>
      </c>
      <c r="B1795" t="s">
        <v>5459</v>
      </c>
      <c r="C1795" t="s">
        <v>5457</v>
      </c>
    </row>
    <row r="1796" spans="1:3" x14ac:dyDescent="0.25">
      <c r="A1796" t="s">
        <v>5461</v>
      </c>
      <c r="B1796" t="s">
        <v>5462</v>
      </c>
      <c r="C1796" t="s">
        <v>5460</v>
      </c>
    </row>
    <row r="1797" spans="1:3" x14ac:dyDescent="0.25">
      <c r="A1797" t="s">
        <v>5464</v>
      </c>
      <c r="B1797" t="s">
        <v>5465</v>
      </c>
      <c r="C1797" t="s">
        <v>5463</v>
      </c>
    </row>
    <row r="1798" spans="1:3" x14ac:dyDescent="0.25">
      <c r="A1798" t="s">
        <v>5467</v>
      </c>
      <c r="B1798" t="s">
        <v>5468</v>
      </c>
      <c r="C1798" t="s">
        <v>5466</v>
      </c>
    </row>
    <row r="1799" spans="1:3" x14ac:dyDescent="0.25">
      <c r="A1799" t="s">
        <v>5470</v>
      </c>
      <c r="B1799" t="s">
        <v>5471</v>
      </c>
      <c r="C1799" t="s">
        <v>5469</v>
      </c>
    </row>
    <row r="1800" spans="1:3" x14ac:dyDescent="0.25">
      <c r="A1800" t="s">
        <v>5473</v>
      </c>
      <c r="B1800" t="s">
        <v>5474</v>
      </c>
      <c r="C1800" t="s">
        <v>5472</v>
      </c>
    </row>
    <row r="1801" spans="1:3" x14ac:dyDescent="0.25">
      <c r="A1801" t="s">
        <v>5476</v>
      </c>
      <c r="B1801" t="s">
        <v>5477</v>
      </c>
      <c r="C1801" t="s">
        <v>5475</v>
      </c>
    </row>
    <row r="1802" spans="1:3" x14ac:dyDescent="0.25">
      <c r="A1802" t="s">
        <v>5479</v>
      </c>
      <c r="B1802" t="s">
        <v>5480</v>
      </c>
      <c r="C1802" t="s">
        <v>5478</v>
      </c>
    </row>
    <row r="1803" spans="1:3" x14ac:dyDescent="0.25">
      <c r="A1803" t="s">
        <v>5482</v>
      </c>
      <c r="B1803" t="s">
        <v>5483</v>
      </c>
      <c r="C1803" t="s">
        <v>5481</v>
      </c>
    </row>
    <row r="1804" spans="1:3" x14ac:dyDescent="0.25">
      <c r="A1804" t="s">
        <v>5485</v>
      </c>
      <c r="B1804" t="s">
        <v>5486</v>
      </c>
      <c r="C1804" t="s">
        <v>5484</v>
      </c>
    </row>
    <row r="1805" spans="1:3" x14ac:dyDescent="0.25">
      <c r="A1805" t="s">
        <v>5488</v>
      </c>
      <c r="B1805" t="s">
        <v>5489</v>
      </c>
      <c r="C1805" t="s">
        <v>5487</v>
      </c>
    </row>
    <row r="1806" spans="1:3" x14ac:dyDescent="0.25">
      <c r="A1806" t="s">
        <v>5491</v>
      </c>
      <c r="B1806" t="s">
        <v>5492</v>
      </c>
      <c r="C1806" t="s">
        <v>5490</v>
      </c>
    </row>
    <row r="1807" spans="1:3" x14ac:dyDescent="0.25">
      <c r="A1807" t="s">
        <v>5494</v>
      </c>
      <c r="B1807" t="s">
        <v>5495</v>
      </c>
      <c r="C1807" t="s">
        <v>5493</v>
      </c>
    </row>
    <row r="1808" spans="1:3" x14ac:dyDescent="0.25">
      <c r="A1808" t="s">
        <v>5497</v>
      </c>
      <c r="B1808" t="s">
        <v>5498</v>
      </c>
      <c r="C1808" t="s">
        <v>5496</v>
      </c>
    </row>
    <row r="1809" spans="1:3" x14ac:dyDescent="0.25">
      <c r="A1809" t="s">
        <v>5500</v>
      </c>
      <c r="B1809" t="s">
        <v>5501</v>
      </c>
      <c r="C1809" t="s">
        <v>5499</v>
      </c>
    </row>
    <row r="1810" spans="1:3" x14ac:dyDescent="0.25">
      <c r="A1810" t="s">
        <v>5503</v>
      </c>
      <c r="B1810" t="s">
        <v>5504</v>
      </c>
      <c r="C1810" t="s">
        <v>5502</v>
      </c>
    </row>
    <row r="1811" spans="1:3" x14ac:dyDescent="0.25">
      <c r="A1811" t="s">
        <v>5506</v>
      </c>
      <c r="B1811" t="s">
        <v>5507</v>
      </c>
      <c r="C1811" t="s">
        <v>5505</v>
      </c>
    </row>
    <row r="1812" spans="1:3" x14ac:dyDescent="0.25">
      <c r="A1812" t="s">
        <v>5509</v>
      </c>
      <c r="B1812" t="s">
        <v>5510</v>
      </c>
      <c r="C1812" t="s">
        <v>5508</v>
      </c>
    </row>
    <row r="1813" spans="1:3" x14ac:dyDescent="0.25">
      <c r="A1813" t="s">
        <v>5512</v>
      </c>
      <c r="B1813" t="s">
        <v>5513</v>
      </c>
      <c r="C1813" t="s">
        <v>5511</v>
      </c>
    </row>
    <row r="1814" spans="1:3" x14ac:dyDescent="0.25">
      <c r="A1814" t="s">
        <v>5515</v>
      </c>
      <c r="B1814" t="s">
        <v>5516</v>
      </c>
      <c r="C1814" t="s">
        <v>5514</v>
      </c>
    </row>
    <row r="1815" spans="1:3" x14ac:dyDescent="0.25">
      <c r="A1815" t="s">
        <v>5518</v>
      </c>
      <c r="B1815" t="s">
        <v>5519</v>
      </c>
      <c r="C1815" t="s">
        <v>5517</v>
      </c>
    </row>
    <row r="1816" spans="1:3" x14ac:dyDescent="0.25">
      <c r="A1816" t="s">
        <v>5521</v>
      </c>
      <c r="B1816" t="s">
        <v>5522</v>
      </c>
      <c r="C1816" t="s">
        <v>5520</v>
      </c>
    </row>
    <row r="1817" spans="1:3" x14ac:dyDescent="0.25">
      <c r="A1817" t="s">
        <v>5524</v>
      </c>
      <c r="B1817" t="s">
        <v>5525</v>
      </c>
      <c r="C1817" t="s">
        <v>5523</v>
      </c>
    </row>
    <row r="1818" spans="1:3" x14ac:dyDescent="0.25">
      <c r="A1818" t="s">
        <v>5527</v>
      </c>
      <c r="B1818" t="s">
        <v>5528</v>
      </c>
      <c r="C1818" t="s">
        <v>5526</v>
      </c>
    </row>
    <row r="1819" spans="1:3" x14ac:dyDescent="0.25">
      <c r="A1819" t="s">
        <v>5530</v>
      </c>
      <c r="B1819" t="s">
        <v>5531</v>
      </c>
      <c r="C1819" t="s">
        <v>5529</v>
      </c>
    </row>
    <row r="1820" spans="1:3" x14ac:dyDescent="0.25">
      <c r="A1820" t="s">
        <v>5533</v>
      </c>
      <c r="B1820" t="s">
        <v>5534</v>
      </c>
      <c r="C1820" t="s">
        <v>5532</v>
      </c>
    </row>
    <row r="1821" spans="1:3" x14ac:dyDescent="0.25">
      <c r="A1821" t="s">
        <v>5536</v>
      </c>
      <c r="B1821" t="s">
        <v>5537</v>
      </c>
      <c r="C1821" t="s">
        <v>5535</v>
      </c>
    </row>
    <row r="1822" spans="1:3" x14ac:dyDescent="0.25">
      <c r="A1822" t="s">
        <v>5539</v>
      </c>
      <c r="B1822" t="s">
        <v>5540</v>
      </c>
      <c r="C1822" t="s">
        <v>5538</v>
      </c>
    </row>
    <row r="1823" spans="1:3" x14ac:dyDescent="0.25">
      <c r="A1823" t="s">
        <v>5542</v>
      </c>
      <c r="B1823" t="s">
        <v>5543</v>
      </c>
      <c r="C1823" t="s">
        <v>5541</v>
      </c>
    </row>
    <row r="1824" spans="1:3" x14ac:dyDescent="0.25">
      <c r="A1824" t="s">
        <v>5545</v>
      </c>
      <c r="B1824" t="s">
        <v>5546</v>
      </c>
      <c r="C1824" t="s">
        <v>5544</v>
      </c>
    </row>
    <row r="1825" spans="1:3" x14ac:dyDescent="0.25">
      <c r="A1825" t="s">
        <v>5548</v>
      </c>
      <c r="B1825" t="s">
        <v>5549</v>
      </c>
      <c r="C1825" t="s">
        <v>5547</v>
      </c>
    </row>
    <row r="1826" spans="1:3" x14ac:dyDescent="0.25">
      <c r="A1826" t="s">
        <v>5551</v>
      </c>
      <c r="B1826" t="s">
        <v>5552</v>
      </c>
      <c r="C1826" t="s">
        <v>5550</v>
      </c>
    </row>
    <row r="1827" spans="1:3" x14ac:dyDescent="0.25">
      <c r="A1827" t="s">
        <v>5554</v>
      </c>
      <c r="B1827" t="s">
        <v>5555</v>
      </c>
      <c r="C1827" t="s">
        <v>5553</v>
      </c>
    </row>
    <row r="1828" spans="1:3" x14ac:dyDescent="0.25">
      <c r="A1828" t="s">
        <v>5557</v>
      </c>
      <c r="B1828" t="s">
        <v>5558</v>
      </c>
      <c r="C1828" t="s">
        <v>5556</v>
      </c>
    </row>
    <row r="1829" spans="1:3" x14ac:dyDescent="0.25">
      <c r="A1829" t="s">
        <v>5560</v>
      </c>
      <c r="B1829" t="s">
        <v>5561</v>
      </c>
      <c r="C1829" t="s">
        <v>5559</v>
      </c>
    </row>
    <row r="1830" spans="1:3" x14ac:dyDescent="0.25">
      <c r="A1830" t="s">
        <v>5563</v>
      </c>
      <c r="B1830" t="s">
        <v>5564</v>
      </c>
      <c r="C1830" t="s">
        <v>5562</v>
      </c>
    </row>
    <row r="1831" spans="1:3" x14ac:dyDescent="0.25">
      <c r="A1831" t="s">
        <v>5566</v>
      </c>
      <c r="B1831" t="s">
        <v>5567</v>
      </c>
      <c r="C1831" t="s">
        <v>5565</v>
      </c>
    </row>
    <row r="1832" spans="1:3" x14ac:dyDescent="0.25">
      <c r="A1832" t="s">
        <v>5569</v>
      </c>
      <c r="B1832" t="s">
        <v>5570</v>
      </c>
      <c r="C1832" t="s">
        <v>5568</v>
      </c>
    </row>
    <row r="1833" spans="1:3" x14ac:dyDescent="0.25">
      <c r="A1833" t="s">
        <v>5572</v>
      </c>
      <c r="B1833" t="s">
        <v>5573</v>
      </c>
      <c r="C1833" t="s">
        <v>5571</v>
      </c>
    </row>
    <row r="1834" spans="1:3" x14ac:dyDescent="0.25">
      <c r="A1834" t="s">
        <v>5575</v>
      </c>
      <c r="B1834" t="s">
        <v>5576</v>
      </c>
      <c r="C1834" t="s">
        <v>5574</v>
      </c>
    </row>
    <row r="1835" spans="1:3" x14ac:dyDescent="0.25">
      <c r="A1835" t="s">
        <v>5578</v>
      </c>
      <c r="B1835" t="s">
        <v>5579</v>
      </c>
      <c r="C1835" t="s">
        <v>5577</v>
      </c>
    </row>
    <row r="1836" spans="1:3" x14ac:dyDescent="0.25">
      <c r="A1836" t="s">
        <v>5581</v>
      </c>
      <c r="B1836" t="s">
        <v>5582</v>
      </c>
      <c r="C1836" t="s">
        <v>5580</v>
      </c>
    </row>
    <row r="1837" spans="1:3" x14ac:dyDescent="0.25">
      <c r="A1837" t="s">
        <v>5584</v>
      </c>
      <c r="B1837" t="s">
        <v>5585</v>
      </c>
      <c r="C1837" t="s">
        <v>5583</v>
      </c>
    </row>
    <row r="1838" spans="1:3" x14ac:dyDescent="0.25">
      <c r="A1838" t="s">
        <v>5587</v>
      </c>
      <c r="B1838" t="s">
        <v>5588</v>
      </c>
      <c r="C1838" t="s">
        <v>5586</v>
      </c>
    </row>
    <row r="1839" spans="1:3" x14ac:dyDescent="0.25">
      <c r="A1839" t="s">
        <v>5590</v>
      </c>
      <c r="B1839" t="s">
        <v>5591</v>
      </c>
      <c r="C1839" t="s">
        <v>5589</v>
      </c>
    </row>
    <row r="1840" spans="1:3" x14ac:dyDescent="0.25">
      <c r="A1840" t="s">
        <v>5593</v>
      </c>
      <c r="B1840" t="s">
        <v>5594</v>
      </c>
      <c r="C1840" t="s">
        <v>5592</v>
      </c>
    </row>
    <row r="1841" spans="1:3" x14ac:dyDescent="0.25">
      <c r="A1841" t="s">
        <v>5596</v>
      </c>
      <c r="B1841" t="s">
        <v>5597</v>
      </c>
      <c r="C1841" t="s">
        <v>5595</v>
      </c>
    </row>
    <row r="1842" spans="1:3" x14ac:dyDescent="0.25">
      <c r="A1842" t="s">
        <v>5599</v>
      </c>
      <c r="B1842" t="s">
        <v>5600</v>
      </c>
      <c r="C1842" t="s">
        <v>5598</v>
      </c>
    </row>
    <row r="1843" spans="1:3" x14ac:dyDescent="0.25">
      <c r="A1843" t="s">
        <v>5602</v>
      </c>
      <c r="B1843" t="s">
        <v>5603</v>
      </c>
      <c r="C1843" t="s">
        <v>5601</v>
      </c>
    </row>
    <row r="1844" spans="1:3" x14ac:dyDescent="0.25">
      <c r="A1844" t="s">
        <v>5605</v>
      </c>
      <c r="B1844" t="s">
        <v>5606</v>
      </c>
      <c r="C1844" t="s">
        <v>5604</v>
      </c>
    </row>
    <row r="1845" spans="1:3" x14ac:dyDescent="0.25">
      <c r="A1845" t="s">
        <v>5608</v>
      </c>
      <c r="B1845" t="s">
        <v>5609</v>
      </c>
      <c r="C1845" t="s">
        <v>5607</v>
      </c>
    </row>
    <row r="1846" spans="1:3" x14ac:dyDescent="0.25">
      <c r="A1846" t="s">
        <v>5611</v>
      </c>
      <c r="B1846" t="s">
        <v>5612</v>
      </c>
      <c r="C1846" t="s">
        <v>5610</v>
      </c>
    </row>
    <row r="1847" spans="1:3" x14ac:dyDescent="0.25">
      <c r="A1847" t="s">
        <v>5614</v>
      </c>
      <c r="B1847" t="s">
        <v>5612</v>
      </c>
      <c r="C1847" t="s">
        <v>5613</v>
      </c>
    </row>
    <row r="1848" spans="1:3" x14ac:dyDescent="0.25">
      <c r="A1848" t="s">
        <v>5616</v>
      </c>
      <c r="B1848" t="s">
        <v>5617</v>
      </c>
      <c r="C1848" t="s">
        <v>5615</v>
      </c>
    </row>
    <row r="1849" spans="1:3" x14ac:dyDescent="0.25">
      <c r="A1849" t="s">
        <v>5619</v>
      </c>
      <c r="B1849" t="s">
        <v>5620</v>
      </c>
      <c r="C1849" t="s">
        <v>5618</v>
      </c>
    </row>
    <row r="1850" spans="1:3" x14ac:dyDescent="0.25">
      <c r="A1850" t="s">
        <v>5622</v>
      </c>
      <c r="B1850" t="s">
        <v>5623</v>
      </c>
      <c r="C1850" t="s">
        <v>5621</v>
      </c>
    </row>
    <row r="1851" spans="1:3" x14ac:dyDescent="0.25">
      <c r="A1851" t="s">
        <v>5625</v>
      </c>
      <c r="B1851" t="s">
        <v>5626</v>
      </c>
      <c r="C1851" t="s">
        <v>5624</v>
      </c>
    </row>
    <row r="1852" spans="1:3" x14ac:dyDescent="0.25">
      <c r="A1852" t="s">
        <v>5628</v>
      </c>
      <c r="B1852" t="s">
        <v>5629</v>
      </c>
      <c r="C1852" t="s">
        <v>5627</v>
      </c>
    </row>
    <row r="1853" spans="1:3" x14ac:dyDescent="0.25">
      <c r="A1853" t="s">
        <v>5631</v>
      </c>
      <c r="B1853" t="s">
        <v>5632</v>
      </c>
      <c r="C1853" t="s">
        <v>5630</v>
      </c>
    </row>
    <row r="1854" spans="1:3" x14ac:dyDescent="0.25">
      <c r="A1854" t="s">
        <v>5634</v>
      </c>
      <c r="B1854" t="s">
        <v>5635</v>
      </c>
      <c r="C1854" t="s">
        <v>5633</v>
      </c>
    </row>
    <row r="1855" spans="1:3" x14ac:dyDescent="0.25">
      <c r="A1855" t="s">
        <v>5637</v>
      </c>
      <c r="B1855" t="s">
        <v>5638</v>
      </c>
      <c r="C1855" t="s">
        <v>5636</v>
      </c>
    </row>
    <row r="1856" spans="1:3" x14ac:dyDescent="0.25">
      <c r="A1856" t="s">
        <v>5640</v>
      </c>
      <c r="B1856" t="s">
        <v>5638</v>
      </c>
      <c r="C1856" t="s">
        <v>5639</v>
      </c>
    </row>
    <row r="1857" spans="1:3" x14ac:dyDescent="0.25">
      <c r="A1857" t="s">
        <v>5642</v>
      </c>
      <c r="B1857" t="s">
        <v>5643</v>
      </c>
      <c r="C1857" t="s">
        <v>5641</v>
      </c>
    </row>
    <row r="1858" spans="1:3" x14ac:dyDescent="0.25">
      <c r="A1858" t="s">
        <v>5645</v>
      </c>
      <c r="B1858" t="s">
        <v>5646</v>
      </c>
      <c r="C1858" t="s">
        <v>5644</v>
      </c>
    </row>
    <row r="1859" spans="1:3" x14ac:dyDescent="0.25">
      <c r="A1859" t="s">
        <v>5648</v>
      </c>
      <c r="B1859" t="s">
        <v>5649</v>
      </c>
      <c r="C1859" t="s">
        <v>5647</v>
      </c>
    </row>
    <row r="1860" spans="1:3" x14ac:dyDescent="0.25">
      <c r="A1860" t="s">
        <v>5651</v>
      </c>
      <c r="B1860" t="s">
        <v>5652</v>
      </c>
      <c r="C1860" t="s">
        <v>5650</v>
      </c>
    </row>
    <row r="1861" spans="1:3" x14ac:dyDescent="0.25">
      <c r="A1861" t="s">
        <v>5654</v>
      </c>
      <c r="B1861" t="s">
        <v>5655</v>
      </c>
      <c r="C1861" t="s">
        <v>5653</v>
      </c>
    </row>
    <row r="1862" spans="1:3" x14ac:dyDescent="0.25">
      <c r="A1862" t="s">
        <v>5657</v>
      </c>
      <c r="B1862" t="s">
        <v>5658</v>
      </c>
      <c r="C1862" t="s">
        <v>5656</v>
      </c>
    </row>
    <row r="1863" spans="1:3" x14ac:dyDescent="0.25">
      <c r="A1863" t="s">
        <v>5660</v>
      </c>
      <c r="B1863" t="s">
        <v>5661</v>
      </c>
      <c r="C1863" t="s">
        <v>5659</v>
      </c>
    </row>
    <row r="1864" spans="1:3" x14ac:dyDescent="0.25">
      <c r="A1864" t="s">
        <v>5663</v>
      </c>
      <c r="B1864" t="s">
        <v>5664</v>
      </c>
      <c r="C1864" t="s">
        <v>5662</v>
      </c>
    </row>
    <row r="1865" spans="1:3" x14ac:dyDescent="0.25">
      <c r="A1865" t="s">
        <v>5666</v>
      </c>
      <c r="B1865" t="s">
        <v>5667</v>
      </c>
      <c r="C1865" t="s">
        <v>5665</v>
      </c>
    </row>
    <row r="1866" spans="1:3" x14ac:dyDescent="0.25">
      <c r="A1866" t="s">
        <v>5669</v>
      </c>
      <c r="B1866" t="s">
        <v>5670</v>
      </c>
      <c r="C1866" t="s">
        <v>5668</v>
      </c>
    </row>
    <row r="1867" spans="1:3" x14ac:dyDescent="0.25">
      <c r="A1867" t="s">
        <v>5672</v>
      </c>
      <c r="B1867" t="s">
        <v>5673</v>
      </c>
      <c r="C1867" t="s">
        <v>5671</v>
      </c>
    </row>
    <row r="1868" spans="1:3" x14ac:dyDescent="0.25">
      <c r="A1868" t="s">
        <v>5675</v>
      </c>
      <c r="B1868" t="s">
        <v>5676</v>
      </c>
      <c r="C1868" t="s">
        <v>5674</v>
      </c>
    </row>
    <row r="1869" spans="1:3" x14ac:dyDescent="0.25">
      <c r="A1869" t="s">
        <v>5678</v>
      </c>
      <c r="B1869" t="s">
        <v>5679</v>
      </c>
      <c r="C1869" t="s">
        <v>5677</v>
      </c>
    </row>
    <row r="1870" spans="1:3" x14ac:dyDescent="0.25">
      <c r="A1870" t="s">
        <v>5681</v>
      </c>
      <c r="B1870" t="s">
        <v>5682</v>
      </c>
      <c r="C1870" t="s">
        <v>5680</v>
      </c>
    </row>
    <row r="1871" spans="1:3" x14ac:dyDescent="0.25">
      <c r="A1871" t="s">
        <v>5684</v>
      </c>
      <c r="B1871" t="s">
        <v>5685</v>
      </c>
      <c r="C1871" t="s">
        <v>5683</v>
      </c>
    </row>
    <row r="1872" spans="1:3" x14ac:dyDescent="0.25">
      <c r="A1872" t="s">
        <v>5687</v>
      </c>
      <c r="B1872" t="s">
        <v>5688</v>
      </c>
      <c r="C1872" t="s">
        <v>5686</v>
      </c>
    </row>
    <row r="1873" spans="1:3" x14ac:dyDescent="0.25">
      <c r="A1873" t="s">
        <v>5690</v>
      </c>
      <c r="B1873" t="s">
        <v>5691</v>
      </c>
      <c r="C1873" t="s">
        <v>5689</v>
      </c>
    </row>
    <row r="1874" spans="1:3" x14ac:dyDescent="0.25">
      <c r="A1874" t="s">
        <v>5693</v>
      </c>
      <c r="B1874" t="s">
        <v>5694</v>
      </c>
      <c r="C1874" t="s">
        <v>5692</v>
      </c>
    </row>
    <row r="1875" spans="1:3" x14ac:dyDescent="0.25">
      <c r="A1875" t="s">
        <v>5696</v>
      </c>
      <c r="B1875" t="s">
        <v>5697</v>
      </c>
      <c r="C1875" t="s">
        <v>5695</v>
      </c>
    </row>
    <row r="1876" spans="1:3" x14ac:dyDescent="0.25">
      <c r="A1876" t="s">
        <v>5699</v>
      </c>
      <c r="B1876" t="s">
        <v>5700</v>
      </c>
      <c r="C1876" t="s">
        <v>5698</v>
      </c>
    </row>
    <row r="1877" spans="1:3" x14ac:dyDescent="0.25">
      <c r="A1877" t="s">
        <v>5702</v>
      </c>
      <c r="B1877" t="s">
        <v>5703</v>
      </c>
      <c r="C1877" t="s">
        <v>5701</v>
      </c>
    </row>
    <row r="1878" spans="1:3" x14ac:dyDescent="0.25">
      <c r="A1878" t="s">
        <v>5705</v>
      </c>
      <c r="B1878" t="s">
        <v>5706</v>
      </c>
      <c r="C1878" t="s">
        <v>5704</v>
      </c>
    </row>
    <row r="1879" spans="1:3" x14ac:dyDescent="0.25">
      <c r="A1879" t="s">
        <v>5707</v>
      </c>
      <c r="B1879" t="s">
        <v>5708</v>
      </c>
      <c r="C1879" t="s">
        <v>5704</v>
      </c>
    </row>
    <row r="1880" spans="1:3" x14ac:dyDescent="0.25">
      <c r="A1880" t="s">
        <v>5710</v>
      </c>
      <c r="B1880" t="s">
        <v>5711</v>
      </c>
      <c r="C1880" t="s">
        <v>5709</v>
      </c>
    </row>
    <row r="1881" spans="1:3" x14ac:dyDescent="0.25">
      <c r="A1881" t="s">
        <v>5713</v>
      </c>
      <c r="B1881" t="s">
        <v>5714</v>
      </c>
      <c r="C1881" t="s">
        <v>5712</v>
      </c>
    </row>
    <row r="1882" spans="1:3" x14ac:dyDescent="0.25">
      <c r="A1882" t="s">
        <v>5716</v>
      </c>
      <c r="B1882" t="s">
        <v>5717</v>
      </c>
      <c r="C1882" t="s">
        <v>5715</v>
      </c>
    </row>
    <row r="1883" spans="1:3" x14ac:dyDescent="0.25">
      <c r="A1883" t="s">
        <v>5719</v>
      </c>
      <c r="B1883" t="s">
        <v>5720</v>
      </c>
      <c r="C1883" t="s">
        <v>5718</v>
      </c>
    </row>
    <row r="1884" spans="1:3" x14ac:dyDescent="0.25">
      <c r="A1884" t="s">
        <v>5722</v>
      </c>
      <c r="B1884" t="s">
        <v>5723</v>
      </c>
      <c r="C1884" t="s">
        <v>5721</v>
      </c>
    </row>
    <row r="1885" spans="1:3" x14ac:dyDescent="0.25">
      <c r="A1885" t="s">
        <v>5725</v>
      </c>
      <c r="B1885" t="s">
        <v>5726</v>
      </c>
      <c r="C1885" t="s">
        <v>5724</v>
      </c>
    </row>
    <row r="1886" spans="1:3" x14ac:dyDescent="0.25">
      <c r="A1886" t="s">
        <v>5728</v>
      </c>
      <c r="B1886" t="s">
        <v>5729</v>
      </c>
      <c r="C1886" t="s">
        <v>5727</v>
      </c>
    </row>
    <row r="1887" spans="1:3" x14ac:dyDescent="0.25">
      <c r="A1887" t="s">
        <v>5731</v>
      </c>
      <c r="B1887" t="s">
        <v>5732</v>
      </c>
      <c r="C1887" t="s">
        <v>5730</v>
      </c>
    </row>
    <row r="1888" spans="1:3" x14ac:dyDescent="0.25">
      <c r="A1888" t="s">
        <v>5734</v>
      </c>
      <c r="B1888" t="s">
        <v>5735</v>
      </c>
      <c r="C1888" t="s">
        <v>5733</v>
      </c>
    </row>
    <row r="1889" spans="1:3" x14ac:dyDescent="0.25">
      <c r="A1889" t="s">
        <v>5737</v>
      </c>
      <c r="B1889" t="s">
        <v>5738</v>
      </c>
      <c r="C1889" t="s">
        <v>5736</v>
      </c>
    </row>
    <row r="1890" spans="1:3" x14ac:dyDescent="0.25">
      <c r="A1890" t="s">
        <v>5740</v>
      </c>
      <c r="B1890" t="s">
        <v>5741</v>
      </c>
      <c r="C1890" t="s">
        <v>5739</v>
      </c>
    </row>
    <row r="1891" spans="1:3" x14ac:dyDescent="0.25">
      <c r="A1891" t="s">
        <v>5743</v>
      </c>
      <c r="B1891" t="s">
        <v>5744</v>
      </c>
      <c r="C1891" t="s">
        <v>5742</v>
      </c>
    </row>
    <row r="1892" spans="1:3" x14ac:dyDescent="0.25">
      <c r="A1892" t="s">
        <v>5746</v>
      </c>
      <c r="B1892" t="s">
        <v>5747</v>
      </c>
      <c r="C1892" t="s">
        <v>5745</v>
      </c>
    </row>
    <row r="1893" spans="1:3" x14ac:dyDescent="0.25">
      <c r="A1893" t="s">
        <v>5749</v>
      </c>
      <c r="B1893" t="s">
        <v>5750</v>
      </c>
      <c r="C1893" t="s">
        <v>5748</v>
      </c>
    </row>
    <row r="1894" spans="1:3" x14ac:dyDescent="0.25">
      <c r="A1894" t="s">
        <v>5752</v>
      </c>
      <c r="B1894" t="s">
        <v>5753</v>
      </c>
      <c r="C1894" t="s">
        <v>5751</v>
      </c>
    </row>
    <row r="1895" spans="1:3" x14ac:dyDescent="0.25">
      <c r="A1895" t="s">
        <v>5755</v>
      </c>
      <c r="B1895" t="s">
        <v>5756</v>
      </c>
      <c r="C1895" t="s">
        <v>5754</v>
      </c>
    </row>
    <row r="1896" spans="1:3" x14ac:dyDescent="0.25">
      <c r="A1896" t="s">
        <v>5758</v>
      </c>
      <c r="B1896" t="s">
        <v>5759</v>
      </c>
      <c r="C1896" t="s">
        <v>5757</v>
      </c>
    </row>
    <row r="1897" spans="1:3" x14ac:dyDescent="0.25">
      <c r="A1897" t="s">
        <v>5761</v>
      </c>
      <c r="B1897" t="s">
        <v>5762</v>
      </c>
      <c r="C1897" t="s">
        <v>5760</v>
      </c>
    </row>
    <row r="1898" spans="1:3" x14ac:dyDescent="0.25">
      <c r="A1898" t="s">
        <v>5764</v>
      </c>
      <c r="B1898" t="s">
        <v>5765</v>
      </c>
      <c r="C1898" t="s">
        <v>5763</v>
      </c>
    </row>
    <row r="1899" spans="1:3" x14ac:dyDescent="0.25">
      <c r="A1899" t="s">
        <v>5767</v>
      </c>
      <c r="B1899" t="s">
        <v>5768</v>
      </c>
      <c r="C1899" t="s">
        <v>5766</v>
      </c>
    </row>
    <row r="1900" spans="1:3" x14ac:dyDescent="0.25">
      <c r="A1900" t="s">
        <v>5770</v>
      </c>
      <c r="B1900" t="s">
        <v>5771</v>
      </c>
      <c r="C1900" t="s">
        <v>5769</v>
      </c>
    </row>
    <row r="1901" spans="1:3" x14ac:dyDescent="0.25">
      <c r="A1901" t="s">
        <v>5773</v>
      </c>
      <c r="B1901" t="s">
        <v>5774</v>
      </c>
      <c r="C1901" t="s">
        <v>5772</v>
      </c>
    </row>
    <row r="1902" spans="1:3" x14ac:dyDescent="0.25">
      <c r="A1902" t="s">
        <v>5776</v>
      </c>
      <c r="B1902" t="s">
        <v>5777</v>
      </c>
      <c r="C1902" t="s">
        <v>5775</v>
      </c>
    </row>
    <row r="1903" spans="1:3" x14ac:dyDescent="0.25">
      <c r="A1903" t="s">
        <v>5779</v>
      </c>
      <c r="B1903" t="s">
        <v>5780</v>
      </c>
      <c r="C1903" t="s">
        <v>5778</v>
      </c>
    </row>
    <row r="1904" spans="1:3" x14ac:dyDescent="0.25">
      <c r="A1904" t="s">
        <v>5782</v>
      </c>
      <c r="B1904" t="s">
        <v>5783</v>
      </c>
      <c r="C1904" t="s">
        <v>5781</v>
      </c>
    </row>
    <row r="1905" spans="1:3" x14ac:dyDescent="0.25">
      <c r="A1905" t="s">
        <v>5785</v>
      </c>
      <c r="B1905" t="s">
        <v>5786</v>
      </c>
      <c r="C1905" t="s">
        <v>5784</v>
      </c>
    </row>
    <row r="1906" spans="1:3" x14ac:dyDescent="0.25">
      <c r="A1906" t="s">
        <v>5788</v>
      </c>
      <c r="B1906" t="s">
        <v>5789</v>
      </c>
      <c r="C1906" t="s">
        <v>5787</v>
      </c>
    </row>
    <row r="1907" spans="1:3" x14ac:dyDescent="0.25">
      <c r="A1907" t="s">
        <v>5791</v>
      </c>
      <c r="B1907" t="s">
        <v>5792</v>
      </c>
      <c r="C1907" t="s">
        <v>5790</v>
      </c>
    </row>
    <row r="1908" spans="1:3" x14ac:dyDescent="0.25">
      <c r="A1908" t="s">
        <v>5794</v>
      </c>
      <c r="B1908" t="s">
        <v>5795</v>
      </c>
      <c r="C1908" t="s">
        <v>5793</v>
      </c>
    </row>
    <row r="1909" spans="1:3" x14ac:dyDescent="0.25">
      <c r="A1909" t="s">
        <v>5797</v>
      </c>
      <c r="B1909" t="s">
        <v>5798</v>
      </c>
      <c r="C1909" t="s">
        <v>5796</v>
      </c>
    </row>
    <row r="1910" spans="1:3" x14ac:dyDescent="0.25">
      <c r="A1910" t="s">
        <v>5800</v>
      </c>
      <c r="B1910" t="s">
        <v>5801</v>
      </c>
      <c r="C1910" t="s">
        <v>5799</v>
      </c>
    </row>
    <row r="1911" spans="1:3" x14ac:dyDescent="0.25">
      <c r="A1911" t="s">
        <v>5803</v>
      </c>
      <c r="B1911" t="s">
        <v>5804</v>
      </c>
      <c r="C1911" t="s">
        <v>5802</v>
      </c>
    </row>
    <row r="1912" spans="1:3" x14ac:dyDescent="0.25">
      <c r="A1912" t="s">
        <v>5806</v>
      </c>
      <c r="B1912" t="s">
        <v>5807</v>
      </c>
      <c r="C1912" t="s">
        <v>5805</v>
      </c>
    </row>
    <row r="1913" spans="1:3" x14ac:dyDescent="0.25">
      <c r="A1913" t="s">
        <v>5809</v>
      </c>
      <c r="B1913" t="s">
        <v>5810</v>
      </c>
      <c r="C1913" t="s">
        <v>5808</v>
      </c>
    </row>
    <row r="1914" spans="1:3" x14ac:dyDescent="0.25">
      <c r="A1914" t="s">
        <v>5812</v>
      </c>
      <c r="B1914" t="s">
        <v>5813</v>
      </c>
      <c r="C1914" t="s">
        <v>5811</v>
      </c>
    </row>
    <row r="1915" spans="1:3" x14ac:dyDescent="0.25">
      <c r="A1915" t="s">
        <v>5815</v>
      </c>
      <c r="B1915" t="s">
        <v>5816</v>
      </c>
      <c r="C1915" t="s">
        <v>5814</v>
      </c>
    </row>
    <row r="1916" spans="1:3" x14ac:dyDescent="0.25">
      <c r="A1916" t="s">
        <v>5818</v>
      </c>
      <c r="B1916" t="s">
        <v>5819</v>
      </c>
      <c r="C1916" t="s">
        <v>5817</v>
      </c>
    </row>
    <row r="1917" spans="1:3" x14ac:dyDescent="0.25">
      <c r="A1917" t="s">
        <v>5821</v>
      </c>
      <c r="B1917" t="s">
        <v>5822</v>
      </c>
      <c r="C1917" t="s">
        <v>5820</v>
      </c>
    </row>
    <row r="1918" spans="1:3" x14ac:dyDescent="0.25">
      <c r="A1918" t="s">
        <v>5824</v>
      </c>
      <c r="B1918" t="s">
        <v>5825</v>
      </c>
      <c r="C1918" t="s">
        <v>5823</v>
      </c>
    </row>
    <row r="1919" spans="1:3" x14ac:dyDescent="0.25">
      <c r="A1919" t="s">
        <v>5827</v>
      </c>
      <c r="B1919" t="s">
        <v>5828</v>
      </c>
      <c r="C1919" t="s">
        <v>5826</v>
      </c>
    </row>
    <row r="1920" spans="1:3" x14ac:dyDescent="0.25">
      <c r="A1920" t="s">
        <v>5830</v>
      </c>
      <c r="B1920" t="s">
        <v>5831</v>
      </c>
      <c r="C1920" t="s">
        <v>5829</v>
      </c>
    </row>
    <row r="1921" spans="1:3" x14ac:dyDescent="0.25">
      <c r="A1921" t="s">
        <v>5833</v>
      </c>
      <c r="B1921" t="s">
        <v>5834</v>
      </c>
      <c r="C1921" t="s">
        <v>5832</v>
      </c>
    </row>
    <row r="1922" spans="1:3" x14ac:dyDescent="0.25">
      <c r="A1922" t="s">
        <v>5836</v>
      </c>
      <c r="B1922" t="s">
        <v>5837</v>
      </c>
      <c r="C1922" t="s">
        <v>5835</v>
      </c>
    </row>
    <row r="1923" spans="1:3" x14ac:dyDescent="0.25">
      <c r="A1923" t="s">
        <v>5839</v>
      </c>
      <c r="B1923" t="s">
        <v>5840</v>
      </c>
      <c r="C1923" t="s">
        <v>5838</v>
      </c>
    </row>
    <row r="1924" spans="1:3" x14ac:dyDescent="0.25">
      <c r="A1924" t="s">
        <v>5842</v>
      </c>
      <c r="B1924" t="s">
        <v>5843</v>
      </c>
      <c r="C1924" t="s">
        <v>5841</v>
      </c>
    </row>
    <row r="1925" spans="1:3" x14ac:dyDescent="0.25">
      <c r="A1925" t="s">
        <v>5845</v>
      </c>
      <c r="B1925" t="s">
        <v>5846</v>
      </c>
      <c r="C1925" t="s">
        <v>5844</v>
      </c>
    </row>
    <row r="1926" spans="1:3" x14ac:dyDescent="0.25">
      <c r="A1926" t="s">
        <v>5848</v>
      </c>
      <c r="B1926" t="s">
        <v>5849</v>
      </c>
      <c r="C1926" t="s">
        <v>5847</v>
      </c>
    </row>
    <row r="1927" spans="1:3" x14ac:dyDescent="0.25">
      <c r="A1927" t="s">
        <v>5851</v>
      </c>
      <c r="B1927" t="s">
        <v>5852</v>
      </c>
      <c r="C1927" t="s">
        <v>5850</v>
      </c>
    </row>
    <row r="1928" spans="1:3" x14ac:dyDescent="0.25">
      <c r="A1928" t="s">
        <v>5854</v>
      </c>
      <c r="B1928" t="s">
        <v>5855</v>
      </c>
      <c r="C1928" t="s">
        <v>5853</v>
      </c>
    </row>
    <row r="1929" spans="1:3" x14ac:dyDescent="0.25">
      <c r="A1929" t="s">
        <v>5857</v>
      </c>
      <c r="B1929" t="s">
        <v>5858</v>
      </c>
      <c r="C1929" t="s">
        <v>5856</v>
      </c>
    </row>
    <row r="1930" spans="1:3" x14ac:dyDescent="0.25">
      <c r="A1930" t="s">
        <v>5860</v>
      </c>
      <c r="B1930" t="s">
        <v>5861</v>
      </c>
      <c r="C1930" t="s">
        <v>5859</v>
      </c>
    </row>
    <row r="1931" spans="1:3" x14ac:dyDescent="0.25">
      <c r="A1931" t="s">
        <v>5863</v>
      </c>
      <c r="B1931" t="s">
        <v>5864</v>
      </c>
      <c r="C1931" t="s">
        <v>5862</v>
      </c>
    </row>
    <row r="1932" spans="1:3" x14ac:dyDescent="0.25">
      <c r="A1932" t="s">
        <v>5866</v>
      </c>
      <c r="B1932" t="s">
        <v>5867</v>
      </c>
      <c r="C1932" t="s">
        <v>5865</v>
      </c>
    </row>
    <row r="1933" spans="1:3" x14ac:dyDescent="0.25">
      <c r="A1933" t="s">
        <v>5869</v>
      </c>
      <c r="B1933" t="s">
        <v>5870</v>
      </c>
      <c r="C1933" t="s">
        <v>5868</v>
      </c>
    </row>
    <row r="1934" spans="1:3" x14ac:dyDescent="0.25">
      <c r="A1934" t="s">
        <v>5872</v>
      </c>
      <c r="B1934" t="s">
        <v>5873</v>
      </c>
      <c r="C1934" t="s">
        <v>5871</v>
      </c>
    </row>
    <row r="1935" spans="1:3" x14ac:dyDescent="0.25">
      <c r="A1935" t="s">
        <v>5875</v>
      </c>
      <c r="B1935" t="s">
        <v>5876</v>
      </c>
      <c r="C1935" t="s">
        <v>5874</v>
      </c>
    </row>
    <row r="1936" spans="1:3" x14ac:dyDescent="0.25">
      <c r="A1936" t="s">
        <v>5878</v>
      </c>
      <c r="B1936" t="s">
        <v>5879</v>
      </c>
      <c r="C1936" t="s">
        <v>5877</v>
      </c>
    </row>
    <row r="1937" spans="1:3" x14ac:dyDescent="0.25">
      <c r="A1937" t="s">
        <v>5881</v>
      </c>
      <c r="B1937" t="s">
        <v>5882</v>
      </c>
      <c r="C1937" t="s">
        <v>5880</v>
      </c>
    </row>
    <row r="1938" spans="1:3" x14ac:dyDescent="0.25">
      <c r="A1938" t="s">
        <v>5884</v>
      </c>
      <c r="B1938" t="s">
        <v>5885</v>
      </c>
      <c r="C1938" t="s">
        <v>5883</v>
      </c>
    </row>
    <row r="1939" spans="1:3" x14ac:dyDescent="0.25">
      <c r="A1939" t="s">
        <v>5887</v>
      </c>
      <c r="B1939" t="s">
        <v>5888</v>
      </c>
      <c r="C1939" t="s">
        <v>5886</v>
      </c>
    </row>
    <row r="1940" spans="1:3" x14ac:dyDescent="0.25">
      <c r="A1940" t="s">
        <v>5890</v>
      </c>
      <c r="B1940" t="s">
        <v>5891</v>
      </c>
      <c r="C1940" t="s">
        <v>5889</v>
      </c>
    </row>
    <row r="1941" spans="1:3" x14ac:dyDescent="0.25">
      <c r="A1941" t="s">
        <v>5893</v>
      </c>
      <c r="B1941" t="s">
        <v>5894</v>
      </c>
      <c r="C1941" t="s">
        <v>5892</v>
      </c>
    </row>
    <row r="1942" spans="1:3" x14ac:dyDescent="0.25">
      <c r="A1942" t="s">
        <v>5896</v>
      </c>
      <c r="B1942" t="s">
        <v>5894</v>
      </c>
      <c r="C1942" t="s">
        <v>5895</v>
      </c>
    </row>
    <row r="1943" spans="1:3" x14ac:dyDescent="0.25">
      <c r="A1943" t="s">
        <v>5898</v>
      </c>
      <c r="B1943" t="s">
        <v>5899</v>
      </c>
      <c r="C1943" t="s">
        <v>5897</v>
      </c>
    </row>
    <row r="1944" spans="1:3" x14ac:dyDescent="0.25">
      <c r="A1944" t="s">
        <v>5901</v>
      </c>
      <c r="B1944" t="s">
        <v>5902</v>
      </c>
      <c r="C1944" t="s">
        <v>5900</v>
      </c>
    </row>
    <row r="1945" spans="1:3" x14ac:dyDescent="0.25">
      <c r="A1945" t="s">
        <v>5904</v>
      </c>
      <c r="B1945" t="s">
        <v>5905</v>
      </c>
      <c r="C1945" t="s">
        <v>5903</v>
      </c>
    </row>
    <row r="1946" spans="1:3" x14ac:dyDescent="0.25">
      <c r="A1946" t="s">
        <v>5907</v>
      </c>
      <c r="B1946" t="s">
        <v>5908</v>
      </c>
      <c r="C1946" t="s">
        <v>5906</v>
      </c>
    </row>
    <row r="1947" spans="1:3" x14ac:dyDescent="0.25">
      <c r="A1947" t="s">
        <v>5910</v>
      </c>
      <c r="B1947" t="s">
        <v>5911</v>
      </c>
      <c r="C1947" t="s">
        <v>5909</v>
      </c>
    </row>
    <row r="1948" spans="1:3" x14ac:dyDescent="0.25">
      <c r="A1948" t="s">
        <v>5913</v>
      </c>
      <c r="B1948" t="s">
        <v>5914</v>
      </c>
      <c r="C1948" t="s">
        <v>5912</v>
      </c>
    </row>
    <row r="1949" spans="1:3" x14ac:dyDescent="0.25">
      <c r="A1949" t="s">
        <v>5916</v>
      </c>
      <c r="B1949" t="s">
        <v>5917</v>
      </c>
      <c r="C1949" t="s">
        <v>5915</v>
      </c>
    </row>
    <row r="1950" spans="1:3" x14ac:dyDescent="0.25">
      <c r="A1950" t="s">
        <v>5919</v>
      </c>
      <c r="B1950" t="s">
        <v>5920</v>
      </c>
      <c r="C1950" t="s">
        <v>5918</v>
      </c>
    </row>
    <row r="1951" spans="1:3" x14ac:dyDescent="0.25">
      <c r="A1951" t="s">
        <v>5922</v>
      </c>
      <c r="B1951" t="s">
        <v>5923</v>
      </c>
      <c r="C1951" t="s">
        <v>5921</v>
      </c>
    </row>
    <row r="1952" spans="1:3" x14ac:dyDescent="0.25">
      <c r="A1952" t="s">
        <v>5925</v>
      </c>
      <c r="B1952" t="s">
        <v>5926</v>
      </c>
      <c r="C1952" t="s">
        <v>5924</v>
      </c>
    </row>
    <row r="1953" spans="1:3" x14ac:dyDescent="0.25">
      <c r="A1953" t="s">
        <v>5928</v>
      </c>
      <c r="B1953" t="s">
        <v>5929</v>
      </c>
      <c r="C1953" t="s">
        <v>5927</v>
      </c>
    </row>
    <row r="1954" spans="1:3" x14ac:dyDescent="0.25">
      <c r="A1954" t="s">
        <v>5931</v>
      </c>
      <c r="B1954" t="s">
        <v>5932</v>
      </c>
      <c r="C1954" t="s">
        <v>5930</v>
      </c>
    </row>
    <row r="1955" spans="1:3" x14ac:dyDescent="0.25">
      <c r="A1955" t="s">
        <v>5934</v>
      </c>
      <c r="B1955" t="s">
        <v>5935</v>
      </c>
      <c r="C1955" t="s">
        <v>5933</v>
      </c>
    </row>
    <row r="1956" spans="1:3" x14ac:dyDescent="0.25">
      <c r="A1956" t="s">
        <v>5937</v>
      </c>
      <c r="B1956" t="s">
        <v>5938</v>
      </c>
      <c r="C1956" t="s">
        <v>5936</v>
      </c>
    </row>
    <row r="1957" spans="1:3" x14ac:dyDescent="0.25">
      <c r="A1957" t="s">
        <v>5940</v>
      </c>
      <c r="B1957" t="s">
        <v>5941</v>
      </c>
      <c r="C1957" t="s">
        <v>5939</v>
      </c>
    </row>
    <row r="1958" spans="1:3" x14ac:dyDescent="0.25">
      <c r="A1958" t="s">
        <v>5943</v>
      </c>
      <c r="B1958" t="s">
        <v>5944</v>
      </c>
      <c r="C1958" t="s">
        <v>5942</v>
      </c>
    </row>
    <row r="1959" spans="1:3" x14ac:dyDescent="0.25">
      <c r="A1959" t="s">
        <v>5946</v>
      </c>
      <c r="B1959" t="s">
        <v>5947</v>
      </c>
      <c r="C1959" t="s">
        <v>5945</v>
      </c>
    </row>
    <row r="1960" spans="1:3" x14ac:dyDescent="0.25">
      <c r="A1960" t="s">
        <v>5949</v>
      </c>
      <c r="B1960" t="s">
        <v>5950</v>
      </c>
      <c r="C1960" t="s">
        <v>5948</v>
      </c>
    </row>
    <row r="1961" spans="1:3" x14ac:dyDescent="0.25">
      <c r="A1961" t="s">
        <v>5952</v>
      </c>
      <c r="B1961" t="s">
        <v>5953</v>
      </c>
      <c r="C1961" t="s">
        <v>5951</v>
      </c>
    </row>
    <row r="1962" spans="1:3" x14ac:dyDescent="0.25">
      <c r="A1962" t="s">
        <v>5955</v>
      </c>
      <c r="B1962" t="s">
        <v>5956</v>
      </c>
      <c r="C1962" t="s">
        <v>5954</v>
      </c>
    </row>
    <row r="1963" spans="1:3" x14ac:dyDescent="0.25">
      <c r="A1963" t="s">
        <v>5958</v>
      </c>
      <c r="B1963" t="s">
        <v>5959</v>
      </c>
      <c r="C1963" t="s">
        <v>5957</v>
      </c>
    </row>
    <row r="1964" spans="1:3" x14ac:dyDescent="0.25">
      <c r="A1964" t="s">
        <v>5961</v>
      </c>
      <c r="B1964" t="s">
        <v>5962</v>
      </c>
      <c r="C1964" t="s">
        <v>5960</v>
      </c>
    </row>
    <row r="1965" spans="1:3" x14ac:dyDescent="0.25">
      <c r="A1965" t="s">
        <v>5964</v>
      </c>
      <c r="B1965" t="s">
        <v>5965</v>
      </c>
      <c r="C1965" t="s">
        <v>5963</v>
      </c>
    </row>
    <row r="1966" spans="1:3" x14ac:dyDescent="0.25">
      <c r="A1966" t="s">
        <v>5967</v>
      </c>
      <c r="B1966" t="s">
        <v>5968</v>
      </c>
      <c r="C1966" t="s">
        <v>5966</v>
      </c>
    </row>
    <row r="1967" spans="1:3" x14ac:dyDescent="0.25">
      <c r="A1967" t="s">
        <v>5970</v>
      </c>
      <c r="B1967" t="s">
        <v>5971</v>
      </c>
      <c r="C1967" t="s">
        <v>5969</v>
      </c>
    </row>
    <row r="1968" spans="1:3" x14ac:dyDescent="0.25">
      <c r="A1968" t="s">
        <v>5973</v>
      </c>
      <c r="B1968" t="s">
        <v>5974</v>
      </c>
      <c r="C1968" t="s">
        <v>5972</v>
      </c>
    </row>
    <row r="1969" spans="1:3" x14ac:dyDescent="0.25">
      <c r="A1969" t="s">
        <v>5976</v>
      </c>
      <c r="B1969" t="s">
        <v>5977</v>
      </c>
      <c r="C1969" t="s">
        <v>5975</v>
      </c>
    </row>
    <row r="1970" spans="1:3" x14ac:dyDescent="0.25">
      <c r="A1970" t="s">
        <v>5979</v>
      </c>
      <c r="B1970" t="s">
        <v>5980</v>
      </c>
      <c r="C1970" t="s">
        <v>5978</v>
      </c>
    </row>
    <row r="1971" spans="1:3" x14ac:dyDescent="0.25">
      <c r="A1971" t="s">
        <v>5982</v>
      </c>
      <c r="B1971" t="s">
        <v>5983</v>
      </c>
      <c r="C1971" t="s">
        <v>5981</v>
      </c>
    </row>
    <row r="1972" spans="1:3" x14ac:dyDescent="0.25">
      <c r="A1972" t="s">
        <v>5985</v>
      </c>
      <c r="B1972" t="s">
        <v>5986</v>
      </c>
      <c r="C1972" t="s">
        <v>5984</v>
      </c>
    </row>
    <row r="1973" spans="1:3" x14ac:dyDescent="0.25">
      <c r="A1973" t="s">
        <v>5988</v>
      </c>
      <c r="B1973" t="s">
        <v>5989</v>
      </c>
      <c r="C1973" t="s">
        <v>5987</v>
      </c>
    </row>
    <row r="1974" spans="1:3" x14ac:dyDescent="0.25">
      <c r="A1974" t="s">
        <v>5991</v>
      </c>
      <c r="B1974" t="s">
        <v>5992</v>
      </c>
      <c r="C1974" t="s">
        <v>5990</v>
      </c>
    </row>
    <row r="1975" spans="1:3" x14ac:dyDescent="0.25">
      <c r="A1975" t="s">
        <v>5994</v>
      </c>
      <c r="B1975" t="s">
        <v>5995</v>
      </c>
      <c r="C1975" t="s">
        <v>5993</v>
      </c>
    </row>
    <row r="1976" spans="1:3" x14ac:dyDescent="0.25">
      <c r="A1976" t="s">
        <v>5997</v>
      </c>
      <c r="B1976" t="s">
        <v>5998</v>
      </c>
      <c r="C1976" t="s">
        <v>5996</v>
      </c>
    </row>
    <row r="1977" spans="1:3" x14ac:dyDescent="0.25">
      <c r="A1977" t="s">
        <v>6000</v>
      </c>
      <c r="B1977" t="s">
        <v>6001</v>
      </c>
      <c r="C1977" t="s">
        <v>5999</v>
      </c>
    </row>
    <row r="1978" spans="1:3" x14ac:dyDescent="0.25">
      <c r="A1978" t="s">
        <v>6003</v>
      </c>
      <c r="B1978" t="s">
        <v>6004</v>
      </c>
      <c r="C1978" t="s">
        <v>6002</v>
      </c>
    </row>
    <row r="1979" spans="1:3" x14ac:dyDescent="0.25">
      <c r="A1979" t="s">
        <v>6006</v>
      </c>
      <c r="B1979" t="s">
        <v>6007</v>
      </c>
      <c r="C1979" t="s">
        <v>6005</v>
      </c>
    </row>
    <row r="1980" spans="1:3" x14ac:dyDescent="0.25">
      <c r="A1980" t="s">
        <v>6009</v>
      </c>
      <c r="B1980" t="s">
        <v>6010</v>
      </c>
      <c r="C1980" t="s">
        <v>6008</v>
      </c>
    </row>
    <row r="1981" spans="1:3" x14ac:dyDescent="0.25">
      <c r="A1981" t="s">
        <v>6012</v>
      </c>
      <c r="B1981" t="s">
        <v>6013</v>
      </c>
      <c r="C1981" t="s">
        <v>6011</v>
      </c>
    </row>
    <row r="1982" spans="1:3" x14ac:dyDescent="0.25">
      <c r="A1982" t="s">
        <v>6015</v>
      </c>
      <c r="B1982" t="s">
        <v>6016</v>
      </c>
      <c r="C1982" t="s">
        <v>6014</v>
      </c>
    </row>
    <row r="1983" spans="1:3" x14ac:dyDescent="0.25">
      <c r="A1983" t="s">
        <v>6018</v>
      </c>
      <c r="B1983" t="s">
        <v>6019</v>
      </c>
      <c r="C1983" t="s">
        <v>6017</v>
      </c>
    </row>
    <row r="1984" spans="1:3" x14ac:dyDescent="0.25">
      <c r="A1984" t="s">
        <v>6021</v>
      </c>
      <c r="B1984" t="s">
        <v>6022</v>
      </c>
      <c r="C1984" t="s">
        <v>6020</v>
      </c>
    </row>
    <row r="1985" spans="1:3" x14ac:dyDescent="0.25">
      <c r="A1985" t="s">
        <v>6024</v>
      </c>
      <c r="B1985" t="s">
        <v>6025</v>
      </c>
      <c r="C1985" t="s">
        <v>6023</v>
      </c>
    </row>
    <row r="1986" spans="1:3" x14ac:dyDescent="0.25">
      <c r="A1986" t="s">
        <v>6027</v>
      </c>
      <c r="B1986" t="s">
        <v>6028</v>
      </c>
      <c r="C1986" t="s">
        <v>6026</v>
      </c>
    </row>
    <row r="1987" spans="1:3" x14ac:dyDescent="0.25">
      <c r="A1987" t="s">
        <v>6030</v>
      </c>
      <c r="B1987" t="s">
        <v>6031</v>
      </c>
      <c r="C1987" t="s">
        <v>6029</v>
      </c>
    </row>
    <row r="1988" spans="1:3" x14ac:dyDescent="0.25">
      <c r="A1988" t="s">
        <v>6033</v>
      </c>
      <c r="B1988" t="s">
        <v>6034</v>
      </c>
      <c r="C1988" t="s">
        <v>6032</v>
      </c>
    </row>
    <row r="1989" spans="1:3" x14ac:dyDescent="0.25">
      <c r="A1989" t="s">
        <v>6036</v>
      </c>
      <c r="B1989" t="s">
        <v>6037</v>
      </c>
      <c r="C1989" t="s">
        <v>6035</v>
      </c>
    </row>
    <row r="1990" spans="1:3" x14ac:dyDescent="0.25">
      <c r="A1990" t="s">
        <v>6039</v>
      </c>
      <c r="B1990" t="s">
        <v>6040</v>
      </c>
      <c r="C1990" t="s">
        <v>6038</v>
      </c>
    </row>
    <row r="1991" spans="1:3" x14ac:dyDescent="0.25">
      <c r="A1991" t="s">
        <v>6042</v>
      </c>
      <c r="B1991" t="s">
        <v>6043</v>
      </c>
      <c r="C1991" t="s">
        <v>6041</v>
      </c>
    </row>
    <row r="1992" spans="1:3" x14ac:dyDescent="0.25">
      <c r="A1992" t="s">
        <v>6045</v>
      </c>
      <c r="B1992" t="s">
        <v>6046</v>
      </c>
      <c r="C1992" t="s">
        <v>6044</v>
      </c>
    </row>
    <row r="1993" spans="1:3" x14ac:dyDescent="0.25">
      <c r="A1993" t="s">
        <v>6048</v>
      </c>
      <c r="B1993" t="s">
        <v>6049</v>
      </c>
      <c r="C1993" t="s">
        <v>6047</v>
      </c>
    </row>
    <row r="1994" spans="1:3" x14ac:dyDescent="0.25">
      <c r="A1994" t="s">
        <v>6051</v>
      </c>
      <c r="B1994" t="s">
        <v>6052</v>
      </c>
      <c r="C1994" t="s">
        <v>6050</v>
      </c>
    </row>
    <row r="1995" spans="1:3" x14ac:dyDescent="0.25">
      <c r="A1995" t="s">
        <v>6054</v>
      </c>
      <c r="B1995" t="s">
        <v>6055</v>
      </c>
      <c r="C1995" t="s">
        <v>6053</v>
      </c>
    </row>
    <row r="1996" spans="1:3" x14ac:dyDescent="0.25">
      <c r="A1996" t="s">
        <v>6057</v>
      </c>
      <c r="B1996" t="s">
        <v>6058</v>
      </c>
      <c r="C1996" t="s">
        <v>6056</v>
      </c>
    </row>
    <row r="1997" spans="1:3" x14ac:dyDescent="0.25">
      <c r="A1997" t="s">
        <v>6060</v>
      </c>
      <c r="B1997" t="s">
        <v>6061</v>
      </c>
      <c r="C1997" t="s">
        <v>6059</v>
      </c>
    </row>
    <row r="1998" spans="1:3" x14ac:dyDescent="0.25">
      <c r="A1998" t="s">
        <v>6063</v>
      </c>
      <c r="B1998" t="s">
        <v>6064</v>
      </c>
      <c r="C1998" t="s">
        <v>6062</v>
      </c>
    </row>
    <row r="1999" spans="1:3" x14ac:dyDescent="0.25">
      <c r="A1999" t="s">
        <v>6066</v>
      </c>
      <c r="B1999" t="s">
        <v>6067</v>
      </c>
      <c r="C1999" t="s">
        <v>6065</v>
      </c>
    </row>
    <row r="2000" spans="1:3" x14ac:dyDescent="0.25">
      <c r="A2000" t="s">
        <v>6069</v>
      </c>
      <c r="B2000" t="s">
        <v>6070</v>
      </c>
      <c r="C2000" t="s">
        <v>6068</v>
      </c>
    </row>
    <row r="2001" spans="1:3" x14ac:dyDescent="0.25">
      <c r="A2001" t="s">
        <v>6072</v>
      </c>
      <c r="B2001" t="s">
        <v>6073</v>
      </c>
      <c r="C2001" t="s">
        <v>6071</v>
      </c>
    </row>
    <row r="2002" spans="1:3" x14ac:dyDescent="0.25">
      <c r="A2002" t="s">
        <v>6075</v>
      </c>
      <c r="B2002" t="s">
        <v>6076</v>
      </c>
      <c r="C2002" t="s">
        <v>6074</v>
      </c>
    </row>
    <row r="2003" spans="1:3" x14ac:dyDescent="0.25">
      <c r="A2003" t="s">
        <v>6078</v>
      </c>
      <c r="B2003" t="s">
        <v>6079</v>
      </c>
      <c r="C2003" t="s">
        <v>6077</v>
      </c>
    </row>
    <row r="2004" spans="1:3" x14ac:dyDescent="0.25">
      <c r="A2004" t="s">
        <v>6081</v>
      </c>
      <c r="B2004" t="s">
        <v>6082</v>
      </c>
      <c r="C2004" t="s">
        <v>6080</v>
      </c>
    </row>
    <row r="2005" spans="1:3" x14ac:dyDescent="0.25">
      <c r="A2005" t="s">
        <v>6084</v>
      </c>
      <c r="B2005" t="s">
        <v>6085</v>
      </c>
      <c r="C2005" t="s">
        <v>6083</v>
      </c>
    </row>
    <row r="2006" spans="1:3" x14ac:dyDescent="0.25">
      <c r="A2006" t="s">
        <v>6087</v>
      </c>
      <c r="B2006" t="s">
        <v>6088</v>
      </c>
      <c r="C2006" t="s">
        <v>6086</v>
      </c>
    </row>
    <row r="2007" spans="1:3" x14ac:dyDescent="0.25">
      <c r="A2007" t="s">
        <v>6090</v>
      </c>
      <c r="B2007" t="s">
        <v>6091</v>
      </c>
      <c r="C2007" t="s">
        <v>6089</v>
      </c>
    </row>
    <row r="2008" spans="1:3" x14ac:dyDescent="0.25">
      <c r="A2008" t="s">
        <v>6093</v>
      </c>
      <c r="B2008" t="s">
        <v>6094</v>
      </c>
      <c r="C2008" t="s">
        <v>6092</v>
      </c>
    </row>
    <row r="2009" spans="1:3" x14ac:dyDescent="0.25">
      <c r="A2009" t="s">
        <v>6096</v>
      </c>
      <c r="B2009" t="s">
        <v>6097</v>
      </c>
      <c r="C2009" t="s">
        <v>6095</v>
      </c>
    </row>
    <row r="2010" spans="1:3" x14ac:dyDescent="0.25">
      <c r="A2010" t="s">
        <v>6099</v>
      </c>
      <c r="B2010" t="s">
        <v>6100</v>
      </c>
      <c r="C2010" t="s">
        <v>6098</v>
      </c>
    </row>
    <row r="2011" spans="1:3" x14ac:dyDescent="0.25">
      <c r="A2011" t="s">
        <v>6102</v>
      </c>
      <c r="B2011" t="s">
        <v>6103</v>
      </c>
      <c r="C2011" t="s">
        <v>6101</v>
      </c>
    </row>
    <row r="2012" spans="1:3" x14ac:dyDescent="0.25">
      <c r="A2012" t="s">
        <v>6105</v>
      </c>
      <c r="B2012" t="s">
        <v>6106</v>
      </c>
      <c r="C2012" t="s">
        <v>6104</v>
      </c>
    </row>
    <row r="2013" spans="1:3" x14ac:dyDescent="0.25">
      <c r="A2013" t="s">
        <v>6108</v>
      </c>
      <c r="B2013" t="s">
        <v>6109</v>
      </c>
      <c r="C2013" t="s">
        <v>6107</v>
      </c>
    </row>
    <row r="2014" spans="1:3" x14ac:dyDescent="0.25">
      <c r="A2014" t="s">
        <v>6111</v>
      </c>
      <c r="B2014" t="s">
        <v>6112</v>
      </c>
      <c r="C2014" t="s">
        <v>6110</v>
      </c>
    </row>
    <row r="2015" spans="1:3" x14ac:dyDescent="0.25">
      <c r="A2015" t="s">
        <v>6114</v>
      </c>
      <c r="B2015" t="s">
        <v>6115</v>
      </c>
      <c r="C2015" t="s">
        <v>6113</v>
      </c>
    </row>
    <row r="2016" spans="1:3" x14ac:dyDescent="0.25">
      <c r="A2016" t="s">
        <v>6117</v>
      </c>
      <c r="B2016" t="s">
        <v>6118</v>
      </c>
      <c r="C2016" t="s">
        <v>6116</v>
      </c>
    </row>
    <row r="2017" spans="1:3" x14ac:dyDescent="0.25">
      <c r="A2017" t="s">
        <v>6120</v>
      </c>
      <c r="B2017" t="s">
        <v>6121</v>
      </c>
      <c r="C2017" t="s">
        <v>6119</v>
      </c>
    </row>
    <row r="2018" spans="1:3" x14ac:dyDescent="0.25">
      <c r="A2018" t="s">
        <v>6123</v>
      </c>
      <c r="B2018" t="s">
        <v>6124</v>
      </c>
      <c r="C2018" t="s">
        <v>6122</v>
      </c>
    </row>
    <row r="2019" spans="1:3" x14ac:dyDescent="0.25">
      <c r="A2019" t="s">
        <v>6126</v>
      </c>
      <c r="B2019" t="s">
        <v>6127</v>
      </c>
      <c r="C2019" t="s">
        <v>6125</v>
      </c>
    </row>
    <row r="2020" spans="1:3" x14ac:dyDescent="0.25">
      <c r="A2020" t="s">
        <v>6129</v>
      </c>
      <c r="B2020" t="s">
        <v>6130</v>
      </c>
      <c r="C2020" t="s">
        <v>6128</v>
      </c>
    </row>
    <row r="2021" spans="1:3" x14ac:dyDescent="0.25">
      <c r="A2021" t="s">
        <v>6132</v>
      </c>
      <c r="B2021" t="s">
        <v>6133</v>
      </c>
      <c r="C2021" t="s">
        <v>6131</v>
      </c>
    </row>
    <row r="2022" spans="1:3" x14ac:dyDescent="0.25">
      <c r="A2022" t="s">
        <v>6135</v>
      </c>
      <c r="B2022" t="s">
        <v>6136</v>
      </c>
      <c r="C2022" t="s">
        <v>6134</v>
      </c>
    </row>
    <row r="2023" spans="1:3" x14ac:dyDescent="0.25">
      <c r="A2023" t="s">
        <v>6138</v>
      </c>
      <c r="B2023" t="s">
        <v>6139</v>
      </c>
      <c r="C2023" t="s">
        <v>6137</v>
      </c>
    </row>
    <row r="2024" spans="1:3" x14ac:dyDescent="0.25">
      <c r="A2024" t="s">
        <v>6141</v>
      </c>
      <c r="B2024" t="s">
        <v>6142</v>
      </c>
      <c r="C2024" t="s">
        <v>6140</v>
      </c>
    </row>
    <row r="2025" spans="1:3" x14ac:dyDescent="0.25">
      <c r="A2025" t="s">
        <v>6144</v>
      </c>
      <c r="B2025" t="s">
        <v>6145</v>
      </c>
      <c r="C2025" t="s">
        <v>6143</v>
      </c>
    </row>
    <row r="2026" spans="1:3" x14ac:dyDescent="0.25">
      <c r="A2026" t="s">
        <v>6147</v>
      </c>
      <c r="B2026" t="s">
        <v>6148</v>
      </c>
      <c r="C2026" t="s">
        <v>6146</v>
      </c>
    </row>
    <row r="2027" spans="1:3" x14ac:dyDescent="0.25">
      <c r="A2027" t="s">
        <v>6150</v>
      </c>
      <c r="B2027" t="s">
        <v>6151</v>
      </c>
      <c r="C2027" t="s">
        <v>6149</v>
      </c>
    </row>
    <row r="2028" spans="1:3" x14ac:dyDescent="0.25">
      <c r="A2028" t="s">
        <v>6153</v>
      </c>
      <c r="B2028" t="s">
        <v>6154</v>
      </c>
      <c r="C2028" t="s">
        <v>6152</v>
      </c>
    </row>
    <row r="2029" spans="1:3" x14ac:dyDescent="0.25">
      <c r="A2029" t="s">
        <v>6156</v>
      </c>
      <c r="B2029" t="s">
        <v>6157</v>
      </c>
      <c r="C2029" t="s">
        <v>6155</v>
      </c>
    </row>
    <row r="2030" spans="1:3" x14ac:dyDescent="0.25">
      <c r="A2030" t="s">
        <v>6159</v>
      </c>
      <c r="B2030" t="s">
        <v>6160</v>
      </c>
      <c r="C2030" t="s">
        <v>6158</v>
      </c>
    </row>
    <row r="2031" spans="1:3" x14ac:dyDescent="0.25">
      <c r="A2031" t="s">
        <v>6162</v>
      </c>
      <c r="B2031" t="s">
        <v>6163</v>
      </c>
      <c r="C2031" t="s">
        <v>6161</v>
      </c>
    </row>
    <row r="2032" spans="1:3" x14ac:dyDescent="0.25">
      <c r="A2032" t="s">
        <v>6165</v>
      </c>
      <c r="B2032" t="s">
        <v>6166</v>
      </c>
      <c r="C2032" t="s">
        <v>6164</v>
      </c>
    </row>
    <row r="2033" spans="1:3" x14ac:dyDescent="0.25">
      <c r="A2033" t="s">
        <v>6168</v>
      </c>
      <c r="B2033" t="s">
        <v>6169</v>
      </c>
      <c r="C2033" t="s">
        <v>6167</v>
      </c>
    </row>
    <row r="2034" spans="1:3" x14ac:dyDescent="0.25">
      <c r="A2034" t="s">
        <v>6171</v>
      </c>
      <c r="B2034" t="s">
        <v>6172</v>
      </c>
      <c r="C2034" t="s">
        <v>6170</v>
      </c>
    </row>
    <row r="2035" spans="1:3" x14ac:dyDescent="0.25">
      <c r="A2035" t="s">
        <v>6174</v>
      </c>
      <c r="B2035" t="s">
        <v>6175</v>
      </c>
      <c r="C2035" t="s">
        <v>6173</v>
      </c>
    </row>
    <row r="2036" spans="1:3" x14ac:dyDescent="0.25">
      <c r="A2036" t="s">
        <v>6177</v>
      </c>
      <c r="B2036" t="s">
        <v>6178</v>
      </c>
      <c r="C2036" t="s">
        <v>6176</v>
      </c>
    </row>
    <row r="2037" spans="1:3" x14ac:dyDescent="0.25">
      <c r="A2037" t="s">
        <v>6180</v>
      </c>
      <c r="B2037" t="s">
        <v>6181</v>
      </c>
      <c r="C2037" t="s">
        <v>6179</v>
      </c>
    </row>
    <row r="2038" spans="1:3" x14ac:dyDescent="0.25">
      <c r="A2038" t="s">
        <v>6183</v>
      </c>
      <c r="B2038" t="s">
        <v>6184</v>
      </c>
      <c r="C2038" t="s">
        <v>6182</v>
      </c>
    </row>
    <row r="2039" spans="1:3" x14ac:dyDescent="0.25">
      <c r="A2039" t="s">
        <v>6186</v>
      </c>
      <c r="B2039" t="s">
        <v>6187</v>
      </c>
      <c r="C2039" t="s">
        <v>6185</v>
      </c>
    </row>
    <row r="2040" spans="1:3" x14ac:dyDescent="0.25">
      <c r="A2040" t="s">
        <v>6189</v>
      </c>
      <c r="B2040" t="s">
        <v>6190</v>
      </c>
      <c r="C2040" t="s">
        <v>6188</v>
      </c>
    </row>
    <row r="2041" spans="1:3" x14ac:dyDescent="0.25">
      <c r="A2041" t="s">
        <v>6192</v>
      </c>
      <c r="B2041" t="s">
        <v>6193</v>
      </c>
      <c r="C2041" t="s">
        <v>6191</v>
      </c>
    </row>
    <row r="2042" spans="1:3" x14ac:dyDescent="0.25">
      <c r="A2042" t="s">
        <v>6195</v>
      </c>
      <c r="B2042" t="s">
        <v>6196</v>
      </c>
      <c r="C2042" t="s">
        <v>6194</v>
      </c>
    </row>
    <row r="2043" spans="1:3" x14ac:dyDescent="0.25">
      <c r="A2043" t="s">
        <v>6198</v>
      </c>
      <c r="B2043" t="s">
        <v>6199</v>
      </c>
      <c r="C2043" t="s">
        <v>6197</v>
      </c>
    </row>
    <row r="2044" spans="1:3" x14ac:dyDescent="0.25">
      <c r="A2044" t="s">
        <v>6201</v>
      </c>
      <c r="B2044" t="s">
        <v>6202</v>
      </c>
      <c r="C2044" t="s">
        <v>6200</v>
      </c>
    </row>
    <row r="2045" spans="1:3" x14ac:dyDescent="0.25">
      <c r="A2045" t="s">
        <v>6204</v>
      </c>
      <c r="B2045" t="s">
        <v>6205</v>
      </c>
      <c r="C2045" t="s">
        <v>6203</v>
      </c>
    </row>
    <row r="2046" spans="1:3" x14ac:dyDescent="0.25">
      <c r="A2046" t="s">
        <v>6207</v>
      </c>
      <c r="B2046" t="s">
        <v>6208</v>
      </c>
      <c r="C2046" t="s">
        <v>6206</v>
      </c>
    </row>
    <row r="2047" spans="1:3" x14ac:dyDescent="0.25">
      <c r="A2047" t="s">
        <v>6210</v>
      </c>
      <c r="B2047" t="s">
        <v>6211</v>
      </c>
      <c r="C2047" t="s">
        <v>6209</v>
      </c>
    </row>
    <row r="2048" spans="1:3" x14ac:dyDescent="0.25">
      <c r="A2048" t="s">
        <v>6213</v>
      </c>
      <c r="B2048" t="s">
        <v>6214</v>
      </c>
      <c r="C2048" t="s">
        <v>6212</v>
      </c>
    </row>
    <row r="2049" spans="1:3" x14ac:dyDescent="0.25">
      <c r="A2049" t="s">
        <v>6216</v>
      </c>
      <c r="B2049" t="s">
        <v>6217</v>
      </c>
      <c r="C2049" t="s">
        <v>6215</v>
      </c>
    </row>
    <row r="2050" spans="1:3" x14ac:dyDescent="0.25">
      <c r="A2050" t="s">
        <v>6219</v>
      </c>
      <c r="B2050" t="s">
        <v>6220</v>
      </c>
      <c r="C2050" t="s">
        <v>6218</v>
      </c>
    </row>
    <row r="2051" spans="1:3" x14ac:dyDescent="0.25">
      <c r="A2051" t="s">
        <v>6222</v>
      </c>
      <c r="B2051" t="s">
        <v>6223</v>
      </c>
      <c r="C2051" t="s">
        <v>6221</v>
      </c>
    </row>
    <row r="2052" spans="1:3" x14ac:dyDescent="0.25">
      <c r="A2052" t="s">
        <v>6225</v>
      </c>
      <c r="B2052" t="s">
        <v>6226</v>
      </c>
      <c r="C2052" t="s">
        <v>6224</v>
      </c>
    </row>
    <row r="2053" spans="1:3" x14ac:dyDescent="0.25">
      <c r="A2053" t="s">
        <v>6228</v>
      </c>
      <c r="B2053" t="s">
        <v>6229</v>
      </c>
      <c r="C2053" t="s">
        <v>6227</v>
      </c>
    </row>
    <row r="2054" spans="1:3" x14ac:dyDescent="0.25">
      <c r="A2054" t="s">
        <v>6231</v>
      </c>
      <c r="B2054" t="s">
        <v>6232</v>
      </c>
      <c r="C2054" t="s">
        <v>6230</v>
      </c>
    </row>
    <row r="2055" spans="1:3" x14ac:dyDescent="0.25">
      <c r="A2055" t="s">
        <v>6234</v>
      </c>
      <c r="B2055" t="s">
        <v>6235</v>
      </c>
      <c r="C2055" t="s">
        <v>6233</v>
      </c>
    </row>
    <row r="2056" spans="1:3" x14ac:dyDescent="0.25">
      <c r="A2056" t="s">
        <v>6237</v>
      </c>
      <c r="B2056" t="s">
        <v>6238</v>
      </c>
      <c r="C2056" t="s">
        <v>6236</v>
      </c>
    </row>
    <row r="2057" spans="1:3" x14ac:dyDescent="0.25">
      <c r="A2057" t="s">
        <v>6240</v>
      </c>
      <c r="B2057" t="s">
        <v>6241</v>
      </c>
      <c r="C2057" t="s">
        <v>6239</v>
      </c>
    </row>
    <row r="2058" spans="1:3" x14ac:dyDescent="0.25">
      <c r="A2058" t="s">
        <v>6243</v>
      </c>
      <c r="B2058" t="s">
        <v>6244</v>
      </c>
      <c r="C2058" t="s">
        <v>6242</v>
      </c>
    </row>
    <row r="2059" spans="1:3" x14ac:dyDescent="0.25">
      <c r="A2059" t="s">
        <v>6246</v>
      </c>
      <c r="B2059" t="s">
        <v>6247</v>
      </c>
      <c r="C2059" t="s">
        <v>6245</v>
      </c>
    </row>
    <row r="2060" spans="1:3" x14ac:dyDescent="0.25">
      <c r="A2060" t="s">
        <v>6249</v>
      </c>
      <c r="B2060" t="s">
        <v>6250</v>
      </c>
      <c r="C2060" t="s">
        <v>6248</v>
      </c>
    </row>
    <row r="2061" spans="1:3" x14ac:dyDescent="0.25">
      <c r="A2061" t="s">
        <v>6252</v>
      </c>
      <c r="B2061" t="s">
        <v>6253</v>
      </c>
      <c r="C2061" t="s">
        <v>6251</v>
      </c>
    </row>
    <row r="2062" spans="1:3" x14ac:dyDescent="0.25">
      <c r="A2062" t="s">
        <v>6255</v>
      </c>
      <c r="B2062" t="s">
        <v>6256</v>
      </c>
      <c r="C2062" t="s">
        <v>6254</v>
      </c>
    </row>
    <row r="2063" spans="1:3" x14ac:dyDescent="0.25">
      <c r="A2063" t="s">
        <v>6258</v>
      </c>
      <c r="B2063" t="s">
        <v>6259</v>
      </c>
      <c r="C2063" t="s">
        <v>6257</v>
      </c>
    </row>
    <row r="2064" spans="1:3" x14ac:dyDescent="0.25">
      <c r="A2064" t="s">
        <v>6261</v>
      </c>
      <c r="B2064" t="s">
        <v>6262</v>
      </c>
      <c r="C2064" t="s">
        <v>6260</v>
      </c>
    </row>
    <row r="2065" spans="1:3" x14ac:dyDescent="0.25">
      <c r="A2065" t="s">
        <v>6264</v>
      </c>
      <c r="B2065" t="s">
        <v>6265</v>
      </c>
      <c r="C2065" t="s">
        <v>6263</v>
      </c>
    </row>
    <row r="2066" spans="1:3" x14ac:dyDescent="0.25">
      <c r="A2066" t="s">
        <v>6267</v>
      </c>
      <c r="B2066" t="s">
        <v>6268</v>
      </c>
      <c r="C2066" t="s">
        <v>6266</v>
      </c>
    </row>
    <row r="2067" spans="1:3" x14ac:dyDescent="0.25">
      <c r="A2067" t="s">
        <v>6270</v>
      </c>
      <c r="B2067" t="s">
        <v>6271</v>
      </c>
      <c r="C2067" t="s">
        <v>6269</v>
      </c>
    </row>
    <row r="2068" spans="1:3" x14ac:dyDescent="0.25">
      <c r="A2068" t="s">
        <v>6273</v>
      </c>
      <c r="B2068" t="s">
        <v>6274</v>
      </c>
      <c r="C2068" t="s">
        <v>6272</v>
      </c>
    </row>
    <row r="2069" spans="1:3" x14ac:dyDescent="0.25">
      <c r="A2069" t="s">
        <v>6276</v>
      </c>
      <c r="B2069" t="s">
        <v>6277</v>
      </c>
      <c r="C2069" t="s">
        <v>6275</v>
      </c>
    </row>
    <row r="2070" spans="1:3" x14ac:dyDescent="0.25">
      <c r="A2070" t="s">
        <v>6279</v>
      </c>
      <c r="B2070" t="s">
        <v>6280</v>
      </c>
      <c r="C2070" t="s">
        <v>6278</v>
      </c>
    </row>
    <row r="2071" spans="1:3" x14ac:dyDescent="0.25">
      <c r="A2071" t="s">
        <v>6282</v>
      </c>
      <c r="B2071" t="s">
        <v>6283</v>
      </c>
      <c r="C2071" t="s">
        <v>6281</v>
      </c>
    </row>
    <row r="2072" spans="1:3" x14ac:dyDescent="0.25">
      <c r="A2072" t="s">
        <v>6285</v>
      </c>
      <c r="B2072" t="s">
        <v>6286</v>
      </c>
      <c r="C2072" t="s">
        <v>6284</v>
      </c>
    </row>
    <row r="2073" spans="1:3" x14ac:dyDescent="0.25">
      <c r="A2073" t="s">
        <v>6288</v>
      </c>
      <c r="B2073" t="s">
        <v>6289</v>
      </c>
      <c r="C2073" t="s">
        <v>6287</v>
      </c>
    </row>
    <row r="2074" spans="1:3" x14ac:dyDescent="0.25">
      <c r="A2074" t="s">
        <v>6291</v>
      </c>
      <c r="B2074" t="s">
        <v>6292</v>
      </c>
      <c r="C2074" t="s">
        <v>6290</v>
      </c>
    </row>
    <row r="2075" spans="1:3" x14ac:dyDescent="0.25">
      <c r="A2075" t="s">
        <v>6294</v>
      </c>
      <c r="B2075" t="s">
        <v>6295</v>
      </c>
      <c r="C2075" t="s">
        <v>6293</v>
      </c>
    </row>
    <row r="2076" spans="1:3" x14ac:dyDescent="0.25">
      <c r="A2076" t="s">
        <v>6297</v>
      </c>
      <c r="B2076" t="s">
        <v>6298</v>
      </c>
      <c r="C2076" t="s">
        <v>6296</v>
      </c>
    </row>
    <row r="2077" spans="1:3" x14ac:dyDescent="0.25">
      <c r="A2077" t="s">
        <v>6300</v>
      </c>
      <c r="B2077" t="s">
        <v>6301</v>
      </c>
      <c r="C2077" t="s">
        <v>6299</v>
      </c>
    </row>
    <row r="2078" spans="1:3" x14ac:dyDescent="0.25">
      <c r="A2078" t="s">
        <v>6302</v>
      </c>
      <c r="B2078" t="s">
        <v>6303</v>
      </c>
      <c r="C2078" t="s">
        <v>1056</v>
      </c>
    </row>
    <row r="2079" spans="1:3" x14ac:dyDescent="0.25">
      <c r="A2079" t="s">
        <v>6305</v>
      </c>
      <c r="B2079" t="s">
        <v>6306</v>
      </c>
      <c r="C2079" t="s">
        <v>6304</v>
      </c>
    </row>
    <row r="2080" spans="1:3" x14ac:dyDescent="0.25">
      <c r="A2080" t="s">
        <v>6308</v>
      </c>
      <c r="B2080" t="s">
        <v>6309</v>
      </c>
      <c r="C2080" t="s">
        <v>6307</v>
      </c>
    </row>
    <row r="2081" spans="1:3" x14ac:dyDescent="0.25">
      <c r="A2081" t="s">
        <v>6311</v>
      </c>
      <c r="B2081" t="s">
        <v>6312</v>
      </c>
      <c r="C2081" t="s">
        <v>6310</v>
      </c>
    </row>
    <row r="2082" spans="1:3" x14ac:dyDescent="0.25">
      <c r="A2082" t="s">
        <v>6314</v>
      </c>
      <c r="B2082" t="s">
        <v>6315</v>
      </c>
      <c r="C2082" t="s">
        <v>6313</v>
      </c>
    </row>
    <row r="2083" spans="1:3" x14ac:dyDescent="0.25">
      <c r="A2083" t="s">
        <v>6317</v>
      </c>
      <c r="B2083" t="s">
        <v>6318</v>
      </c>
      <c r="C2083" t="s">
        <v>6316</v>
      </c>
    </row>
    <row r="2084" spans="1:3" x14ac:dyDescent="0.25">
      <c r="A2084" t="s">
        <v>6320</v>
      </c>
      <c r="B2084" t="s">
        <v>6321</v>
      </c>
      <c r="C2084" t="s">
        <v>6319</v>
      </c>
    </row>
    <row r="2085" spans="1:3" x14ac:dyDescent="0.25">
      <c r="A2085" t="s">
        <v>6323</v>
      </c>
      <c r="B2085" t="s">
        <v>6324</v>
      </c>
      <c r="C2085" t="s">
        <v>6322</v>
      </c>
    </row>
    <row r="2086" spans="1:3" x14ac:dyDescent="0.25">
      <c r="A2086" t="s">
        <v>6326</v>
      </c>
      <c r="B2086" t="s">
        <v>6327</v>
      </c>
      <c r="C2086" t="s">
        <v>6325</v>
      </c>
    </row>
    <row r="2087" spans="1:3" x14ac:dyDescent="0.25">
      <c r="A2087" t="s">
        <v>6329</v>
      </c>
      <c r="B2087" t="s">
        <v>6330</v>
      </c>
      <c r="C2087" t="s">
        <v>6328</v>
      </c>
    </row>
    <row r="2088" spans="1:3" x14ac:dyDescent="0.25">
      <c r="A2088" t="s">
        <v>6332</v>
      </c>
      <c r="B2088" t="s">
        <v>6333</v>
      </c>
      <c r="C2088" t="s">
        <v>6331</v>
      </c>
    </row>
    <row r="2089" spans="1:3" x14ac:dyDescent="0.25">
      <c r="A2089" t="s">
        <v>6335</v>
      </c>
      <c r="B2089" t="s">
        <v>6336</v>
      </c>
      <c r="C2089" t="s">
        <v>6334</v>
      </c>
    </row>
    <row r="2090" spans="1:3" x14ac:dyDescent="0.25">
      <c r="A2090" t="s">
        <v>6338</v>
      </c>
      <c r="B2090" t="s">
        <v>6339</v>
      </c>
      <c r="C2090" t="s">
        <v>6337</v>
      </c>
    </row>
    <row r="2091" spans="1:3" x14ac:dyDescent="0.25">
      <c r="A2091" t="s">
        <v>6341</v>
      </c>
      <c r="B2091" t="s">
        <v>6342</v>
      </c>
      <c r="C2091" t="s">
        <v>6340</v>
      </c>
    </row>
    <row r="2092" spans="1:3" x14ac:dyDescent="0.25">
      <c r="A2092" t="s">
        <v>6344</v>
      </c>
      <c r="B2092" t="s">
        <v>6345</v>
      </c>
      <c r="C2092" t="s">
        <v>6343</v>
      </c>
    </row>
    <row r="2093" spans="1:3" x14ac:dyDescent="0.25">
      <c r="A2093" t="s">
        <v>6347</v>
      </c>
      <c r="B2093" t="s">
        <v>6348</v>
      </c>
      <c r="C2093" t="s">
        <v>6346</v>
      </c>
    </row>
    <row r="2094" spans="1:3" x14ac:dyDescent="0.25">
      <c r="A2094" t="s">
        <v>6350</v>
      </c>
      <c r="B2094" t="s">
        <v>6351</v>
      </c>
      <c r="C2094" t="s">
        <v>6349</v>
      </c>
    </row>
    <row r="2095" spans="1:3" x14ac:dyDescent="0.25">
      <c r="A2095" t="s">
        <v>6353</v>
      </c>
      <c r="B2095" t="s">
        <v>6354</v>
      </c>
      <c r="C2095" t="s">
        <v>6352</v>
      </c>
    </row>
    <row r="2096" spans="1:3" x14ac:dyDescent="0.25">
      <c r="A2096" t="s">
        <v>6356</v>
      </c>
      <c r="B2096" t="s">
        <v>6357</v>
      </c>
      <c r="C2096" t="s">
        <v>6355</v>
      </c>
    </row>
    <row r="2097" spans="1:3" x14ac:dyDescent="0.25">
      <c r="A2097" t="s">
        <v>6359</v>
      </c>
      <c r="B2097" t="s">
        <v>6360</v>
      </c>
      <c r="C2097" t="s">
        <v>6358</v>
      </c>
    </row>
    <row r="2098" spans="1:3" x14ac:dyDescent="0.25">
      <c r="A2098" t="s">
        <v>6362</v>
      </c>
      <c r="B2098" t="s">
        <v>6363</v>
      </c>
      <c r="C2098" t="s">
        <v>6361</v>
      </c>
    </row>
    <row r="2099" spans="1:3" x14ac:dyDescent="0.25">
      <c r="A2099" t="s">
        <v>6365</v>
      </c>
      <c r="B2099" t="s">
        <v>6366</v>
      </c>
      <c r="C2099" t="s">
        <v>6364</v>
      </c>
    </row>
    <row r="2100" spans="1:3" x14ac:dyDescent="0.25">
      <c r="A2100" t="s">
        <v>6368</v>
      </c>
      <c r="B2100" t="s">
        <v>6369</v>
      </c>
      <c r="C2100" t="s">
        <v>6367</v>
      </c>
    </row>
    <row r="2101" spans="1:3" x14ac:dyDescent="0.25">
      <c r="A2101" t="s">
        <v>6371</v>
      </c>
      <c r="B2101" t="s">
        <v>6372</v>
      </c>
      <c r="C2101" t="s">
        <v>6370</v>
      </c>
    </row>
    <row r="2102" spans="1:3" x14ac:dyDescent="0.25">
      <c r="A2102" t="s">
        <v>6374</v>
      </c>
      <c r="B2102" t="s">
        <v>6375</v>
      </c>
      <c r="C2102" t="s">
        <v>6373</v>
      </c>
    </row>
    <row r="2103" spans="1:3" x14ac:dyDescent="0.25">
      <c r="A2103" t="s">
        <v>6377</v>
      </c>
      <c r="B2103" t="s">
        <v>6378</v>
      </c>
      <c r="C2103" t="s">
        <v>6376</v>
      </c>
    </row>
    <row r="2104" spans="1:3" x14ac:dyDescent="0.25">
      <c r="A2104" t="s">
        <v>6380</v>
      </c>
      <c r="B2104" t="s">
        <v>6381</v>
      </c>
      <c r="C2104" t="s">
        <v>6379</v>
      </c>
    </row>
    <row r="2105" spans="1:3" x14ac:dyDescent="0.25">
      <c r="A2105" t="s">
        <v>6383</v>
      </c>
      <c r="B2105" t="s">
        <v>6384</v>
      </c>
      <c r="C2105" t="s">
        <v>6382</v>
      </c>
    </row>
    <row r="2106" spans="1:3" x14ac:dyDescent="0.25">
      <c r="A2106" t="s">
        <v>6386</v>
      </c>
      <c r="B2106" t="s">
        <v>6387</v>
      </c>
      <c r="C2106" t="s">
        <v>6385</v>
      </c>
    </row>
    <row r="2107" spans="1:3" x14ac:dyDescent="0.25">
      <c r="A2107" t="s">
        <v>6389</v>
      </c>
      <c r="B2107" t="s">
        <v>6390</v>
      </c>
      <c r="C2107" t="s">
        <v>6388</v>
      </c>
    </row>
    <row r="2108" spans="1:3" x14ac:dyDescent="0.25">
      <c r="A2108" t="s">
        <v>6392</v>
      </c>
      <c r="B2108" t="s">
        <v>6393</v>
      </c>
      <c r="C2108" t="s">
        <v>6391</v>
      </c>
    </row>
    <row r="2109" spans="1:3" x14ac:dyDescent="0.25">
      <c r="A2109" t="s">
        <v>6395</v>
      </c>
      <c r="B2109" t="s">
        <v>6396</v>
      </c>
      <c r="C2109" t="s">
        <v>6394</v>
      </c>
    </row>
    <row r="2110" spans="1:3" x14ac:dyDescent="0.25">
      <c r="A2110" t="s">
        <v>6398</v>
      </c>
      <c r="B2110" t="s">
        <v>6399</v>
      </c>
      <c r="C2110" t="s">
        <v>6397</v>
      </c>
    </row>
    <row r="2111" spans="1:3" x14ac:dyDescent="0.25">
      <c r="A2111" t="s">
        <v>6401</v>
      </c>
      <c r="B2111" t="s">
        <v>6402</v>
      </c>
      <c r="C2111" t="s">
        <v>6400</v>
      </c>
    </row>
    <row r="2112" spans="1:3" x14ac:dyDescent="0.25">
      <c r="A2112" t="s">
        <v>6404</v>
      </c>
      <c r="B2112" t="s">
        <v>6405</v>
      </c>
      <c r="C2112" t="s">
        <v>6403</v>
      </c>
    </row>
    <row r="2113" spans="1:3" x14ac:dyDescent="0.25">
      <c r="A2113" t="s">
        <v>6407</v>
      </c>
      <c r="B2113" t="s">
        <v>6408</v>
      </c>
      <c r="C2113" t="s">
        <v>6406</v>
      </c>
    </row>
    <row r="2114" spans="1:3" x14ac:dyDescent="0.25">
      <c r="A2114" t="s">
        <v>6410</v>
      </c>
      <c r="B2114" t="s">
        <v>6411</v>
      </c>
      <c r="C2114" t="s">
        <v>6409</v>
      </c>
    </row>
    <row r="2115" spans="1:3" x14ac:dyDescent="0.25">
      <c r="A2115" t="s">
        <v>6413</v>
      </c>
      <c r="B2115" t="s">
        <v>6414</v>
      </c>
      <c r="C2115" t="s">
        <v>6412</v>
      </c>
    </row>
    <row r="2116" spans="1:3" x14ac:dyDescent="0.25">
      <c r="A2116" t="s">
        <v>6416</v>
      </c>
      <c r="B2116" t="s">
        <v>6417</v>
      </c>
      <c r="C2116" t="s">
        <v>6415</v>
      </c>
    </row>
    <row r="2117" spans="1:3" x14ac:dyDescent="0.25">
      <c r="A2117" t="s">
        <v>6419</v>
      </c>
      <c r="B2117" t="s">
        <v>6420</v>
      </c>
      <c r="C2117" t="s">
        <v>6418</v>
      </c>
    </row>
    <row r="2118" spans="1:3" x14ac:dyDescent="0.25">
      <c r="A2118" t="s">
        <v>6422</v>
      </c>
      <c r="B2118" t="s">
        <v>6423</v>
      </c>
      <c r="C2118" t="s">
        <v>6421</v>
      </c>
    </row>
    <row r="2119" spans="1:3" x14ac:dyDescent="0.25">
      <c r="A2119" t="s">
        <v>6425</v>
      </c>
      <c r="B2119" t="s">
        <v>6426</v>
      </c>
      <c r="C2119" t="s">
        <v>6424</v>
      </c>
    </row>
    <row r="2120" spans="1:3" x14ac:dyDescent="0.25">
      <c r="A2120" t="s">
        <v>6428</v>
      </c>
      <c r="B2120" t="s">
        <v>6429</v>
      </c>
      <c r="C2120" t="s">
        <v>6427</v>
      </c>
    </row>
    <row r="2121" spans="1:3" x14ac:dyDescent="0.25">
      <c r="A2121" t="s">
        <v>6431</v>
      </c>
      <c r="B2121" t="s">
        <v>6432</v>
      </c>
      <c r="C2121" t="s">
        <v>6430</v>
      </c>
    </row>
    <row r="2122" spans="1:3" x14ac:dyDescent="0.25">
      <c r="A2122" t="s">
        <v>6434</v>
      </c>
      <c r="B2122" t="s">
        <v>6435</v>
      </c>
      <c r="C2122" t="s">
        <v>6433</v>
      </c>
    </row>
    <row r="2123" spans="1:3" x14ac:dyDescent="0.25">
      <c r="A2123" t="s">
        <v>6437</v>
      </c>
      <c r="B2123" t="s">
        <v>6438</v>
      </c>
      <c r="C2123" t="s">
        <v>6436</v>
      </c>
    </row>
    <row r="2124" spans="1:3" x14ac:dyDescent="0.25">
      <c r="A2124" t="s">
        <v>6440</v>
      </c>
      <c r="B2124" t="s">
        <v>6441</v>
      </c>
      <c r="C2124" t="s">
        <v>6439</v>
      </c>
    </row>
    <row r="2125" spans="1:3" x14ac:dyDescent="0.25">
      <c r="A2125" t="s">
        <v>6443</v>
      </c>
      <c r="B2125" t="s">
        <v>6444</v>
      </c>
      <c r="C2125" t="s">
        <v>6442</v>
      </c>
    </row>
    <row r="2126" spans="1:3" x14ac:dyDescent="0.25">
      <c r="A2126" t="s">
        <v>6446</v>
      </c>
      <c r="B2126" t="s">
        <v>6447</v>
      </c>
      <c r="C2126" t="s">
        <v>6445</v>
      </c>
    </row>
    <row r="2127" spans="1:3" x14ac:dyDescent="0.25">
      <c r="A2127" t="s">
        <v>6449</v>
      </c>
      <c r="B2127" t="s">
        <v>6450</v>
      </c>
      <c r="C2127" t="s">
        <v>6448</v>
      </c>
    </row>
    <row r="2128" spans="1:3" x14ac:dyDescent="0.25">
      <c r="A2128" t="s">
        <v>6452</v>
      </c>
      <c r="B2128" t="s">
        <v>6453</v>
      </c>
      <c r="C2128" t="s">
        <v>6451</v>
      </c>
    </row>
    <row r="2129" spans="1:3" x14ac:dyDescent="0.25">
      <c r="A2129" t="s">
        <v>6455</v>
      </c>
      <c r="B2129" t="s">
        <v>6456</v>
      </c>
      <c r="C2129" t="s">
        <v>6454</v>
      </c>
    </row>
    <row r="2130" spans="1:3" x14ac:dyDescent="0.25">
      <c r="A2130" t="s">
        <v>6458</v>
      </c>
      <c r="B2130" t="s">
        <v>6459</v>
      </c>
      <c r="C2130" t="s">
        <v>6457</v>
      </c>
    </row>
    <row r="2131" spans="1:3" x14ac:dyDescent="0.25">
      <c r="A2131" t="s">
        <v>6461</v>
      </c>
      <c r="B2131" t="s">
        <v>6462</v>
      </c>
      <c r="C2131" t="s">
        <v>6460</v>
      </c>
    </row>
    <row r="2132" spans="1:3" x14ac:dyDescent="0.25">
      <c r="A2132" t="s">
        <v>6464</v>
      </c>
      <c r="B2132" t="s">
        <v>6465</v>
      </c>
      <c r="C2132" t="s">
        <v>6463</v>
      </c>
    </row>
    <row r="2133" spans="1:3" x14ac:dyDescent="0.25">
      <c r="A2133" t="s">
        <v>6467</v>
      </c>
      <c r="B2133" t="s">
        <v>6468</v>
      </c>
      <c r="C2133" t="s">
        <v>6466</v>
      </c>
    </row>
    <row r="2134" spans="1:3" x14ac:dyDescent="0.25">
      <c r="A2134" t="s">
        <v>6470</v>
      </c>
      <c r="B2134" t="s">
        <v>6471</v>
      </c>
      <c r="C2134" t="s">
        <v>6469</v>
      </c>
    </row>
    <row r="2135" spans="1:3" x14ac:dyDescent="0.25">
      <c r="A2135" t="s">
        <v>6473</v>
      </c>
      <c r="B2135" t="s">
        <v>6474</v>
      </c>
      <c r="C2135" t="s">
        <v>6472</v>
      </c>
    </row>
    <row r="2136" spans="1:3" x14ac:dyDescent="0.25">
      <c r="A2136" t="s">
        <v>6476</v>
      </c>
      <c r="B2136" t="s">
        <v>6477</v>
      </c>
      <c r="C2136" t="s">
        <v>6475</v>
      </c>
    </row>
    <row r="2137" spans="1:3" x14ac:dyDescent="0.25">
      <c r="A2137" t="s">
        <v>6479</v>
      </c>
      <c r="B2137" t="s">
        <v>6480</v>
      </c>
      <c r="C2137" t="s">
        <v>6478</v>
      </c>
    </row>
    <row r="2138" spans="1:3" x14ac:dyDescent="0.25">
      <c r="A2138" t="s">
        <v>6482</v>
      </c>
      <c r="B2138" t="s">
        <v>6483</v>
      </c>
      <c r="C2138" t="s">
        <v>6481</v>
      </c>
    </row>
    <row r="2139" spans="1:3" x14ac:dyDescent="0.25">
      <c r="A2139" t="s">
        <v>6485</v>
      </c>
      <c r="B2139" t="s">
        <v>6486</v>
      </c>
      <c r="C2139" t="s">
        <v>6484</v>
      </c>
    </row>
    <row r="2140" spans="1:3" x14ac:dyDescent="0.25">
      <c r="A2140" t="s">
        <v>6488</v>
      </c>
      <c r="B2140" t="s">
        <v>6489</v>
      </c>
      <c r="C2140" t="s">
        <v>6487</v>
      </c>
    </row>
    <row r="2141" spans="1:3" x14ac:dyDescent="0.25">
      <c r="A2141" t="s">
        <v>6491</v>
      </c>
      <c r="B2141" t="s">
        <v>6492</v>
      </c>
      <c r="C2141" t="s">
        <v>6490</v>
      </c>
    </row>
    <row r="2142" spans="1:3" x14ac:dyDescent="0.25">
      <c r="A2142" t="s">
        <v>6494</v>
      </c>
      <c r="B2142" t="s">
        <v>6495</v>
      </c>
      <c r="C2142" t="s">
        <v>6493</v>
      </c>
    </row>
    <row r="2143" spans="1:3" x14ac:dyDescent="0.25">
      <c r="A2143" t="s">
        <v>6497</v>
      </c>
      <c r="B2143" t="s">
        <v>6498</v>
      </c>
      <c r="C2143" t="s">
        <v>6496</v>
      </c>
    </row>
    <row r="2144" spans="1:3" x14ac:dyDescent="0.25">
      <c r="A2144" t="s">
        <v>6500</v>
      </c>
      <c r="B2144" t="s">
        <v>6501</v>
      </c>
      <c r="C2144" t="s">
        <v>6499</v>
      </c>
    </row>
    <row r="2145" spans="1:3" x14ac:dyDescent="0.25">
      <c r="A2145" t="s">
        <v>6503</v>
      </c>
      <c r="B2145" t="s">
        <v>6504</v>
      </c>
      <c r="C2145" t="s">
        <v>6502</v>
      </c>
    </row>
    <row r="2146" spans="1:3" x14ac:dyDescent="0.25">
      <c r="A2146" t="s">
        <v>6506</v>
      </c>
      <c r="B2146" t="s">
        <v>6507</v>
      </c>
      <c r="C2146" t="s">
        <v>6505</v>
      </c>
    </row>
    <row r="2147" spans="1:3" x14ac:dyDescent="0.25">
      <c r="A2147" t="s">
        <v>6509</v>
      </c>
      <c r="B2147" t="s">
        <v>6510</v>
      </c>
      <c r="C2147" t="s">
        <v>6508</v>
      </c>
    </row>
    <row r="2148" spans="1:3" x14ac:dyDescent="0.25">
      <c r="A2148" t="s">
        <v>6512</v>
      </c>
      <c r="B2148" t="s">
        <v>6513</v>
      </c>
      <c r="C2148" t="s">
        <v>6511</v>
      </c>
    </row>
    <row r="2149" spans="1:3" x14ac:dyDescent="0.25">
      <c r="A2149" t="s">
        <v>6515</v>
      </c>
      <c r="B2149" t="s">
        <v>6516</v>
      </c>
      <c r="C2149" t="s">
        <v>6514</v>
      </c>
    </row>
    <row r="2150" spans="1:3" x14ac:dyDescent="0.25">
      <c r="A2150" t="s">
        <v>6518</v>
      </c>
      <c r="B2150" t="s">
        <v>6519</v>
      </c>
      <c r="C2150" t="s">
        <v>6517</v>
      </c>
    </row>
    <row r="2151" spans="1:3" x14ac:dyDescent="0.25">
      <c r="A2151" t="s">
        <v>6521</v>
      </c>
      <c r="B2151" t="s">
        <v>6522</v>
      </c>
      <c r="C2151" t="s">
        <v>6520</v>
      </c>
    </row>
    <row r="2152" spans="1:3" x14ac:dyDescent="0.25">
      <c r="A2152" t="s">
        <v>6524</v>
      </c>
      <c r="B2152" t="s">
        <v>6522</v>
      </c>
      <c r="C2152" t="s">
        <v>6523</v>
      </c>
    </row>
    <row r="2153" spans="1:3" x14ac:dyDescent="0.25">
      <c r="A2153" t="s">
        <v>6526</v>
      </c>
      <c r="B2153" t="s">
        <v>6527</v>
      </c>
      <c r="C2153" t="s">
        <v>6525</v>
      </c>
    </row>
    <row r="2154" spans="1:3" x14ac:dyDescent="0.25">
      <c r="A2154" t="s">
        <v>6529</v>
      </c>
      <c r="B2154" t="s">
        <v>6530</v>
      </c>
      <c r="C2154" t="s">
        <v>6528</v>
      </c>
    </row>
    <row r="2155" spans="1:3" x14ac:dyDescent="0.25">
      <c r="A2155" t="s">
        <v>6532</v>
      </c>
      <c r="B2155" t="s">
        <v>6533</v>
      </c>
      <c r="C2155" t="s">
        <v>6531</v>
      </c>
    </row>
    <row r="2156" spans="1:3" x14ac:dyDescent="0.25">
      <c r="A2156" t="s">
        <v>6535</v>
      </c>
      <c r="B2156" t="s">
        <v>6536</v>
      </c>
      <c r="C2156" t="s">
        <v>6534</v>
      </c>
    </row>
    <row r="2157" spans="1:3" x14ac:dyDescent="0.25">
      <c r="A2157" t="s">
        <v>6538</v>
      </c>
      <c r="B2157" t="s">
        <v>6536</v>
      </c>
      <c r="C2157" t="s">
        <v>6537</v>
      </c>
    </row>
    <row r="2158" spans="1:3" x14ac:dyDescent="0.25">
      <c r="A2158" t="s">
        <v>6540</v>
      </c>
      <c r="B2158" t="s">
        <v>6541</v>
      </c>
      <c r="C2158" t="s">
        <v>6539</v>
      </c>
    </row>
    <row r="2159" spans="1:3" x14ac:dyDescent="0.25">
      <c r="A2159" t="s">
        <v>6543</v>
      </c>
      <c r="B2159" t="s">
        <v>6544</v>
      </c>
      <c r="C2159" t="s">
        <v>6542</v>
      </c>
    </row>
    <row r="2160" spans="1:3" x14ac:dyDescent="0.25">
      <c r="A2160" t="s">
        <v>6546</v>
      </c>
      <c r="B2160" t="s">
        <v>6547</v>
      </c>
      <c r="C2160" t="s">
        <v>6545</v>
      </c>
    </row>
    <row r="2161" spans="1:3" x14ac:dyDescent="0.25">
      <c r="A2161" t="s">
        <v>6549</v>
      </c>
      <c r="B2161" t="s">
        <v>6550</v>
      </c>
      <c r="C2161" t="s">
        <v>6548</v>
      </c>
    </row>
    <row r="2162" spans="1:3" x14ac:dyDescent="0.25">
      <c r="A2162" t="s">
        <v>6552</v>
      </c>
      <c r="B2162" t="s">
        <v>6553</v>
      </c>
      <c r="C2162" t="s">
        <v>6551</v>
      </c>
    </row>
    <row r="2163" spans="1:3" x14ac:dyDescent="0.25">
      <c r="A2163" t="s">
        <v>6555</v>
      </c>
      <c r="B2163" t="s">
        <v>6556</v>
      </c>
      <c r="C2163" t="s">
        <v>6554</v>
      </c>
    </row>
    <row r="2164" spans="1:3" x14ac:dyDescent="0.25">
      <c r="A2164" t="s">
        <v>6558</v>
      </c>
      <c r="B2164" t="s">
        <v>6559</v>
      </c>
      <c r="C2164" t="s">
        <v>6557</v>
      </c>
    </row>
    <row r="2165" spans="1:3" x14ac:dyDescent="0.25">
      <c r="A2165" t="s">
        <v>6561</v>
      </c>
      <c r="B2165" t="s">
        <v>6562</v>
      </c>
      <c r="C2165" t="s">
        <v>6560</v>
      </c>
    </row>
    <row r="2166" spans="1:3" x14ac:dyDescent="0.25">
      <c r="A2166" t="s">
        <v>6564</v>
      </c>
      <c r="B2166" t="s">
        <v>6565</v>
      </c>
      <c r="C2166" t="s">
        <v>6563</v>
      </c>
    </row>
    <row r="2167" spans="1:3" x14ac:dyDescent="0.25">
      <c r="A2167" t="s">
        <v>6567</v>
      </c>
      <c r="B2167" t="s">
        <v>6568</v>
      </c>
      <c r="C2167" t="s">
        <v>6566</v>
      </c>
    </row>
    <row r="2168" spans="1:3" x14ac:dyDescent="0.25">
      <c r="A2168" t="s">
        <v>6570</v>
      </c>
      <c r="B2168" t="s">
        <v>6571</v>
      </c>
      <c r="C2168" t="s">
        <v>6569</v>
      </c>
    </row>
    <row r="2169" spans="1:3" x14ac:dyDescent="0.25">
      <c r="A2169" t="s">
        <v>6573</v>
      </c>
      <c r="B2169" t="s">
        <v>6574</v>
      </c>
      <c r="C2169" t="s">
        <v>6572</v>
      </c>
    </row>
    <row r="2170" spans="1:3" x14ac:dyDescent="0.25">
      <c r="A2170" t="s">
        <v>6576</v>
      </c>
      <c r="B2170" t="s">
        <v>6577</v>
      </c>
      <c r="C2170" t="s">
        <v>6575</v>
      </c>
    </row>
    <row r="2171" spans="1:3" x14ac:dyDescent="0.25">
      <c r="A2171" t="s">
        <v>6579</v>
      </c>
      <c r="B2171" t="s">
        <v>6580</v>
      </c>
      <c r="C2171" t="s">
        <v>6578</v>
      </c>
    </row>
    <row r="2172" spans="1:3" x14ac:dyDescent="0.25">
      <c r="A2172" t="s">
        <v>6582</v>
      </c>
      <c r="B2172" t="s">
        <v>6583</v>
      </c>
      <c r="C2172" t="s">
        <v>6581</v>
      </c>
    </row>
    <row r="2173" spans="1:3" x14ac:dyDescent="0.25">
      <c r="A2173" t="s">
        <v>6585</v>
      </c>
      <c r="B2173" t="s">
        <v>6586</v>
      </c>
      <c r="C2173" t="s">
        <v>6584</v>
      </c>
    </row>
    <row r="2174" spans="1:3" x14ac:dyDescent="0.25">
      <c r="A2174" t="s">
        <v>6588</v>
      </c>
      <c r="B2174" t="s">
        <v>6589</v>
      </c>
      <c r="C2174" t="s">
        <v>6587</v>
      </c>
    </row>
    <row r="2175" spans="1:3" x14ac:dyDescent="0.25">
      <c r="A2175" t="s">
        <v>6591</v>
      </c>
      <c r="B2175" t="s">
        <v>6592</v>
      </c>
      <c r="C2175" t="s">
        <v>6590</v>
      </c>
    </row>
    <row r="2176" spans="1:3" x14ac:dyDescent="0.25">
      <c r="A2176" t="s">
        <v>6594</v>
      </c>
      <c r="B2176" t="s">
        <v>6595</v>
      </c>
      <c r="C2176" t="s">
        <v>6593</v>
      </c>
    </row>
    <row r="2177" spans="1:3" x14ac:dyDescent="0.25">
      <c r="A2177" t="s">
        <v>6597</v>
      </c>
      <c r="B2177" t="s">
        <v>6598</v>
      </c>
      <c r="C2177" t="s">
        <v>6596</v>
      </c>
    </row>
    <row r="2178" spans="1:3" x14ac:dyDescent="0.25">
      <c r="A2178" t="s">
        <v>6600</v>
      </c>
      <c r="B2178" t="s">
        <v>6601</v>
      </c>
      <c r="C2178" t="s">
        <v>6599</v>
      </c>
    </row>
    <row r="2179" spans="1:3" x14ac:dyDescent="0.25">
      <c r="A2179" t="s">
        <v>6603</v>
      </c>
      <c r="B2179" t="s">
        <v>6604</v>
      </c>
      <c r="C2179" t="s">
        <v>6602</v>
      </c>
    </row>
    <row r="2180" spans="1:3" x14ac:dyDescent="0.25">
      <c r="A2180" t="s">
        <v>6606</v>
      </c>
      <c r="B2180" t="s">
        <v>6607</v>
      </c>
      <c r="C2180" t="s">
        <v>6605</v>
      </c>
    </row>
    <row r="2181" spans="1:3" x14ac:dyDescent="0.25">
      <c r="A2181" t="s">
        <v>6609</v>
      </c>
      <c r="B2181" t="s">
        <v>6610</v>
      </c>
      <c r="C2181" t="s">
        <v>6608</v>
      </c>
    </row>
    <row r="2182" spans="1:3" x14ac:dyDescent="0.25">
      <c r="A2182" t="s">
        <v>6612</v>
      </c>
      <c r="B2182" t="s">
        <v>6613</v>
      </c>
      <c r="C2182" t="s">
        <v>6611</v>
      </c>
    </row>
    <row r="2183" spans="1:3" x14ac:dyDescent="0.25">
      <c r="A2183" t="s">
        <v>6615</v>
      </c>
      <c r="B2183" t="s">
        <v>6616</v>
      </c>
      <c r="C2183" t="s">
        <v>6614</v>
      </c>
    </row>
    <row r="2184" spans="1:3" x14ac:dyDescent="0.25">
      <c r="A2184" t="s">
        <v>6618</v>
      </c>
      <c r="B2184" t="s">
        <v>6619</v>
      </c>
      <c r="C2184" t="s">
        <v>6617</v>
      </c>
    </row>
    <row r="2185" spans="1:3" x14ac:dyDescent="0.25">
      <c r="A2185" t="s">
        <v>6621</v>
      </c>
      <c r="B2185" t="s">
        <v>6622</v>
      </c>
      <c r="C2185" t="s">
        <v>6620</v>
      </c>
    </row>
    <row r="2186" spans="1:3" x14ac:dyDescent="0.25">
      <c r="A2186" t="s">
        <v>6624</v>
      </c>
      <c r="B2186" t="s">
        <v>6625</v>
      </c>
      <c r="C2186" t="s">
        <v>6623</v>
      </c>
    </row>
    <row r="2187" spans="1:3" x14ac:dyDescent="0.25">
      <c r="A2187" t="s">
        <v>6627</v>
      </c>
      <c r="B2187" t="s">
        <v>6628</v>
      </c>
      <c r="C2187" t="s">
        <v>6626</v>
      </c>
    </row>
    <row r="2188" spans="1:3" x14ac:dyDescent="0.25">
      <c r="A2188" t="s">
        <v>6630</v>
      </c>
      <c r="B2188" t="s">
        <v>6631</v>
      </c>
      <c r="C2188" t="s">
        <v>6629</v>
      </c>
    </row>
    <row r="2189" spans="1:3" x14ac:dyDescent="0.25">
      <c r="A2189" t="s">
        <v>6633</v>
      </c>
      <c r="B2189" t="s">
        <v>6634</v>
      </c>
      <c r="C2189" t="s">
        <v>6632</v>
      </c>
    </row>
    <row r="2190" spans="1:3" x14ac:dyDescent="0.25">
      <c r="A2190" t="s">
        <v>6636</v>
      </c>
      <c r="B2190" t="s">
        <v>6634</v>
      </c>
      <c r="C2190" t="s">
        <v>6635</v>
      </c>
    </row>
    <row r="2191" spans="1:3" x14ac:dyDescent="0.25">
      <c r="A2191" t="s">
        <v>6638</v>
      </c>
      <c r="B2191" t="s">
        <v>6639</v>
      </c>
      <c r="C2191" t="s">
        <v>6637</v>
      </c>
    </row>
    <row r="2192" spans="1:3" x14ac:dyDescent="0.25">
      <c r="A2192" t="s">
        <v>6641</v>
      </c>
      <c r="B2192" t="s">
        <v>6642</v>
      </c>
      <c r="C2192" t="s">
        <v>6640</v>
      </c>
    </row>
    <row r="2193" spans="1:3" x14ac:dyDescent="0.25">
      <c r="A2193" t="s">
        <v>6644</v>
      </c>
      <c r="B2193" t="s">
        <v>6645</v>
      </c>
      <c r="C2193" t="s">
        <v>6643</v>
      </c>
    </row>
    <row r="2194" spans="1:3" x14ac:dyDescent="0.25">
      <c r="A2194" t="s">
        <v>6647</v>
      </c>
      <c r="B2194" t="s">
        <v>6648</v>
      </c>
      <c r="C2194" t="s">
        <v>6646</v>
      </c>
    </row>
    <row r="2195" spans="1:3" x14ac:dyDescent="0.25">
      <c r="A2195" t="s">
        <v>6650</v>
      </c>
      <c r="B2195" t="s">
        <v>6651</v>
      </c>
      <c r="C2195" t="s">
        <v>6649</v>
      </c>
    </row>
    <row r="2196" spans="1:3" x14ac:dyDescent="0.25">
      <c r="A2196" t="s">
        <v>6653</v>
      </c>
      <c r="B2196" t="s">
        <v>6654</v>
      </c>
      <c r="C2196" t="s">
        <v>6652</v>
      </c>
    </row>
    <row r="2197" spans="1:3" x14ac:dyDescent="0.25">
      <c r="A2197" t="s">
        <v>6656</v>
      </c>
      <c r="B2197" t="s">
        <v>6657</v>
      </c>
      <c r="C2197" t="s">
        <v>6655</v>
      </c>
    </row>
    <row r="2198" spans="1:3" x14ac:dyDescent="0.25">
      <c r="A2198" t="s">
        <v>6659</v>
      </c>
      <c r="B2198" t="s">
        <v>6660</v>
      </c>
      <c r="C2198" t="s">
        <v>6658</v>
      </c>
    </row>
    <row r="2199" spans="1:3" x14ac:dyDescent="0.25">
      <c r="A2199" t="s">
        <v>6662</v>
      </c>
      <c r="B2199" t="s">
        <v>6663</v>
      </c>
      <c r="C2199" t="s">
        <v>6661</v>
      </c>
    </row>
    <row r="2200" spans="1:3" x14ac:dyDescent="0.25">
      <c r="A2200" t="s">
        <v>6665</v>
      </c>
      <c r="B2200" t="s">
        <v>6666</v>
      </c>
      <c r="C2200" t="s">
        <v>6664</v>
      </c>
    </row>
    <row r="2201" spans="1:3" x14ac:dyDescent="0.25">
      <c r="A2201" t="s">
        <v>6668</v>
      </c>
      <c r="B2201" t="s">
        <v>6669</v>
      </c>
      <c r="C2201" t="s">
        <v>6667</v>
      </c>
    </row>
    <row r="2202" spans="1:3" x14ac:dyDescent="0.25">
      <c r="A2202" t="s">
        <v>6671</v>
      </c>
      <c r="B2202" t="s">
        <v>6672</v>
      </c>
      <c r="C2202" t="s">
        <v>6670</v>
      </c>
    </row>
    <row r="2203" spans="1:3" x14ac:dyDescent="0.25">
      <c r="A2203" t="s">
        <v>6674</v>
      </c>
      <c r="B2203" t="s">
        <v>6675</v>
      </c>
      <c r="C2203" t="s">
        <v>6673</v>
      </c>
    </row>
    <row r="2204" spans="1:3" x14ac:dyDescent="0.25">
      <c r="A2204" t="s">
        <v>6677</v>
      </c>
      <c r="B2204" t="s">
        <v>6678</v>
      </c>
      <c r="C2204" t="s">
        <v>6676</v>
      </c>
    </row>
    <row r="2205" spans="1:3" x14ac:dyDescent="0.25">
      <c r="A2205" t="s">
        <v>6680</v>
      </c>
      <c r="B2205" t="s">
        <v>6681</v>
      </c>
      <c r="C2205" t="s">
        <v>6679</v>
      </c>
    </row>
    <row r="2206" spans="1:3" x14ac:dyDescent="0.25">
      <c r="A2206" t="s">
        <v>6683</v>
      </c>
      <c r="B2206" t="s">
        <v>6684</v>
      </c>
      <c r="C2206" t="s">
        <v>6682</v>
      </c>
    </row>
    <row r="2207" spans="1:3" x14ac:dyDescent="0.25">
      <c r="A2207" t="s">
        <v>6686</v>
      </c>
      <c r="B2207" t="s">
        <v>6687</v>
      </c>
      <c r="C2207" t="s">
        <v>6685</v>
      </c>
    </row>
    <row r="2208" spans="1:3" x14ac:dyDescent="0.25">
      <c r="A2208" t="s">
        <v>6689</v>
      </c>
      <c r="B2208" t="s">
        <v>6690</v>
      </c>
      <c r="C2208" t="s">
        <v>6688</v>
      </c>
    </row>
    <row r="2209" spans="1:3" x14ac:dyDescent="0.25">
      <c r="A2209" t="s">
        <v>6692</v>
      </c>
      <c r="B2209" t="s">
        <v>6693</v>
      </c>
      <c r="C2209" t="s">
        <v>6691</v>
      </c>
    </row>
    <row r="2210" spans="1:3" x14ac:dyDescent="0.25">
      <c r="A2210" t="s">
        <v>6695</v>
      </c>
      <c r="B2210" t="s">
        <v>6696</v>
      </c>
      <c r="C2210" t="s">
        <v>6694</v>
      </c>
    </row>
    <row r="2211" spans="1:3" x14ac:dyDescent="0.25">
      <c r="A2211" t="s">
        <v>6698</v>
      </c>
      <c r="B2211" t="s">
        <v>6699</v>
      </c>
      <c r="C2211" t="s">
        <v>6697</v>
      </c>
    </row>
    <row r="2212" spans="1:3" x14ac:dyDescent="0.25">
      <c r="A2212" t="s">
        <v>6701</v>
      </c>
      <c r="B2212" t="s">
        <v>6702</v>
      </c>
      <c r="C2212" t="s">
        <v>6700</v>
      </c>
    </row>
    <row r="2213" spans="1:3" x14ac:dyDescent="0.25">
      <c r="A2213" t="s">
        <v>6704</v>
      </c>
      <c r="B2213" t="s">
        <v>6705</v>
      </c>
      <c r="C2213" t="s">
        <v>6703</v>
      </c>
    </row>
    <row r="2214" spans="1:3" x14ac:dyDescent="0.25">
      <c r="A2214" t="s">
        <v>6707</v>
      </c>
      <c r="B2214" t="s">
        <v>6708</v>
      </c>
      <c r="C2214" t="s">
        <v>6706</v>
      </c>
    </row>
    <row r="2215" spans="1:3" x14ac:dyDescent="0.25">
      <c r="A2215" t="s">
        <v>6710</v>
      </c>
      <c r="B2215" t="s">
        <v>6711</v>
      </c>
      <c r="C2215" t="s">
        <v>6709</v>
      </c>
    </row>
    <row r="2216" spans="1:3" x14ac:dyDescent="0.25">
      <c r="A2216" t="s">
        <v>6713</v>
      </c>
      <c r="B2216" t="s">
        <v>6714</v>
      </c>
      <c r="C2216" t="s">
        <v>6712</v>
      </c>
    </row>
    <row r="2217" spans="1:3" x14ac:dyDescent="0.25">
      <c r="A2217" t="s">
        <v>6716</v>
      </c>
      <c r="B2217" t="s">
        <v>6717</v>
      </c>
      <c r="C2217" t="s">
        <v>6715</v>
      </c>
    </row>
    <row r="2218" spans="1:3" x14ac:dyDescent="0.25">
      <c r="A2218" t="s">
        <v>6719</v>
      </c>
      <c r="B2218" t="s">
        <v>6720</v>
      </c>
      <c r="C2218" t="s">
        <v>6718</v>
      </c>
    </row>
    <row r="2219" spans="1:3" x14ac:dyDescent="0.25">
      <c r="A2219" t="s">
        <v>6722</v>
      </c>
      <c r="B2219" t="s">
        <v>6723</v>
      </c>
      <c r="C2219" t="s">
        <v>6721</v>
      </c>
    </row>
    <row r="2220" spans="1:3" x14ac:dyDescent="0.25">
      <c r="A2220" t="s">
        <v>6725</v>
      </c>
      <c r="B2220" t="s">
        <v>6726</v>
      </c>
      <c r="C2220" t="s">
        <v>6724</v>
      </c>
    </row>
    <row r="2221" spans="1:3" x14ac:dyDescent="0.25">
      <c r="A2221" t="s">
        <v>6728</v>
      </c>
      <c r="B2221" t="s">
        <v>6729</v>
      </c>
      <c r="C2221" t="s">
        <v>6727</v>
      </c>
    </row>
    <row r="2222" spans="1:3" x14ac:dyDescent="0.25">
      <c r="A2222" t="s">
        <v>6731</v>
      </c>
      <c r="B2222" t="s">
        <v>6732</v>
      </c>
      <c r="C2222" t="s">
        <v>6730</v>
      </c>
    </row>
    <row r="2223" spans="1:3" x14ac:dyDescent="0.25">
      <c r="A2223" t="s">
        <v>6734</v>
      </c>
      <c r="B2223" t="s">
        <v>6735</v>
      </c>
      <c r="C2223" t="s">
        <v>6733</v>
      </c>
    </row>
    <row r="2224" spans="1:3" x14ac:dyDescent="0.25">
      <c r="A2224" t="s">
        <v>6737</v>
      </c>
      <c r="B2224" t="s">
        <v>6738</v>
      </c>
      <c r="C2224" t="s">
        <v>6736</v>
      </c>
    </row>
    <row r="2225" spans="1:3" x14ac:dyDescent="0.25">
      <c r="A2225" t="s">
        <v>6740</v>
      </c>
      <c r="B2225" t="s">
        <v>6741</v>
      </c>
      <c r="C2225" t="s">
        <v>6739</v>
      </c>
    </row>
    <row r="2226" spans="1:3" x14ac:dyDescent="0.25">
      <c r="A2226" t="s">
        <v>6743</v>
      </c>
      <c r="B2226" t="s">
        <v>6744</v>
      </c>
      <c r="C2226" t="s">
        <v>6742</v>
      </c>
    </row>
    <row r="2227" spans="1:3" x14ac:dyDescent="0.25">
      <c r="A2227" t="s">
        <v>6746</v>
      </c>
      <c r="B2227" t="s">
        <v>6747</v>
      </c>
      <c r="C2227" t="s">
        <v>6745</v>
      </c>
    </row>
    <row r="2228" spans="1:3" x14ac:dyDescent="0.25">
      <c r="A2228" t="s">
        <v>6749</v>
      </c>
      <c r="B2228" t="s">
        <v>6750</v>
      </c>
      <c r="C2228" t="s">
        <v>6748</v>
      </c>
    </row>
    <row r="2229" spans="1:3" x14ac:dyDescent="0.25">
      <c r="A2229" t="s">
        <v>6752</v>
      </c>
      <c r="B2229" t="s">
        <v>6753</v>
      </c>
      <c r="C2229" t="s">
        <v>6751</v>
      </c>
    </row>
    <row r="2230" spans="1:3" x14ac:dyDescent="0.25">
      <c r="A2230" t="s">
        <v>6755</v>
      </c>
      <c r="B2230" t="s">
        <v>6756</v>
      </c>
      <c r="C2230" t="s">
        <v>6754</v>
      </c>
    </row>
    <row r="2231" spans="1:3" x14ac:dyDescent="0.25">
      <c r="A2231" t="s">
        <v>6758</v>
      </c>
      <c r="B2231" t="s">
        <v>6759</v>
      </c>
      <c r="C2231" t="s">
        <v>6757</v>
      </c>
    </row>
    <row r="2232" spans="1:3" x14ac:dyDescent="0.25">
      <c r="A2232" t="s">
        <v>6761</v>
      </c>
      <c r="B2232" t="s">
        <v>6762</v>
      </c>
      <c r="C2232" t="s">
        <v>6760</v>
      </c>
    </row>
    <row r="2233" spans="1:3" x14ac:dyDescent="0.25">
      <c r="A2233" t="s">
        <v>6764</v>
      </c>
      <c r="B2233" t="s">
        <v>6765</v>
      </c>
      <c r="C2233" t="s">
        <v>6763</v>
      </c>
    </row>
    <row r="2234" spans="1:3" x14ac:dyDescent="0.25">
      <c r="A2234" t="s">
        <v>6767</v>
      </c>
      <c r="B2234" t="s">
        <v>6768</v>
      </c>
      <c r="C2234" t="s">
        <v>6766</v>
      </c>
    </row>
    <row r="2235" spans="1:3" x14ac:dyDescent="0.25">
      <c r="A2235" t="s">
        <v>6770</v>
      </c>
      <c r="B2235" t="s">
        <v>6771</v>
      </c>
      <c r="C2235" t="s">
        <v>6769</v>
      </c>
    </row>
    <row r="2236" spans="1:3" x14ac:dyDescent="0.25">
      <c r="A2236" t="s">
        <v>6773</v>
      </c>
      <c r="B2236" t="s">
        <v>6774</v>
      </c>
      <c r="C2236" t="s">
        <v>6772</v>
      </c>
    </row>
    <row r="2237" spans="1:3" x14ac:dyDescent="0.25">
      <c r="A2237" t="s">
        <v>6776</v>
      </c>
      <c r="B2237" t="s">
        <v>6777</v>
      </c>
      <c r="C2237" t="s">
        <v>6775</v>
      </c>
    </row>
    <row r="2238" spans="1:3" x14ac:dyDescent="0.25">
      <c r="A2238" t="s">
        <v>6779</v>
      </c>
      <c r="B2238" t="s">
        <v>6780</v>
      </c>
      <c r="C2238" t="s">
        <v>6778</v>
      </c>
    </row>
    <row r="2239" spans="1:3" x14ac:dyDescent="0.25">
      <c r="A2239" t="s">
        <v>6781</v>
      </c>
      <c r="B2239" t="s">
        <v>6782</v>
      </c>
      <c r="C2239" t="s">
        <v>6778</v>
      </c>
    </row>
    <row r="2240" spans="1:3" x14ac:dyDescent="0.25">
      <c r="A2240" t="s">
        <v>6784</v>
      </c>
      <c r="B2240" t="s">
        <v>6785</v>
      </c>
      <c r="C2240" t="s">
        <v>6783</v>
      </c>
    </row>
    <row r="2241" spans="1:3" x14ac:dyDescent="0.25">
      <c r="A2241" t="s">
        <v>6787</v>
      </c>
      <c r="B2241" t="s">
        <v>6788</v>
      </c>
      <c r="C2241" t="s">
        <v>6786</v>
      </c>
    </row>
    <row r="2242" spans="1:3" x14ac:dyDescent="0.25">
      <c r="A2242" t="s">
        <v>6790</v>
      </c>
      <c r="B2242" t="s">
        <v>6791</v>
      </c>
      <c r="C2242" t="s">
        <v>6789</v>
      </c>
    </row>
    <row r="2243" spans="1:3" x14ac:dyDescent="0.25">
      <c r="A2243" t="s">
        <v>6793</v>
      </c>
      <c r="B2243" t="s">
        <v>6794</v>
      </c>
      <c r="C2243" t="s">
        <v>6792</v>
      </c>
    </row>
    <row r="2244" spans="1:3" x14ac:dyDescent="0.25">
      <c r="A2244" t="s">
        <v>6796</v>
      </c>
      <c r="B2244" t="s">
        <v>6797</v>
      </c>
      <c r="C2244" t="s">
        <v>6795</v>
      </c>
    </row>
    <row r="2245" spans="1:3" x14ac:dyDescent="0.25">
      <c r="A2245" t="s">
        <v>6799</v>
      </c>
      <c r="B2245" t="s">
        <v>6800</v>
      </c>
      <c r="C2245" t="s">
        <v>6798</v>
      </c>
    </row>
    <row r="2246" spans="1:3" x14ac:dyDescent="0.25">
      <c r="A2246" t="s">
        <v>6802</v>
      </c>
      <c r="B2246" t="s">
        <v>6803</v>
      </c>
      <c r="C2246" t="s">
        <v>6801</v>
      </c>
    </row>
    <row r="2247" spans="1:3" x14ac:dyDescent="0.25">
      <c r="A2247" t="s">
        <v>6805</v>
      </c>
      <c r="B2247" t="s">
        <v>6806</v>
      </c>
      <c r="C2247" t="s">
        <v>6804</v>
      </c>
    </row>
    <row r="2248" spans="1:3" x14ac:dyDescent="0.25">
      <c r="A2248" t="s">
        <v>6808</v>
      </c>
      <c r="B2248" t="s">
        <v>6809</v>
      </c>
      <c r="C2248" t="s">
        <v>6807</v>
      </c>
    </row>
    <row r="2249" spans="1:3" x14ac:dyDescent="0.25">
      <c r="A2249" t="s">
        <v>6811</v>
      </c>
      <c r="B2249" t="s">
        <v>6812</v>
      </c>
      <c r="C2249" t="s">
        <v>6810</v>
      </c>
    </row>
    <row r="2250" spans="1:3" x14ac:dyDescent="0.25">
      <c r="A2250" t="s">
        <v>6814</v>
      </c>
      <c r="B2250" t="s">
        <v>6815</v>
      </c>
      <c r="C2250" t="s">
        <v>6813</v>
      </c>
    </row>
    <row r="2251" spans="1:3" x14ac:dyDescent="0.25">
      <c r="A2251" t="s">
        <v>6817</v>
      </c>
      <c r="B2251" t="s">
        <v>6818</v>
      </c>
      <c r="C2251" t="s">
        <v>6816</v>
      </c>
    </row>
    <row r="2252" spans="1:3" x14ac:dyDescent="0.25">
      <c r="A2252" t="s">
        <v>6820</v>
      </c>
      <c r="B2252" t="s">
        <v>6821</v>
      </c>
      <c r="C2252" t="s">
        <v>6819</v>
      </c>
    </row>
    <row r="2253" spans="1:3" x14ac:dyDescent="0.25">
      <c r="A2253" t="s">
        <v>6823</v>
      </c>
      <c r="B2253" t="s">
        <v>6824</v>
      </c>
      <c r="C2253" t="s">
        <v>6822</v>
      </c>
    </row>
    <row r="2254" spans="1:3" x14ac:dyDescent="0.25">
      <c r="A2254" t="s">
        <v>6826</v>
      </c>
      <c r="B2254" t="s">
        <v>6827</v>
      </c>
      <c r="C2254" t="s">
        <v>6825</v>
      </c>
    </row>
    <row r="2255" spans="1:3" x14ac:dyDescent="0.25">
      <c r="A2255" t="s">
        <v>6829</v>
      </c>
      <c r="B2255" t="s">
        <v>6830</v>
      </c>
      <c r="C2255" t="s">
        <v>6828</v>
      </c>
    </row>
    <row r="2256" spans="1:3" x14ac:dyDescent="0.25">
      <c r="A2256" t="s">
        <v>6832</v>
      </c>
      <c r="B2256" t="s">
        <v>6833</v>
      </c>
      <c r="C2256" t="s">
        <v>6831</v>
      </c>
    </row>
    <row r="2257" spans="1:3" x14ac:dyDescent="0.25">
      <c r="A2257" t="s">
        <v>6835</v>
      </c>
      <c r="B2257" t="s">
        <v>6836</v>
      </c>
      <c r="C2257" t="s">
        <v>6834</v>
      </c>
    </row>
    <row r="2258" spans="1:3" x14ac:dyDescent="0.25">
      <c r="A2258" t="s">
        <v>6838</v>
      </c>
      <c r="B2258" t="s">
        <v>6839</v>
      </c>
      <c r="C2258" t="s">
        <v>6837</v>
      </c>
    </row>
    <row r="2259" spans="1:3" x14ac:dyDescent="0.25">
      <c r="A2259" t="s">
        <v>6841</v>
      </c>
      <c r="B2259" t="s">
        <v>6842</v>
      </c>
      <c r="C2259" t="s">
        <v>6840</v>
      </c>
    </row>
    <row r="2260" spans="1:3" x14ac:dyDescent="0.25">
      <c r="A2260" t="s">
        <v>6844</v>
      </c>
      <c r="B2260" t="s">
        <v>6845</v>
      </c>
      <c r="C2260" t="s">
        <v>6843</v>
      </c>
    </row>
    <row r="2261" spans="1:3" x14ac:dyDescent="0.25">
      <c r="A2261" t="s">
        <v>6847</v>
      </c>
      <c r="B2261" t="s">
        <v>6848</v>
      </c>
      <c r="C2261" t="s">
        <v>6846</v>
      </c>
    </row>
    <row r="2262" spans="1:3" x14ac:dyDescent="0.25">
      <c r="A2262" t="s">
        <v>6850</v>
      </c>
      <c r="B2262" t="s">
        <v>6851</v>
      </c>
      <c r="C2262" t="s">
        <v>6849</v>
      </c>
    </row>
    <row r="2263" spans="1:3" x14ac:dyDescent="0.25">
      <c r="A2263" t="s">
        <v>6853</v>
      </c>
      <c r="B2263" t="s">
        <v>6854</v>
      </c>
      <c r="C2263" t="s">
        <v>6852</v>
      </c>
    </row>
    <row r="2264" spans="1:3" x14ac:dyDescent="0.25">
      <c r="A2264" t="s">
        <v>6856</v>
      </c>
      <c r="B2264" t="s">
        <v>6857</v>
      </c>
      <c r="C2264" t="s">
        <v>6855</v>
      </c>
    </row>
    <row r="2265" spans="1:3" x14ac:dyDescent="0.25">
      <c r="A2265" t="s">
        <v>6859</v>
      </c>
      <c r="B2265" t="s">
        <v>6860</v>
      </c>
      <c r="C2265" t="s">
        <v>6858</v>
      </c>
    </row>
    <row r="2266" spans="1:3" x14ac:dyDescent="0.25">
      <c r="A2266" t="s">
        <v>6862</v>
      </c>
      <c r="B2266" t="s">
        <v>6863</v>
      </c>
      <c r="C2266" t="s">
        <v>6861</v>
      </c>
    </row>
    <row r="2267" spans="1:3" x14ac:dyDescent="0.25">
      <c r="A2267" t="s">
        <v>6865</v>
      </c>
      <c r="B2267" t="s">
        <v>6866</v>
      </c>
      <c r="C2267" t="s">
        <v>6864</v>
      </c>
    </row>
    <row r="2268" spans="1:3" x14ac:dyDescent="0.25">
      <c r="A2268" t="s">
        <v>6868</v>
      </c>
      <c r="B2268" t="s">
        <v>6869</v>
      </c>
      <c r="C2268" t="s">
        <v>6867</v>
      </c>
    </row>
    <row r="2269" spans="1:3" x14ac:dyDescent="0.25">
      <c r="A2269" t="s">
        <v>6871</v>
      </c>
      <c r="B2269" t="s">
        <v>6872</v>
      </c>
      <c r="C2269" t="s">
        <v>6870</v>
      </c>
    </row>
    <row r="2270" spans="1:3" x14ac:dyDescent="0.25">
      <c r="A2270" t="s">
        <v>6874</v>
      </c>
      <c r="B2270" t="s">
        <v>6875</v>
      </c>
      <c r="C2270" t="s">
        <v>6873</v>
      </c>
    </row>
    <row r="2271" spans="1:3" x14ac:dyDescent="0.25">
      <c r="A2271" t="s">
        <v>6877</v>
      </c>
      <c r="B2271" t="s">
        <v>6878</v>
      </c>
      <c r="C2271" t="s">
        <v>6876</v>
      </c>
    </row>
    <row r="2272" spans="1:3" x14ac:dyDescent="0.25">
      <c r="A2272" t="s">
        <v>6880</v>
      </c>
      <c r="B2272" t="s">
        <v>6881</v>
      </c>
      <c r="C2272" t="s">
        <v>6879</v>
      </c>
    </row>
    <row r="2273" spans="1:3" x14ac:dyDescent="0.25">
      <c r="A2273" t="s">
        <v>6883</v>
      </c>
      <c r="B2273" t="s">
        <v>6884</v>
      </c>
      <c r="C2273" t="s">
        <v>6882</v>
      </c>
    </row>
    <row r="2274" spans="1:3" x14ac:dyDescent="0.25">
      <c r="A2274" t="s">
        <v>6886</v>
      </c>
      <c r="B2274" t="s">
        <v>6887</v>
      </c>
      <c r="C2274" t="s">
        <v>6885</v>
      </c>
    </row>
    <row r="2275" spans="1:3" x14ac:dyDescent="0.25">
      <c r="A2275" t="s">
        <v>6889</v>
      </c>
      <c r="B2275" t="s">
        <v>6890</v>
      </c>
      <c r="C2275" t="s">
        <v>6888</v>
      </c>
    </row>
    <row r="2276" spans="1:3" x14ac:dyDescent="0.25">
      <c r="A2276" t="s">
        <v>6892</v>
      </c>
      <c r="B2276" t="s">
        <v>6893</v>
      </c>
      <c r="C2276" t="s">
        <v>6891</v>
      </c>
    </row>
    <row r="2277" spans="1:3" x14ac:dyDescent="0.25">
      <c r="A2277" t="s">
        <v>6895</v>
      </c>
      <c r="B2277" t="s">
        <v>6896</v>
      </c>
      <c r="C2277" t="s">
        <v>6894</v>
      </c>
    </row>
    <row r="2278" spans="1:3" x14ac:dyDescent="0.25">
      <c r="A2278" t="s">
        <v>6898</v>
      </c>
      <c r="B2278" t="s">
        <v>6899</v>
      </c>
      <c r="C2278" t="s">
        <v>6897</v>
      </c>
    </row>
    <row r="2279" spans="1:3" x14ac:dyDescent="0.25">
      <c r="A2279" t="s">
        <v>6901</v>
      </c>
      <c r="B2279" t="s">
        <v>6902</v>
      </c>
      <c r="C2279" t="s">
        <v>6900</v>
      </c>
    </row>
    <row r="2280" spans="1:3" x14ac:dyDescent="0.25">
      <c r="A2280" t="s">
        <v>6904</v>
      </c>
      <c r="B2280" t="s">
        <v>6905</v>
      </c>
      <c r="C2280" t="s">
        <v>6903</v>
      </c>
    </row>
    <row r="2281" spans="1:3" x14ac:dyDescent="0.25">
      <c r="A2281" t="s">
        <v>6907</v>
      </c>
      <c r="B2281" t="s">
        <v>6908</v>
      </c>
      <c r="C2281" t="s">
        <v>6906</v>
      </c>
    </row>
    <row r="2282" spans="1:3" x14ac:dyDescent="0.25">
      <c r="A2282" t="s">
        <v>6910</v>
      </c>
      <c r="B2282" t="s">
        <v>6911</v>
      </c>
      <c r="C2282" t="s">
        <v>6909</v>
      </c>
    </row>
    <row r="2283" spans="1:3" x14ac:dyDescent="0.25">
      <c r="A2283" t="s">
        <v>6913</v>
      </c>
      <c r="B2283" t="s">
        <v>6914</v>
      </c>
      <c r="C2283" t="s">
        <v>6912</v>
      </c>
    </row>
    <row r="2284" spans="1:3" x14ac:dyDescent="0.25">
      <c r="A2284" t="s">
        <v>6916</v>
      </c>
      <c r="B2284" t="s">
        <v>6917</v>
      </c>
      <c r="C2284" t="s">
        <v>6915</v>
      </c>
    </row>
    <row r="2285" spans="1:3" x14ac:dyDescent="0.25">
      <c r="A2285" t="s">
        <v>6919</v>
      </c>
      <c r="B2285" t="s">
        <v>6920</v>
      </c>
      <c r="C2285" t="s">
        <v>6918</v>
      </c>
    </row>
    <row r="2286" spans="1:3" x14ac:dyDescent="0.25">
      <c r="A2286" t="s">
        <v>6922</v>
      </c>
      <c r="B2286" t="s">
        <v>6923</v>
      </c>
      <c r="C2286" t="s">
        <v>6921</v>
      </c>
    </row>
    <row r="2287" spans="1:3" x14ac:dyDescent="0.25">
      <c r="A2287" t="s">
        <v>6925</v>
      </c>
      <c r="B2287" t="s">
        <v>6926</v>
      </c>
      <c r="C2287" t="s">
        <v>6924</v>
      </c>
    </row>
    <row r="2288" spans="1:3" x14ac:dyDescent="0.25">
      <c r="A2288" t="s">
        <v>6928</v>
      </c>
      <c r="B2288" t="s">
        <v>6929</v>
      </c>
      <c r="C2288" t="s">
        <v>6927</v>
      </c>
    </row>
    <row r="2289" spans="1:3" x14ac:dyDescent="0.25">
      <c r="A2289" t="s">
        <v>6931</v>
      </c>
      <c r="B2289" t="s">
        <v>6932</v>
      </c>
      <c r="C2289" t="s">
        <v>6930</v>
      </c>
    </row>
    <row r="2290" spans="1:3" x14ac:dyDescent="0.25">
      <c r="A2290" t="s">
        <v>6934</v>
      </c>
      <c r="B2290" t="s">
        <v>6935</v>
      </c>
      <c r="C2290" t="s">
        <v>6933</v>
      </c>
    </row>
    <row r="2291" spans="1:3" x14ac:dyDescent="0.25">
      <c r="A2291" t="s">
        <v>6937</v>
      </c>
      <c r="B2291" t="s">
        <v>6938</v>
      </c>
      <c r="C2291" t="s">
        <v>6936</v>
      </c>
    </row>
    <row r="2292" spans="1:3" x14ac:dyDescent="0.25">
      <c r="A2292" t="s">
        <v>6940</v>
      </c>
      <c r="B2292" t="s">
        <v>6941</v>
      </c>
      <c r="C2292" t="s">
        <v>6939</v>
      </c>
    </row>
    <row r="2293" spans="1:3" x14ac:dyDescent="0.25">
      <c r="A2293" t="s">
        <v>6943</v>
      </c>
      <c r="B2293" t="s">
        <v>6944</v>
      </c>
      <c r="C2293" t="s">
        <v>6942</v>
      </c>
    </row>
    <row r="2294" spans="1:3" x14ac:dyDescent="0.25">
      <c r="A2294" t="s">
        <v>6946</v>
      </c>
      <c r="B2294" t="s">
        <v>6947</v>
      </c>
      <c r="C2294" t="s">
        <v>6945</v>
      </c>
    </row>
    <row r="2295" spans="1:3" x14ac:dyDescent="0.25">
      <c r="A2295" t="s">
        <v>6949</v>
      </c>
      <c r="B2295" t="s">
        <v>6950</v>
      </c>
      <c r="C2295" t="s">
        <v>6948</v>
      </c>
    </row>
    <row r="2296" spans="1:3" x14ac:dyDescent="0.25">
      <c r="A2296" t="s">
        <v>6952</v>
      </c>
      <c r="B2296" t="s">
        <v>6953</v>
      </c>
      <c r="C2296" t="s">
        <v>6951</v>
      </c>
    </row>
    <row r="2297" spans="1:3" x14ac:dyDescent="0.25">
      <c r="A2297" t="s">
        <v>6955</v>
      </c>
      <c r="B2297" t="s">
        <v>6956</v>
      </c>
      <c r="C2297" t="s">
        <v>6954</v>
      </c>
    </row>
    <row r="2298" spans="1:3" x14ac:dyDescent="0.25">
      <c r="A2298" t="s">
        <v>6958</v>
      </c>
      <c r="B2298" t="s">
        <v>6959</v>
      </c>
      <c r="C2298" t="s">
        <v>6957</v>
      </c>
    </row>
    <row r="2299" spans="1:3" x14ac:dyDescent="0.25">
      <c r="A2299" t="s">
        <v>6961</v>
      </c>
      <c r="B2299" t="s">
        <v>6962</v>
      </c>
      <c r="C2299" t="s">
        <v>6960</v>
      </c>
    </row>
    <row r="2300" spans="1:3" x14ac:dyDescent="0.25">
      <c r="A2300" t="s">
        <v>6964</v>
      </c>
      <c r="B2300" t="s">
        <v>6965</v>
      </c>
      <c r="C2300" t="s">
        <v>6963</v>
      </c>
    </row>
    <row r="2301" spans="1:3" x14ac:dyDescent="0.25">
      <c r="A2301" t="s">
        <v>6967</v>
      </c>
      <c r="B2301" t="s">
        <v>6968</v>
      </c>
      <c r="C2301" t="s">
        <v>6966</v>
      </c>
    </row>
    <row r="2302" spans="1:3" x14ac:dyDescent="0.25">
      <c r="A2302" t="s">
        <v>6970</v>
      </c>
      <c r="B2302" t="s">
        <v>6971</v>
      </c>
      <c r="C2302" t="s">
        <v>6969</v>
      </c>
    </row>
    <row r="2303" spans="1:3" x14ac:dyDescent="0.25">
      <c r="A2303" t="s">
        <v>6973</v>
      </c>
      <c r="B2303" t="s">
        <v>6974</v>
      </c>
      <c r="C2303" t="s">
        <v>6972</v>
      </c>
    </row>
    <row r="2304" spans="1:3" x14ac:dyDescent="0.25">
      <c r="A2304" t="s">
        <v>6976</v>
      </c>
      <c r="B2304" t="s">
        <v>6977</v>
      </c>
      <c r="C2304" t="s">
        <v>6975</v>
      </c>
    </row>
    <row r="2305" spans="1:3" x14ac:dyDescent="0.25">
      <c r="A2305" t="s">
        <v>6979</v>
      </c>
      <c r="B2305" t="s">
        <v>6980</v>
      </c>
      <c r="C2305" t="s">
        <v>6978</v>
      </c>
    </row>
    <row r="2306" spans="1:3" x14ac:dyDescent="0.25">
      <c r="A2306" t="s">
        <v>6982</v>
      </c>
      <c r="B2306" t="s">
        <v>6983</v>
      </c>
      <c r="C2306" t="s">
        <v>6981</v>
      </c>
    </row>
    <row r="2307" spans="1:3" x14ac:dyDescent="0.25">
      <c r="A2307" t="s">
        <v>6985</v>
      </c>
      <c r="B2307" t="s">
        <v>6986</v>
      </c>
      <c r="C2307" t="s">
        <v>6984</v>
      </c>
    </row>
    <row r="2308" spans="1:3" x14ac:dyDescent="0.25">
      <c r="A2308" t="s">
        <v>6988</v>
      </c>
      <c r="B2308" t="s">
        <v>6989</v>
      </c>
      <c r="C2308" t="s">
        <v>6987</v>
      </c>
    </row>
    <row r="2309" spans="1:3" x14ac:dyDescent="0.25">
      <c r="A2309" t="s">
        <v>6991</v>
      </c>
      <c r="B2309" t="s">
        <v>6992</v>
      </c>
      <c r="C2309" t="s">
        <v>6990</v>
      </c>
    </row>
    <row r="2310" spans="1:3" x14ac:dyDescent="0.25">
      <c r="A2310" t="s">
        <v>6994</v>
      </c>
      <c r="B2310" t="s">
        <v>6995</v>
      </c>
      <c r="C2310" t="s">
        <v>6993</v>
      </c>
    </row>
    <row r="2311" spans="1:3" x14ac:dyDescent="0.25">
      <c r="A2311" t="s">
        <v>6997</v>
      </c>
      <c r="B2311" t="s">
        <v>6998</v>
      </c>
      <c r="C2311" t="s">
        <v>6996</v>
      </c>
    </row>
    <row r="2312" spans="1:3" x14ac:dyDescent="0.25">
      <c r="A2312" t="s">
        <v>7000</v>
      </c>
      <c r="B2312" t="s">
        <v>7001</v>
      </c>
      <c r="C2312" t="s">
        <v>6999</v>
      </c>
    </row>
    <row r="2313" spans="1:3" x14ac:dyDescent="0.25">
      <c r="A2313" t="s">
        <v>7003</v>
      </c>
      <c r="B2313" t="s">
        <v>7004</v>
      </c>
      <c r="C2313" t="s">
        <v>7002</v>
      </c>
    </row>
    <row r="2314" spans="1:3" x14ac:dyDescent="0.25">
      <c r="A2314" t="s">
        <v>7006</v>
      </c>
      <c r="B2314" t="s">
        <v>7007</v>
      </c>
      <c r="C2314" t="s">
        <v>7005</v>
      </c>
    </row>
    <row r="2315" spans="1:3" x14ac:dyDescent="0.25">
      <c r="A2315" t="s">
        <v>7009</v>
      </c>
      <c r="B2315" t="s">
        <v>7010</v>
      </c>
      <c r="C2315" t="s">
        <v>7008</v>
      </c>
    </row>
    <row r="2316" spans="1:3" x14ac:dyDescent="0.25">
      <c r="A2316" t="s">
        <v>7012</v>
      </c>
      <c r="B2316" t="s">
        <v>7013</v>
      </c>
      <c r="C2316" t="s">
        <v>7011</v>
      </c>
    </row>
    <row r="2317" spans="1:3" x14ac:dyDescent="0.25">
      <c r="A2317" t="s">
        <v>7015</v>
      </c>
      <c r="B2317" t="s">
        <v>7016</v>
      </c>
      <c r="C2317" t="s">
        <v>7014</v>
      </c>
    </row>
    <row r="2318" spans="1:3" x14ac:dyDescent="0.25">
      <c r="A2318" t="s">
        <v>7018</v>
      </c>
      <c r="B2318" t="s">
        <v>7019</v>
      </c>
      <c r="C2318" t="s">
        <v>7017</v>
      </c>
    </row>
    <row r="2319" spans="1:3" x14ac:dyDescent="0.25">
      <c r="A2319" t="s">
        <v>7021</v>
      </c>
      <c r="B2319" t="s">
        <v>7022</v>
      </c>
      <c r="C2319" t="s">
        <v>7020</v>
      </c>
    </row>
    <row r="2320" spans="1:3" x14ac:dyDescent="0.25">
      <c r="A2320" t="s">
        <v>7024</v>
      </c>
      <c r="B2320" t="s">
        <v>7025</v>
      </c>
      <c r="C2320" t="s">
        <v>7023</v>
      </c>
    </row>
    <row r="2321" spans="1:3" x14ac:dyDescent="0.25">
      <c r="A2321" t="s">
        <v>7027</v>
      </c>
      <c r="B2321" t="s">
        <v>7028</v>
      </c>
      <c r="C2321" t="s">
        <v>7026</v>
      </c>
    </row>
    <row r="2322" spans="1:3" x14ac:dyDescent="0.25">
      <c r="A2322" t="s">
        <v>7030</v>
      </c>
      <c r="B2322" t="s">
        <v>7031</v>
      </c>
      <c r="C2322" t="s">
        <v>7029</v>
      </c>
    </row>
    <row r="2323" spans="1:3" x14ac:dyDescent="0.25">
      <c r="A2323" t="s">
        <v>7033</v>
      </c>
      <c r="B2323" t="s">
        <v>7034</v>
      </c>
      <c r="C2323" t="s">
        <v>7032</v>
      </c>
    </row>
    <row r="2324" spans="1:3" x14ac:dyDescent="0.25">
      <c r="A2324" t="s">
        <v>7036</v>
      </c>
      <c r="B2324" t="s">
        <v>7037</v>
      </c>
      <c r="C2324" t="s">
        <v>7035</v>
      </c>
    </row>
    <row r="2325" spans="1:3" x14ac:dyDescent="0.25">
      <c r="A2325" t="s">
        <v>7039</v>
      </c>
      <c r="B2325" t="s">
        <v>7040</v>
      </c>
      <c r="C2325" t="s">
        <v>7038</v>
      </c>
    </row>
    <row r="2326" spans="1:3" x14ac:dyDescent="0.25">
      <c r="A2326" t="s">
        <v>7042</v>
      </c>
      <c r="B2326" t="s">
        <v>7043</v>
      </c>
      <c r="C2326" t="s">
        <v>7041</v>
      </c>
    </row>
    <row r="2327" spans="1:3" x14ac:dyDescent="0.25">
      <c r="A2327" t="s">
        <v>7045</v>
      </c>
      <c r="B2327" t="s">
        <v>7046</v>
      </c>
      <c r="C2327" t="s">
        <v>7044</v>
      </c>
    </row>
    <row r="2328" spans="1:3" x14ac:dyDescent="0.25">
      <c r="A2328" t="s">
        <v>7048</v>
      </c>
      <c r="B2328" t="s">
        <v>7049</v>
      </c>
      <c r="C2328" t="s">
        <v>7047</v>
      </c>
    </row>
    <row r="2329" spans="1:3" x14ac:dyDescent="0.25">
      <c r="A2329" t="s">
        <v>7051</v>
      </c>
      <c r="B2329" t="s">
        <v>7052</v>
      </c>
      <c r="C2329" t="s">
        <v>7050</v>
      </c>
    </row>
    <row r="2330" spans="1:3" x14ac:dyDescent="0.25">
      <c r="A2330" t="s">
        <v>7054</v>
      </c>
      <c r="B2330" t="s">
        <v>7055</v>
      </c>
      <c r="C2330" t="s">
        <v>7053</v>
      </c>
    </row>
    <row r="2331" spans="1:3" x14ac:dyDescent="0.25">
      <c r="A2331" t="s">
        <v>7057</v>
      </c>
      <c r="B2331" t="s">
        <v>7058</v>
      </c>
      <c r="C2331" t="s">
        <v>7056</v>
      </c>
    </row>
    <row r="2332" spans="1:3" x14ac:dyDescent="0.25">
      <c r="A2332" t="s">
        <v>7060</v>
      </c>
      <c r="B2332" t="s">
        <v>7061</v>
      </c>
      <c r="C2332" t="s">
        <v>7059</v>
      </c>
    </row>
    <row r="2333" spans="1:3" x14ac:dyDescent="0.25">
      <c r="A2333" t="s">
        <v>7063</v>
      </c>
      <c r="B2333" t="s">
        <v>7064</v>
      </c>
      <c r="C2333" t="s">
        <v>7062</v>
      </c>
    </row>
    <row r="2334" spans="1:3" x14ac:dyDescent="0.25">
      <c r="A2334" t="s">
        <v>7066</v>
      </c>
      <c r="B2334" t="s">
        <v>7067</v>
      </c>
      <c r="C2334" t="s">
        <v>7065</v>
      </c>
    </row>
    <row r="2335" spans="1:3" x14ac:dyDescent="0.25">
      <c r="A2335" t="s">
        <v>7069</v>
      </c>
      <c r="B2335" t="s">
        <v>7070</v>
      </c>
      <c r="C2335" t="s">
        <v>7068</v>
      </c>
    </row>
    <row r="2336" spans="1:3" x14ac:dyDescent="0.25">
      <c r="A2336" t="s">
        <v>7072</v>
      </c>
      <c r="B2336" t="s">
        <v>7073</v>
      </c>
      <c r="C2336" t="s">
        <v>7071</v>
      </c>
    </row>
    <row r="2337" spans="1:3" x14ac:dyDescent="0.25">
      <c r="A2337" t="s">
        <v>7075</v>
      </c>
      <c r="B2337" t="s">
        <v>7076</v>
      </c>
      <c r="C2337" t="s">
        <v>7074</v>
      </c>
    </row>
    <row r="2338" spans="1:3" x14ac:dyDescent="0.25">
      <c r="A2338" t="s">
        <v>7078</v>
      </c>
      <c r="B2338" t="s">
        <v>7079</v>
      </c>
      <c r="C2338" t="s">
        <v>7077</v>
      </c>
    </row>
    <row r="2339" spans="1:3" x14ac:dyDescent="0.25">
      <c r="A2339" t="s">
        <v>7081</v>
      </c>
      <c r="B2339" t="s">
        <v>7082</v>
      </c>
      <c r="C2339" t="s">
        <v>7080</v>
      </c>
    </row>
    <row r="2340" spans="1:3" x14ac:dyDescent="0.25">
      <c r="A2340" t="s">
        <v>7084</v>
      </c>
      <c r="B2340" t="s">
        <v>7070</v>
      </c>
      <c r="C2340" t="s">
        <v>7083</v>
      </c>
    </row>
    <row r="2341" spans="1:3" x14ac:dyDescent="0.25">
      <c r="A2341" t="s">
        <v>7086</v>
      </c>
      <c r="B2341" t="s">
        <v>7087</v>
      </c>
      <c r="C2341" t="s">
        <v>7085</v>
      </c>
    </row>
    <row r="2342" spans="1:3" x14ac:dyDescent="0.25">
      <c r="A2342" t="s">
        <v>7089</v>
      </c>
      <c r="B2342" t="s">
        <v>7090</v>
      </c>
      <c r="C2342" t="s">
        <v>7088</v>
      </c>
    </row>
    <row r="2343" spans="1:3" x14ac:dyDescent="0.25">
      <c r="A2343" t="s">
        <v>7092</v>
      </c>
      <c r="B2343" t="s">
        <v>7093</v>
      </c>
      <c r="C2343" t="s">
        <v>7091</v>
      </c>
    </row>
    <row r="2344" spans="1:3" x14ac:dyDescent="0.25">
      <c r="A2344" t="s">
        <v>7095</v>
      </c>
      <c r="B2344" t="s">
        <v>7096</v>
      </c>
      <c r="C2344" t="s">
        <v>7094</v>
      </c>
    </row>
    <row r="2345" spans="1:3" x14ac:dyDescent="0.25">
      <c r="A2345" t="s">
        <v>7098</v>
      </c>
      <c r="B2345" t="s">
        <v>7099</v>
      </c>
      <c r="C2345" t="s">
        <v>7097</v>
      </c>
    </row>
    <row r="2346" spans="1:3" x14ac:dyDescent="0.25">
      <c r="A2346" t="s">
        <v>7101</v>
      </c>
      <c r="B2346" t="s">
        <v>7102</v>
      </c>
      <c r="C2346" t="s">
        <v>7100</v>
      </c>
    </row>
    <row r="2347" spans="1:3" x14ac:dyDescent="0.25">
      <c r="A2347" t="s">
        <v>7104</v>
      </c>
      <c r="B2347" t="s">
        <v>7105</v>
      </c>
      <c r="C2347" t="s">
        <v>7103</v>
      </c>
    </row>
    <row r="2348" spans="1:3" x14ac:dyDescent="0.25">
      <c r="A2348" t="s">
        <v>7107</v>
      </c>
      <c r="B2348" t="s">
        <v>7108</v>
      </c>
      <c r="C2348" t="s">
        <v>7106</v>
      </c>
    </row>
    <row r="2349" spans="1:3" x14ac:dyDescent="0.25">
      <c r="A2349" t="s">
        <v>7110</v>
      </c>
      <c r="B2349" t="s">
        <v>7111</v>
      </c>
      <c r="C2349" t="s">
        <v>7109</v>
      </c>
    </row>
    <row r="2350" spans="1:3" x14ac:dyDescent="0.25">
      <c r="A2350" t="s">
        <v>7113</v>
      </c>
      <c r="B2350" t="s">
        <v>7114</v>
      </c>
      <c r="C2350" t="s">
        <v>7112</v>
      </c>
    </row>
    <row r="2351" spans="1:3" x14ac:dyDescent="0.25">
      <c r="A2351" t="s">
        <v>7116</v>
      </c>
      <c r="B2351" t="s">
        <v>7117</v>
      </c>
      <c r="C2351" t="s">
        <v>7115</v>
      </c>
    </row>
    <row r="2352" spans="1:3" x14ac:dyDescent="0.25">
      <c r="A2352" t="s">
        <v>7119</v>
      </c>
      <c r="B2352" t="s">
        <v>7120</v>
      </c>
      <c r="C2352" t="s">
        <v>7118</v>
      </c>
    </row>
    <row r="2353" spans="1:3" x14ac:dyDescent="0.25">
      <c r="A2353" t="s">
        <v>7122</v>
      </c>
      <c r="B2353" t="s">
        <v>7123</v>
      </c>
      <c r="C2353" t="s">
        <v>7121</v>
      </c>
    </row>
    <row r="2354" spans="1:3" x14ac:dyDescent="0.25">
      <c r="A2354" t="s">
        <v>7125</v>
      </c>
      <c r="B2354" t="s">
        <v>7126</v>
      </c>
      <c r="C2354" t="s">
        <v>7124</v>
      </c>
    </row>
    <row r="2355" spans="1:3" x14ac:dyDescent="0.25">
      <c r="A2355" t="s">
        <v>7128</v>
      </c>
      <c r="B2355" t="s">
        <v>7129</v>
      </c>
      <c r="C2355" t="s">
        <v>7127</v>
      </c>
    </row>
    <row r="2356" spans="1:3" x14ac:dyDescent="0.25">
      <c r="A2356" t="s">
        <v>7131</v>
      </c>
      <c r="B2356" t="s">
        <v>7132</v>
      </c>
      <c r="C2356" t="s">
        <v>7130</v>
      </c>
    </row>
    <row r="2357" spans="1:3" x14ac:dyDescent="0.25">
      <c r="A2357" t="s">
        <v>7134</v>
      </c>
      <c r="B2357" t="s">
        <v>7135</v>
      </c>
      <c r="C2357" t="s">
        <v>7133</v>
      </c>
    </row>
    <row r="2358" spans="1:3" x14ac:dyDescent="0.25">
      <c r="A2358" t="s">
        <v>7137</v>
      </c>
      <c r="B2358" t="s">
        <v>7138</v>
      </c>
      <c r="C2358" t="s">
        <v>7136</v>
      </c>
    </row>
    <row r="2359" spans="1:3" x14ac:dyDescent="0.25">
      <c r="A2359" t="s">
        <v>7140</v>
      </c>
      <c r="B2359" t="s">
        <v>7141</v>
      </c>
      <c r="C2359" t="s">
        <v>7139</v>
      </c>
    </row>
    <row r="2360" spans="1:3" x14ac:dyDescent="0.25">
      <c r="A2360" t="s">
        <v>7143</v>
      </c>
      <c r="B2360" t="s">
        <v>7144</v>
      </c>
      <c r="C2360" t="s">
        <v>7142</v>
      </c>
    </row>
    <row r="2361" spans="1:3" x14ac:dyDescent="0.25">
      <c r="A2361" t="s">
        <v>7146</v>
      </c>
      <c r="B2361" t="s">
        <v>7147</v>
      </c>
      <c r="C2361" t="s">
        <v>7145</v>
      </c>
    </row>
    <row r="2362" spans="1:3" x14ac:dyDescent="0.25">
      <c r="A2362" t="s">
        <v>7149</v>
      </c>
      <c r="B2362" t="s">
        <v>7150</v>
      </c>
      <c r="C2362" t="s">
        <v>7148</v>
      </c>
    </row>
    <row r="2363" spans="1:3" x14ac:dyDescent="0.25">
      <c r="A2363" t="s">
        <v>7152</v>
      </c>
      <c r="B2363" t="s">
        <v>7153</v>
      </c>
      <c r="C2363" t="s">
        <v>7151</v>
      </c>
    </row>
    <row r="2364" spans="1:3" x14ac:dyDescent="0.25">
      <c r="A2364" t="s">
        <v>7155</v>
      </c>
      <c r="B2364" t="s">
        <v>7156</v>
      </c>
      <c r="C2364" t="s">
        <v>7154</v>
      </c>
    </row>
    <row r="2365" spans="1:3" x14ac:dyDescent="0.25">
      <c r="A2365" t="s">
        <v>7158</v>
      </c>
      <c r="B2365" t="s">
        <v>7159</v>
      </c>
      <c r="C2365" t="s">
        <v>7157</v>
      </c>
    </row>
    <row r="2366" spans="1:3" x14ac:dyDescent="0.25">
      <c r="A2366" t="s">
        <v>7161</v>
      </c>
      <c r="B2366" t="s">
        <v>7162</v>
      </c>
      <c r="C2366" t="s">
        <v>7160</v>
      </c>
    </row>
    <row r="2367" spans="1:3" x14ac:dyDescent="0.25">
      <c r="A2367" t="s">
        <v>7164</v>
      </c>
      <c r="B2367" t="s">
        <v>7165</v>
      </c>
      <c r="C2367" t="s">
        <v>7163</v>
      </c>
    </row>
    <row r="2368" spans="1:3" x14ac:dyDescent="0.25">
      <c r="A2368" t="s">
        <v>7167</v>
      </c>
      <c r="B2368" t="s">
        <v>7168</v>
      </c>
      <c r="C2368" t="s">
        <v>7166</v>
      </c>
    </row>
    <row r="2369" spans="1:3" x14ac:dyDescent="0.25">
      <c r="A2369" t="s">
        <v>7170</v>
      </c>
      <c r="B2369" t="s">
        <v>7171</v>
      </c>
      <c r="C2369" t="s">
        <v>7169</v>
      </c>
    </row>
    <row r="2370" spans="1:3" x14ac:dyDescent="0.25">
      <c r="A2370" t="s">
        <v>7173</v>
      </c>
      <c r="B2370" t="s">
        <v>7174</v>
      </c>
      <c r="C2370" t="s">
        <v>7172</v>
      </c>
    </row>
    <row r="2371" spans="1:3" x14ac:dyDescent="0.25">
      <c r="A2371" t="s">
        <v>7176</v>
      </c>
      <c r="B2371" t="s">
        <v>7177</v>
      </c>
      <c r="C2371" t="s">
        <v>7175</v>
      </c>
    </row>
    <row r="2372" spans="1:3" x14ac:dyDescent="0.25">
      <c r="A2372" t="s">
        <v>7179</v>
      </c>
      <c r="B2372" t="s">
        <v>7180</v>
      </c>
      <c r="C2372" t="s">
        <v>7178</v>
      </c>
    </row>
    <row r="2373" spans="1:3" x14ac:dyDescent="0.25">
      <c r="A2373" t="s">
        <v>7182</v>
      </c>
      <c r="B2373" t="s">
        <v>7183</v>
      </c>
      <c r="C2373" t="s">
        <v>7181</v>
      </c>
    </row>
    <row r="2374" spans="1:3" x14ac:dyDescent="0.25">
      <c r="A2374" t="s">
        <v>7185</v>
      </c>
      <c r="B2374" t="s">
        <v>7186</v>
      </c>
      <c r="C2374" t="s">
        <v>7184</v>
      </c>
    </row>
    <row r="2375" spans="1:3" x14ac:dyDescent="0.25">
      <c r="A2375" t="s">
        <v>7188</v>
      </c>
      <c r="B2375" t="s">
        <v>7189</v>
      </c>
      <c r="C2375" t="s">
        <v>7187</v>
      </c>
    </row>
    <row r="2376" spans="1:3" x14ac:dyDescent="0.25">
      <c r="A2376" t="s">
        <v>7191</v>
      </c>
      <c r="B2376" t="s">
        <v>7192</v>
      </c>
      <c r="C2376" t="s">
        <v>7190</v>
      </c>
    </row>
    <row r="2377" spans="1:3" x14ac:dyDescent="0.25">
      <c r="A2377" t="s">
        <v>7194</v>
      </c>
      <c r="B2377" t="s">
        <v>7195</v>
      </c>
      <c r="C2377" t="s">
        <v>7193</v>
      </c>
    </row>
    <row r="2378" spans="1:3" x14ac:dyDescent="0.25">
      <c r="A2378" t="s">
        <v>7197</v>
      </c>
      <c r="B2378" t="s">
        <v>7198</v>
      </c>
      <c r="C2378" t="s">
        <v>7196</v>
      </c>
    </row>
    <row r="2379" spans="1:3" x14ac:dyDescent="0.25">
      <c r="A2379" t="s">
        <v>7200</v>
      </c>
      <c r="B2379" t="s">
        <v>7201</v>
      </c>
      <c r="C2379" t="s">
        <v>7199</v>
      </c>
    </row>
    <row r="2380" spans="1:3" x14ac:dyDescent="0.25">
      <c r="A2380" t="s">
        <v>7203</v>
      </c>
      <c r="B2380" t="s">
        <v>7204</v>
      </c>
      <c r="C2380" t="s">
        <v>7202</v>
      </c>
    </row>
    <row r="2381" spans="1:3" x14ac:dyDescent="0.25">
      <c r="A2381" t="s">
        <v>7206</v>
      </c>
      <c r="B2381" t="s">
        <v>7207</v>
      </c>
      <c r="C2381" t="s">
        <v>7205</v>
      </c>
    </row>
    <row r="2382" spans="1:3" x14ac:dyDescent="0.25">
      <c r="A2382" t="s">
        <v>7209</v>
      </c>
      <c r="B2382" t="s">
        <v>7210</v>
      </c>
      <c r="C2382" t="s">
        <v>7208</v>
      </c>
    </row>
    <row r="2383" spans="1:3" x14ac:dyDescent="0.25">
      <c r="A2383" t="s">
        <v>7212</v>
      </c>
      <c r="B2383" t="s">
        <v>7213</v>
      </c>
      <c r="C2383" t="s">
        <v>7211</v>
      </c>
    </row>
    <row r="2384" spans="1:3" x14ac:dyDescent="0.25">
      <c r="A2384" t="s">
        <v>7215</v>
      </c>
      <c r="B2384" t="s">
        <v>7216</v>
      </c>
      <c r="C2384" t="s">
        <v>7214</v>
      </c>
    </row>
    <row r="2385" spans="1:3" x14ac:dyDescent="0.25">
      <c r="A2385" t="s">
        <v>7218</v>
      </c>
      <c r="B2385" t="s">
        <v>7219</v>
      </c>
      <c r="C2385" t="s">
        <v>7217</v>
      </c>
    </row>
    <row r="2386" spans="1:3" x14ac:dyDescent="0.25">
      <c r="A2386" t="s">
        <v>7221</v>
      </c>
      <c r="B2386" t="s">
        <v>7222</v>
      </c>
      <c r="C2386" t="s">
        <v>7220</v>
      </c>
    </row>
    <row r="2387" spans="1:3" x14ac:dyDescent="0.25">
      <c r="A2387" t="s">
        <v>7224</v>
      </c>
      <c r="B2387" t="s">
        <v>7225</v>
      </c>
      <c r="C2387" t="s">
        <v>7223</v>
      </c>
    </row>
    <row r="2388" spans="1:3" x14ac:dyDescent="0.25">
      <c r="A2388" t="s">
        <v>7227</v>
      </c>
      <c r="B2388" t="s">
        <v>7228</v>
      </c>
      <c r="C2388" t="s">
        <v>7226</v>
      </c>
    </row>
    <row r="2389" spans="1:3" x14ac:dyDescent="0.25">
      <c r="A2389" t="s">
        <v>7230</v>
      </c>
      <c r="B2389" t="s">
        <v>7231</v>
      </c>
      <c r="C2389" t="s">
        <v>7229</v>
      </c>
    </row>
    <row r="2390" spans="1:3" x14ac:dyDescent="0.25">
      <c r="A2390" t="s">
        <v>7233</v>
      </c>
      <c r="B2390" t="s">
        <v>7234</v>
      </c>
      <c r="C2390" t="s">
        <v>7232</v>
      </c>
    </row>
    <row r="2391" spans="1:3" x14ac:dyDescent="0.25">
      <c r="A2391" t="s">
        <v>7236</v>
      </c>
      <c r="B2391" t="s">
        <v>7237</v>
      </c>
      <c r="C2391" t="s">
        <v>7235</v>
      </c>
    </row>
    <row r="2392" spans="1:3" x14ac:dyDescent="0.25">
      <c r="A2392" t="s">
        <v>7239</v>
      </c>
      <c r="B2392" t="s">
        <v>7240</v>
      </c>
      <c r="C2392" t="s">
        <v>7238</v>
      </c>
    </row>
    <row r="2393" spans="1:3" x14ac:dyDescent="0.25">
      <c r="A2393" t="s">
        <v>7242</v>
      </c>
      <c r="B2393" t="s">
        <v>7243</v>
      </c>
      <c r="C2393" t="s">
        <v>7241</v>
      </c>
    </row>
    <row r="2394" spans="1:3" x14ac:dyDescent="0.25">
      <c r="A2394" t="s">
        <v>7245</v>
      </c>
      <c r="B2394" t="s">
        <v>7246</v>
      </c>
      <c r="C2394" t="s">
        <v>7244</v>
      </c>
    </row>
    <row r="2395" spans="1:3" x14ac:dyDescent="0.25">
      <c r="A2395" t="s">
        <v>7248</v>
      </c>
      <c r="B2395" t="s">
        <v>7249</v>
      </c>
      <c r="C2395" t="s">
        <v>7247</v>
      </c>
    </row>
    <row r="2396" spans="1:3" x14ac:dyDescent="0.25">
      <c r="A2396" t="s">
        <v>7251</v>
      </c>
      <c r="B2396" t="s">
        <v>7252</v>
      </c>
      <c r="C2396" t="s">
        <v>7250</v>
      </c>
    </row>
    <row r="2397" spans="1:3" x14ac:dyDescent="0.25">
      <c r="A2397" t="s">
        <v>7254</v>
      </c>
      <c r="B2397" t="s">
        <v>7255</v>
      </c>
      <c r="C2397" t="s">
        <v>7253</v>
      </c>
    </row>
    <row r="2398" spans="1:3" x14ac:dyDescent="0.25">
      <c r="A2398" t="s">
        <v>7257</v>
      </c>
      <c r="B2398" t="s">
        <v>7258</v>
      </c>
      <c r="C2398" t="s">
        <v>7256</v>
      </c>
    </row>
    <row r="2399" spans="1:3" x14ac:dyDescent="0.25">
      <c r="A2399" t="s">
        <v>7260</v>
      </c>
      <c r="B2399" t="s">
        <v>7261</v>
      </c>
      <c r="C2399" t="s">
        <v>7259</v>
      </c>
    </row>
    <row r="2400" spans="1:3" x14ac:dyDescent="0.25">
      <c r="A2400" t="s">
        <v>7263</v>
      </c>
      <c r="B2400" t="s">
        <v>7264</v>
      </c>
      <c r="C2400" t="s">
        <v>7262</v>
      </c>
    </row>
    <row r="2401" spans="1:3" x14ac:dyDescent="0.25">
      <c r="A2401" t="s">
        <v>7266</v>
      </c>
      <c r="B2401" t="s">
        <v>7267</v>
      </c>
      <c r="C2401" t="s">
        <v>7265</v>
      </c>
    </row>
    <row r="2402" spans="1:3" x14ac:dyDescent="0.25">
      <c r="A2402" t="s">
        <v>7269</v>
      </c>
      <c r="B2402" t="s">
        <v>7270</v>
      </c>
      <c r="C2402" t="s">
        <v>7268</v>
      </c>
    </row>
    <row r="2403" spans="1:3" x14ac:dyDescent="0.25">
      <c r="A2403" t="s">
        <v>7272</v>
      </c>
      <c r="B2403" t="s">
        <v>7273</v>
      </c>
      <c r="C2403" t="s">
        <v>7271</v>
      </c>
    </row>
    <row r="2404" spans="1:3" x14ac:dyDescent="0.25">
      <c r="A2404" t="s">
        <v>7275</v>
      </c>
      <c r="B2404" t="s">
        <v>7276</v>
      </c>
      <c r="C2404" t="s">
        <v>7274</v>
      </c>
    </row>
    <row r="2405" spans="1:3" x14ac:dyDescent="0.25">
      <c r="A2405" t="s">
        <v>7278</v>
      </c>
      <c r="B2405" t="s">
        <v>7279</v>
      </c>
      <c r="C2405" t="s">
        <v>7277</v>
      </c>
    </row>
    <row r="2406" spans="1:3" x14ac:dyDescent="0.25">
      <c r="A2406" t="s">
        <v>7281</v>
      </c>
      <c r="B2406" t="s">
        <v>7282</v>
      </c>
      <c r="C2406" t="s">
        <v>7280</v>
      </c>
    </row>
    <row r="2407" spans="1:3" x14ac:dyDescent="0.25">
      <c r="A2407" t="s">
        <v>7284</v>
      </c>
      <c r="B2407" t="s">
        <v>7285</v>
      </c>
      <c r="C2407" t="s">
        <v>7283</v>
      </c>
    </row>
    <row r="2408" spans="1:3" x14ac:dyDescent="0.25">
      <c r="A2408" t="s">
        <v>7287</v>
      </c>
      <c r="B2408" t="s">
        <v>7288</v>
      </c>
      <c r="C2408" t="s">
        <v>7286</v>
      </c>
    </row>
    <row r="2409" spans="1:3" x14ac:dyDescent="0.25">
      <c r="A2409" t="s">
        <v>7290</v>
      </c>
      <c r="B2409" t="s">
        <v>7291</v>
      </c>
      <c r="C2409" t="s">
        <v>7289</v>
      </c>
    </row>
    <row r="2410" spans="1:3" x14ac:dyDescent="0.25">
      <c r="A2410" t="s">
        <v>7293</v>
      </c>
      <c r="B2410" t="s">
        <v>7294</v>
      </c>
      <c r="C2410" t="s">
        <v>7292</v>
      </c>
    </row>
    <row r="2411" spans="1:3" x14ac:dyDescent="0.25">
      <c r="A2411" t="s">
        <v>7296</v>
      </c>
      <c r="B2411" t="s">
        <v>7297</v>
      </c>
      <c r="C2411" t="s">
        <v>7295</v>
      </c>
    </row>
    <row r="2412" spans="1:3" x14ac:dyDescent="0.25">
      <c r="A2412" t="s">
        <v>7299</v>
      </c>
      <c r="B2412" t="s">
        <v>7300</v>
      </c>
      <c r="C2412" t="s">
        <v>7298</v>
      </c>
    </row>
    <row r="2413" spans="1:3" x14ac:dyDescent="0.25">
      <c r="A2413" t="s">
        <v>7302</v>
      </c>
      <c r="B2413" t="s">
        <v>7303</v>
      </c>
      <c r="C2413" t="s">
        <v>7301</v>
      </c>
    </row>
    <row r="2414" spans="1:3" x14ac:dyDescent="0.25">
      <c r="A2414" t="s">
        <v>7305</v>
      </c>
      <c r="B2414" t="s">
        <v>7306</v>
      </c>
      <c r="C2414" t="s">
        <v>7304</v>
      </c>
    </row>
    <row r="2415" spans="1:3" x14ac:dyDescent="0.25">
      <c r="A2415" t="s">
        <v>7308</v>
      </c>
      <c r="B2415" t="s">
        <v>7309</v>
      </c>
      <c r="C2415" t="s">
        <v>7307</v>
      </c>
    </row>
    <row r="2416" spans="1:3" x14ac:dyDescent="0.25">
      <c r="A2416" t="s">
        <v>7311</v>
      </c>
      <c r="B2416" t="s">
        <v>7312</v>
      </c>
      <c r="C2416" t="s">
        <v>7310</v>
      </c>
    </row>
    <row r="2417" spans="1:3" x14ac:dyDescent="0.25">
      <c r="A2417" t="s">
        <v>7314</v>
      </c>
      <c r="B2417" t="s">
        <v>7315</v>
      </c>
      <c r="C2417" t="s">
        <v>7313</v>
      </c>
    </row>
    <row r="2418" spans="1:3" x14ac:dyDescent="0.25">
      <c r="A2418" t="s">
        <v>7316</v>
      </c>
      <c r="B2418" t="s">
        <v>7317</v>
      </c>
      <c r="C2418" t="s">
        <v>1396</v>
      </c>
    </row>
    <row r="2419" spans="1:3" x14ac:dyDescent="0.25">
      <c r="A2419" t="s">
        <v>7319</v>
      </c>
      <c r="B2419" t="s">
        <v>7320</v>
      </c>
      <c r="C2419" t="s">
        <v>7318</v>
      </c>
    </row>
    <row r="2420" spans="1:3" x14ac:dyDescent="0.25">
      <c r="A2420" t="s">
        <v>7322</v>
      </c>
      <c r="B2420" t="s">
        <v>7323</v>
      </c>
      <c r="C2420" t="s">
        <v>7321</v>
      </c>
    </row>
    <row r="2421" spans="1:3" x14ac:dyDescent="0.25">
      <c r="A2421" t="s">
        <v>7324</v>
      </c>
      <c r="B2421" t="s">
        <v>7325</v>
      </c>
      <c r="C2421" t="s">
        <v>1170</v>
      </c>
    </row>
    <row r="2422" spans="1:3" x14ac:dyDescent="0.25">
      <c r="A2422" t="s">
        <v>7327</v>
      </c>
      <c r="B2422" t="s">
        <v>7328</v>
      </c>
      <c r="C2422" t="s">
        <v>7326</v>
      </c>
    </row>
    <row r="2423" spans="1:3" x14ac:dyDescent="0.25">
      <c r="A2423" t="s">
        <v>7330</v>
      </c>
      <c r="B2423" t="s">
        <v>7328</v>
      </c>
      <c r="C2423" t="s">
        <v>7329</v>
      </c>
    </row>
    <row r="2424" spans="1:3" x14ac:dyDescent="0.25">
      <c r="A2424" t="s">
        <v>7332</v>
      </c>
      <c r="B2424" t="s">
        <v>7333</v>
      </c>
      <c r="C2424" t="s">
        <v>7331</v>
      </c>
    </row>
    <row r="2425" spans="1:3" x14ac:dyDescent="0.25">
      <c r="A2425" t="s">
        <v>7335</v>
      </c>
      <c r="B2425" t="s">
        <v>7333</v>
      </c>
      <c r="C2425" t="s">
        <v>7334</v>
      </c>
    </row>
    <row r="2426" spans="1:3" x14ac:dyDescent="0.25">
      <c r="A2426" t="s">
        <v>7337</v>
      </c>
      <c r="B2426" t="s">
        <v>7333</v>
      </c>
      <c r="C2426" t="s">
        <v>7336</v>
      </c>
    </row>
    <row r="2427" spans="1:3" x14ac:dyDescent="0.25">
      <c r="A2427" t="s">
        <v>7339</v>
      </c>
      <c r="B2427" t="s">
        <v>7328</v>
      </c>
      <c r="C2427" t="s">
        <v>7338</v>
      </c>
    </row>
    <row r="2428" spans="1:3" x14ac:dyDescent="0.25">
      <c r="A2428" t="s">
        <v>7341</v>
      </c>
      <c r="B2428" t="s">
        <v>7328</v>
      </c>
      <c r="C2428" t="s">
        <v>7340</v>
      </c>
    </row>
    <row r="2429" spans="1:3" x14ac:dyDescent="0.25">
      <c r="A2429" t="s">
        <v>7343</v>
      </c>
      <c r="B2429" t="s">
        <v>7328</v>
      </c>
      <c r="C2429" t="s">
        <v>7342</v>
      </c>
    </row>
    <row r="2430" spans="1:3" x14ac:dyDescent="0.25">
      <c r="A2430" t="s">
        <v>7345</v>
      </c>
      <c r="B2430" t="s">
        <v>7328</v>
      </c>
      <c r="C2430" t="s">
        <v>7344</v>
      </c>
    </row>
    <row r="2431" spans="1:3" x14ac:dyDescent="0.25">
      <c r="A2431" t="s">
        <v>7347</v>
      </c>
      <c r="B2431" t="s">
        <v>7348</v>
      </c>
      <c r="C2431" t="s">
        <v>7346</v>
      </c>
    </row>
    <row r="2432" spans="1:3" x14ac:dyDescent="0.25">
      <c r="A2432" t="s">
        <v>7350</v>
      </c>
      <c r="B2432" t="s">
        <v>7351</v>
      </c>
      <c r="C2432" t="s">
        <v>7349</v>
      </c>
    </row>
    <row r="2433" spans="1:3" x14ac:dyDescent="0.25">
      <c r="A2433" t="s">
        <v>7353</v>
      </c>
      <c r="B2433" t="s">
        <v>7328</v>
      </c>
      <c r="C2433" t="s">
        <v>7352</v>
      </c>
    </row>
    <row r="2434" spans="1:3" x14ac:dyDescent="0.25">
      <c r="A2434" t="s">
        <v>7355</v>
      </c>
      <c r="B2434" t="s">
        <v>7328</v>
      </c>
      <c r="C2434" t="s">
        <v>7354</v>
      </c>
    </row>
    <row r="2435" spans="1:3" x14ac:dyDescent="0.25">
      <c r="A2435" t="s">
        <v>7357</v>
      </c>
      <c r="B2435" t="s">
        <v>7328</v>
      </c>
      <c r="C2435" t="s">
        <v>7356</v>
      </c>
    </row>
    <row r="2436" spans="1:3" x14ac:dyDescent="0.25">
      <c r="A2436" t="s">
        <v>7359</v>
      </c>
      <c r="B2436" t="s">
        <v>7328</v>
      </c>
      <c r="C2436" t="s">
        <v>7358</v>
      </c>
    </row>
    <row r="2437" spans="1:3" x14ac:dyDescent="0.25">
      <c r="A2437" t="s">
        <v>7361</v>
      </c>
      <c r="B2437" t="s">
        <v>7328</v>
      </c>
      <c r="C2437" t="s">
        <v>7360</v>
      </c>
    </row>
    <row r="2438" spans="1:3" x14ac:dyDescent="0.25">
      <c r="A2438" t="s">
        <v>7363</v>
      </c>
      <c r="B2438" t="s">
        <v>7364</v>
      </c>
      <c r="C2438" t="s">
        <v>7362</v>
      </c>
    </row>
    <row r="2439" spans="1:3" x14ac:dyDescent="0.25">
      <c r="A2439" t="s">
        <v>7366</v>
      </c>
      <c r="B2439" t="s">
        <v>7367</v>
      </c>
      <c r="C2439" t="s">
        <v>7365</v>
      </c>
    </row>
    <row r="2440" spans="1:3" x14ac:dyDescent="0.25">
      <c r="A2440" t="s">
        <v>7369</v>
      </c>
      <c r="B2440" t="s">
        <v>7328</v>
      </c>
      <c r="C2440" t="s">
        <v>7368</v>
      </c>
    </row>
    <row r="2441" spans="1:3" x14ac:dyDescent="0.25">
      <c r="A2441" t="s">
        <v>7371</v>
      </c>
      <c r="B2441" t="s">
        <v>7372</v>
      </c>
      <c r="C2441" t="s">
        <v>7370</v>
      </c>
    </row>
    <row r="2442" spans="1:3" x14ac:dyDescent="0.25">
      <c r="A2442" t="s">
        <v>7374</v>
      </c>
      <c r="B2442" t="s">
        <v>7375</v>
      </c>
      <c r="C2442" t="s">
        <v>7373</v>
      </c>
    </row>
    <row r="2443" spans="1:3" x14ac:dyDescent="0.25">
      <c r="A2443" t="s">
        <v>7377</v>
      </c>
      <c r="B2443" t="s">
        <v>7328</v>
      </c>
      <c r="C2443" t="s">
        <v>7376</v>
      </c>
    </row>
    <row r="2444" spans="1:3" x14ac:dyDescent="0.25">
      <c r="A2444" t="s">
        <v>7379</v>
      </c>
      <c r="B2444" t="s">
        <v>7328</v>
      </c>
      <c r="C2444" t="s">
        <v>7378</v>
      </c>
    </row>
    <row r="2445" spans="1:3" x14ac:dyDescent="0.25">
      <c r="A2445" t="s">
        <v>7381</v>
      </c>
      <c r="B2445" t="s">
        <v>7328</v>
      </c>
      <c r="C2445" t="s">
        <v>7380</v>
      </c>
    </row>
    <row r="2446" spans="1:3" x14ac:dyDescent="0.25">
      <c r="A2446" t="s">
        <v>7383</v>
      </c>
      <c r="B2446" t="s">
        <v>7328</v>
      </c>
      <c r="C2446" t="s">
        <v>7382</v>
      </c>
    </row>
    <row r="2447" spans="1:3" x14ac:dyDescent="0.25">
      <c r="A2447" t="s">
        <v>7385</v>
      </c>
      <c r="B2447" t="s">
        <v>7328</v>
      </c>
      <c r="C2447" t="s">
        <v>7384</v>
      </c>
    </row>
    <row r="2448" spans="1:3" x14ac:dyDescent="0.25">
      <c r="A2448" t="s">
        <v>7387</v>
      </c>
      <c r="B2448" t="s">
        <v>7388</v>
      </c>
      <c r="C2448" t="s">
        <v>7386</v>
      </c>
    </row>
    <row r="2449" spans="1:3" x14ac:dyDescent="0.25">
      <c r="A2449" t="s">
        <v>7390</v>
      </c>
      <c r="B2449" t="s">
        <v>7391</v>
      </c>
      <c r="C2449" t="s">
        <v>7389</v>
      </c>
    </row>
    <row r="2450" spans="1:3" x14ac:dyDescent="0.25">
      <c r="A2450" t="s">
        <v>7393</v>
      </c>
      <c r="B2450" t="s">
        <v>7394</v>
      </c>
      <c r="C2450" t="s">
        <v>7392</v>
      </c>
    </row>
    <row r="2451" spans="1:3" x14ac:dyDescent="0.25">
      <c r="A2451" t="s">
        <v>7396</v>
      </c>
      <c r="B2451" t="s">
        <v>7397</v>
      </c>
      <c r="C2451" t="s">
        <v>7395</v>
      </c>
    </row>
    <row r="2452" spans="1:3" x14ac:dyDescent="0.25">
      <c r="A2452" t="s">
        <v>7399</v>
      </c>
      <c r="B2452" t="s">
        <v>7394</v>
      </c>
      <c r="C2452" t="s">
        <v>7398</v>
      </c>
    </row>
    <row r="2453" spans="1:3" x14ac:dyDescent="0.25">
      <c r="A2453" t="s">
        <v>7401</v>
      </c>
      <c r="B2453" t="s">
        <v>7402</v>
      </c>
      <c r="C2453" t="s">
        <v>7400</v>
      </c>
    </row>
    <row r="2454" spans="1:3" x14ac:dyDescent="0.25">
      <c r="A2454" t="s">
        <v>7404</v>
      </c>
      <c r="B2454" t="s">
        <v>7405</v>
      </c>
      <c r="C2454" t="s">
        <v>7403</v>
      </c>
    </row>
    <row r="2455" spans="1:3" x14ac:dyDescent="0.25">
      <c r="A2455" t="s">
        <v>7407</v>
      </c>
      <c r="B2455" t="s">
        <v>7408</v>
      </c>
      <c r="C2455" t="s">
        <v>7406</v>
      </c>
    </row>
    <row r="2456" spans="1:3" x14ac:dyDescent="0.25">
      <c r="A2456" t="s">
        <v>7410</v>
      </c>
      <c r="B2456" t="s">
        <v>7411</v>
      </c>
      <c r="C2456" t="s">
        <v>7409</v>
      </c>
    </row>
    <row r="2457" spans="1:3" x14ac:dyDescent="0.25">
      <c r="A2457" t="s">
        <v>7413</v>
      </c>
      <c r="B2457" t="s">
        <v>7414</v>
      </c>
      <c r="C2457" t="s">
        <v>7412</v>
      </c>
    </row>
    <row r="2458" spans="1:3" x14ac:dyDescent="0.25">
      <c r="A2458" t="s">
        <v>7416</v>
      </c>
      <c r="B2458" t="s">
        <v>7417</v>
      </c>
      <c r="C2458" t="s">
        <v>7415</v>
      </c>
    </row>
    <row r="2459" spans="1:3" x14ac:dyDescent="0.25">
      <c r="A2459" t="s">
        <v>7419</v>
      </c>
      <c r="B2459" t="s">
        <v>7420</v>
      </c>
      <c r="C2459" t="s">
        <v>7418</v>
      </c>
    </row>
    <row r="2460" spans="1:3" x14ac:dyDescent="0.25">
      <c r="A2460" t="s">
        <v>7422</v>
      </c>
      <c r="B2460" t="s">
        <v>7423</v>
      </c>
      <c r="C2460" t="s">
        <v>7421</v>
      </c>
    </row>
    <row r="2461" spans="1:3" x14ac:dyDescent="0.25">
      <c r="A2461" t="s">
        <v>7425</v>
      </c>
      <c r="B2461" t="s">
        <v>7426</v>
      </c>
      <c r="C2461" t="s">
        <v>7424</v>
      </c>
    </row>
    <row r="2462" spans="1:3" x14ac:dyDescent="0.25">
      <c r="A2462" t="s">
        <v>7428</v>
      </c>
      <c r="B2462" t="s">
        <v>7429</v>
      </c>
      <c r="C2462" t="s">
        <v>7427</v>
      </c>
    </row>
    <row r="2463" spans="1:3" x14ac:dyDescent="0.25">
      <c r="A2463" t="s">
        <v>7431</v>
      </c>
      <c r="B2463" t="s">
        <v>7432</v>
      </c>
      <c r="C2463" t="s">
        <v>7430</v>
      </c>
    </row>
    <row r="2464" spans="1:3" x14ac:dyDescent="0.25">
      <c r="A2464" t="s">
        <v>7434</v>
      </c>
      <c r="B2464" t="s">
        <v>7435</v>
      </c>
      <c r="C2464" t="s">
        <v>7433</v>
      </c>
    </row>
    <row r="2465" spans="1:3" x14ac:dyDescent="0.25">
      <c r="A2465" t="s">
        <v>7437</v>
      </c>
      <c r="B2465" t="s">
        <v>7438</v>
      </c>
      <c r="C2465" t="s">
        <v>7436</v>
      </c>
    </row>
    <row r="2466" spans="1:3" x14ac:dyDescent="0.25">
      <c r="A2466" t="s">
        <v>7440</v>
      </c>
      <c r="B2466" t="s">
        <v>7441</v>
      </c>
      <c r="C2466" t="s">
        <v>7439</v>
      </c>
    </row>
    <row r="2467" spans="1:3" x14ac:dyDescent="0.25">
      <c r="A2467" t="s">
        <v>7443</v>
      </c>
      <c r="B2467" t="s">
        <v>7444</v>
      </c>
      <c r="C2467" t="s">
        <v>7442</v>
      </c>
    </row>
    <row r="2468" spans="1:3" x14ac:dyDescent="0.25">
      <c r="A2468" t="s">
        <v>7446</v>
      </c>
      <c r="B2468" t="s">
        <v>7447</v>
      </c>
      <c r="C2468" t="s">
        <v>7445</v>
      </c>
    </row>
    <row r="2469" spans="1:3" x14ac:dyDescent="0.25">
      <c r="A2469" t="s">
        <v>7449</v>
      </c>
      <c r="B2469" t="s">
        <v>7450</v>
      </c>
      <c r="C2469" t="s">
        <v>7448</v>
      </c>
    </row>
    <row r="2470" spans="1:3" x14ac:dyDescent="0.25">
      <c r="A2470" t="s">
        <v>7452</v>
      </c>
      <c r="B2470" t="s">
        <v>7453</v>
      </c>
      <c r="C2470" t="s">
        <v>7451</v>
      </c>
    </row>
    <row r="2471" spans="1:3" x14ac:dyDescent="0.25">
      <c r="A2471" t="s">
        <v>7455</v>
      </c>
      <c r="B2471" t="s">
        <v>7429</v>
      </c>
      <c r="C2471" t="s">
        <v>7454</v>
      </c>
    </row>
    <row r="2472" spans="1:3" x14ac:dyDescent="0.25">
      <c r="A2472" t="s">
        <v>7457</v>
      </c>
      <c r="B2472" t="s">
        <v>7423</v>
      </c>
      <c r="C2472" t="s">
        <v>7456</v>
      </c>
    </row>
    <row r="2473" spans="1:3" x14ac:dyDescent="0.25">
      <c r="A2473" t="s">
        <v>7459</v>
      </c>
      <c r="B2473" t="s">
        <v>7460</v>
      </c>
      <c r="C2473" t="s">
        <v>7458</v>
      </c>
    </row>
    <row r="2474" spans="1:3" x14ac:dyDescent="0.25">
      <c r="A2474" t="s">
        <v>7462</v>
      </c>
      <c r="B2474" t="s">
        <v>7463</v>
      </c>
      <c r="C2474" t="s">
        <v>7461</v>
      </c>
    </row>
    <row r="2475" spans="1:3" x14ac:dyDescent="0.25">
      <c r="A2475" t="s">
        <v>7465</v>
      </c>
      <c r="B2475" t="s">
        <v>7466</v>
      </c>
      <c r="C2475" t="s">
        <v>7464</v>
      </c>
    </row>
    <row r="2476" spans="1:3" x14ac:dyDescent="0.25">
      <c r="A2476" t="s">
        <v>7468</v>
      </c>
      <c r="B2476" t="s">
        <v>7469</v>
      </c>
      <c r="C2476" t="s">
        <v>7467</v>
      </c>
    </row>
    <row r="2477" spans="1:3" x14ac:dyDescent="0.25">
      <c r="A2477" t="s">
        <v>7471</v>
      </c>
      <c r="B2477" t="s">
        <v>7472</v>
      </c>
      <c r="C2477" t="s">
        <v>7470</v>
      </c>
    </row>
    <row r="2478" spans="1:3" x14ac:dyDescent="0.25">
      <c r="A2478" t="s">
        <v>7474</v>
      </c>
      <c r="B2478" t="s">
        <v>7475</v>
      </c>
      <c r="C2478" t="s">
        <v>7473</v>
      </c>
    </row>
    <row r="2479" spans="1:3" x14ac:dyDescent="0.25">
      <c r="A2479" t="s">
        <v>7477</v>
      </c>
      <c r="B2479" t="s">
        <v>7478</v>
      </c>
      <c r="C2479" t="s">
        <v>7476</v>
      </c>
    </row>
    <row r="2480" spans="1:3" x14ac:dyDescent="0.25">
      <c r="A2480" t="s">
        <v>7480</v>
      </c>
      <c r="B2480" t="s">
        <v>7481</v>
      </c>
      <c r="C2480" t="s">
        <v>7479</v>
      </c>
    </row>
    <row r="2481" spans="1:3" x14ac:dyDescent="0.25">
      <c r="A2481" t="s">
        <v>7483</v>
      </c>
      <c r="B2481" t="s">
        <v>7484</v>
      </c>
      <c r="C2481" t="s">
        <v>7482</v>
      </c>
    </row>
    <row r="2482" spans="1:3" x14ac:dyDescent="0.25">
      <c r="A2482" t="s">
        <v>7486</v>
      </c>
      <c r="B2482" t="s">
        <v>7487</v>
      </c>
      <c r="C2482" t="s">
        <v>7485</v>
      </c>
    </row>
    <row r="2483" spans="1:3" x14ac:dyDescent="0.25">
      <c r="A2483" t="s">
        <v>7489</v>
      </c>
      <c r="B2483" t="s">
        <v>7490</v>
      </c>
      <c r="C2483" t="s">
        <v>7488</v>
      </c>
    </row>
    <row r="2484" spans="1:3" x14ac:dyDescent="0.25">
      <c r="A2484" t="s">
        <v>7492</v>
      </c>
      <c r="B2484" t="s">
        <v>7493</v>
      </c>
      <c r="C2484" t="s">
        <v>7491</v>
      </c>
    </row>
    <row r="2485" spans="1:3" x14ac:dyDescent="0.25">
      <c r="A2485" t="s">
        <v>7495</v>
      </c>
      <c r="B2485" t="s">
        <v>7496</v>
      </c>
      <c r="C2485" t="s">
        <v>7494</v>
      </c>
    </row>
    <row r="2486" spans="1:3" x14ac:dyDescent="0.25">
      <c r="A2486" t="s">
        <v>7498</v>
      </c>
      <c r="B2486" t="s">
        <v>7499</v>
      </c>
      <c r="C2486" t="s">
        <v>7497</v>
      </c>
    </row>
    <row r="2487" spans="1:3" x14ac:dyDescent="0.25">
      <c r="A2487" t="s">
        <v>7501</v>
      </c>
      <c r="B2487" t="s">
        <v>7502</v>
      </c>
      <c r="C2487" t="s">
        <v>7500</v>
      </c>
    </row>
    <row r="2488" spans="1:3" x14ac:dyDescent="0.25">
      <c r="A2488" t="s">
        <v>7504</v>
      </c>
      <c r="B2488" t="s">
        <v>7505</v>
      </c>
      <c r="C2488" t="s">
        <v>7503</v>
      </c>
    </row>
    <row r="2489" spans="1:3" x14ac:dyDescent="0.25">
      <c r="A2489" t="s">
        <v>7507</v>
      </c>
      <c r="B2489" t="s">
        <v>7508</v>
      </c>
      <c r="C2489" t="s">
        <v>7506</v>
      </c>
    </row>
    <row r="2490" spans="1:3" x14ac:dyDescent="0.25">
      <c r="A2490" t="s">
        <v>7510</v>
      </c>
      <c r="B2490" t="s">
        <v>7511</v>
      </c>
      <c r="C2490" t="s">
        <v>7509</v>
      </c>
    </row>
    <row r="2491" spans="1:3" x14ac:dyDescent="0.25">
      <c r="A2491" t="s">
        <v>7513</v>
      </c>
      <c r="B2491" t="s">
        <v>7514</v>
      </c>
      <c r="C2491" t="s">
        <v>7512</v>
      </c>
    </row>
    <row r="2492" spans="1:3" x14ac:dyDescent="0.25">
      <c r="A2492" t="s">
        <v>7516</v>
      </c>
      <c r="B2492" t="s">
        <v>7517</v>
      </c>
      <c r="C2492" t="s">
        <v>7515</v>
      </c>
    </row>
    <row r="2493" spans="1:3" x14ac:dyDescent="0.25">
      <c r="A2493" t="s">
        <v>7519</v>
      </c>
      <c r="B2493" t="s">
        <v>7520</v>
      </c>
      <c r="C2493" t="s">
        <v>7518</v>
      </c>
    </row>
    <row r="2494" spans="1:3" x14ac:dyDescent="0.25">
      <c r="A2494" t="s">
        <v>7522</v>
      </c>
      <c r="B2494" t="s">
        <v>7523</v>
      </c>
      <c r="C2494" t="s">
        <v>7521</v>
      </c>
    </row>
    <row r="2495" spans="1:3" x14ac:dyDescent="0.25">
      <c r="A2495" t="s">
        <v>7525</v>
      </c>
      <c r="B2495" t="s">
        <v>7526</v>
      </c>
      <c r="C2495" t="s">
        <v>7524</v>
      </c>
    </row>
    <row r="2496" spans="1:3" x14ac:dyDescent="0.25">
      <c r="A2496" t="s">
        <v>7528</v>
      </c>
      <c r="B2496" t="s">
        <v>7529</v>
      </c>
      <c r="C2496" t="s">
        <v>7527</v>
      </c>
    </row>
    <row r="2497" spans="1:3" x14ac:dyDescent="0.25">
      <c r="A2497" t="s">
        <v>7531</v>
      </c>
      <c r="B2497" t="s">
        <v>7532</v>
      </c>
      <c r="C2497" t="s">
        <v>7530</v>
      </c>
    </row>
    <row r="2498" spans="1:3" x14ac:dyDescent="0.25">
      <c r="A2498" t="s">
        <v>7534</v>
      </c>
      <c r="B2498" t="s">
        <v>7535</v>
      </c>
      <c r="C2498" t="s">
        <v>7533</v>
      </c>
    </row>
    <row r="2499" spans="1:3" x14ac:dyDescent="0.25">
      <c r="A2499" t="s">
        <v>7537</v>
      </c>
      <c r="B2499" t="s">
        <v>7538</v>
      </c>
      <c r="C2499" t="s">
        <v>7536</v>
      </c>
    </row>
    <row r="2500" spans="1:3" x14ac:dyDescent="0.25">
      <c r="A2500" t="s">
        <v>7540</v>
      </c>
      <c r="B2500" t="s">
        <v>7541</v>
      </c>
      <c r="C2500" t="s">
        <v>7539</v>
      </c>
    </row>
    <row r="2501" spans="1:3" x14ac:dyDescent="0.25">
      <c r="A2501" t="s">
        <v>7543</v>
      </c>
      <c r="B2501" t="s">
        <v>7544</v>
      </c>
      <c r="C2501" t="s">
        <v>7542</v>
      </c>
    </row>
    <row r="2502" spans="1:3" x14ac:dyDescent="0.25">
      <c r="A2502" t="s">
        <v>7546</v>
      </c>
      <c r="B2502" t="s">
        <v>7547</v>
      </c>
      <c r="C2502" t="s">
        <v>7545</v>
      </c>
    </row>
    <row r="2503" spans="1:3" x14ac:dyDescent="0.25">
      <c r="A2503" t="s">
        <v>7549</v>
      </c>
      <c r="B2503" t="s">
        <v>7550</v>
      </c>
      <c r="C2503" t="s">
        <v>7548</v>
      </c>
    </row>
    <row r="2504" spans="1:3" x14ac:dyDescent="0.25">
      <c r="A2504" t="s">
        <v>7552</v>
      </c>
      <c r="B2504" t="s">
        <v>7553</v>
      </c>
      <c r="C2504" t="s">
        <v>7551</v>
      </c>
    </row>
    <row r="2505" spans="1:3" x14ac:dyDescent="0.25">
      <c r="A2505" t="s">
        <v>7555</v>
      </c>
      <c r="B2505" t="s">
        <v>7556</v>
      </c>
      <c r="C2505" t="s">
        <v>7554</v>
      </c>
    </row>
    <row r="2506" spans="1:3" x14ac:dyDescent="0.25">
      <c r="A2506" t="s">
        <v>7558</v>
      </c>
      <c r="B2506" t="s">
        <v>7559</v>
      </c>
      <c r="C2506" t="s">
        <v>7557</v>
      </c>
    </row>
    <row r="2507" spans="1:3" x14ac:dyDescent="0.25">
      <c r="A2507" t="s">
        <v>7561</v>
      </c>
      <c r="B2507" t="s">
        <v>7562</v>
      </c>
      <c r="C2507" t="s">
        <v>7560</v>
      </c>
    </row>
    <row r="2508" spans="1:3" x14ac:dyDescent="0.25">
      <c r="A2508" t="s">
        <v>7564</v>
      </c>
      <c r="B2508" t="s">
        <v>7565</v>
      </c>
      <c r="C2508" t="s">
        <v>7563</v>
      </c>
    </row>
    <row r="2509" spans="1:3" x14ac:dyDescent="0.25">
      <c r="A2509" t="s">
        <v>7567</v>
      </c>
      <c r="B2509" t="s">
        <v>7568</v>
      </c>
      <c r="C2509" t="s">
        <v>7566</v>
      </c>
    </row>
    <row r="2510" spans="1:3" x14ac:dyDescent="0.25">
      <c r="A2510" t="s">
        <v>7570</v>
      </c>
      <c r="B2510" t="s">
        <v>7571</v>
      </c>
      <c r="C2510" t="s">
        <v>7569</v>
      </c>
    </row>
    <row r="2511" spans="1:3" x14ac:dyDescent="0.25">
      <c r="A2511" t="s">
        <v>7573</v>
      </c>
      <c r="B2511" t="s">
        <v>7574</v>
      </c>
      <c r="C2511" t="s">
        <v>7572</v>
      </c>
    </row>
    <row r="2512" spans="1:3" x14ac:dyDescent="0.25">
      <c r="A2512" t="s">
        <v>7576</v>
      </c>
      <c r="B2512" t="s">
        <v>7577</v>
      </c>
      <c r="C2512" t="s">
        <v>7575</v>
      </c>
    </row>
    <row r="2513" spans="1:3" x14ac:dyDescent="0.25">
      <c r="A2513" t="s">
        <v>7579</v>
      </c>
      <c r="B2513" t="s">
        <v>7580</v>
      </c>
      <c r="C2513" t="s">
        <v>7578</v>
      </c>
    </row>
    <row r="2514" spans="1:3" x14ac:dyDescent="0.25">
      <c r="A2514" t="s">
        <v>7582</v>
      </c>
      <c r="B2514" t="s">
        <v>7583</v>
      </c>
      <c r="C2514" t="s">
        <v>7581</v>
      </c>
    </row>
    <row r="2515" spans="1:3" x14ac:dyDescent="0.25">
      <c r="A2515" t="s">
        <v>7585</v>
      </c>
      <c r="B2515" t="s">
        <v>7586</v>
      </c>
      <c r="C2515" t="s">
        <v>7584</v>
      </c>
    </row>
    <row r="2516" spans="1:3" x14ac:dyDescent="0.25">
      <c r="A2516" t="s">
        <v>7588</v>
      </c>
      <c r="B2516" t="s">
        <v>7589</v>
      </c>
      <c r="C2516" t="s">
        <v>7587</v>
      </c>
    </row>
    <row r="2517" spans="1:3" x14ac:dyDescent="0.25">
      <c r="A2517" t="s">
        <v>7591</v>
      </c>
      <c r="B2517" t="s">
        <v>7592</v>
      </c>
      <c r="C2517" t="s">
        <v>7590</v>
      </c>
    </row>
    <row r="2518" spans="1:3" x14ac:dyDescent="0.25">
      <c r="A2518" t="s">
        <v>7594</v>
      </c>
      <c r="B2518" t="s">
        <v>7595</v>
      </c>
      <c r="C2518" t="s">
        <v>7593</v>
      </c>
    </row>
    <row r="2519" spans="1:3" x14ac:dyDescent="0.25">
      <c r="A2519" t="s">
        <v>7597</v>
      </c>
      <c r="B2519" t="s">
        <v>7598</v>
      </c>
      <c r="C2519" t="s">
        <v>7596</v>
      </c>
    </row>
    <row r="2520" spans="1:3" x14ac:dyDescent="0.25">
      <c r="A2520" t="s">
        <v>7600</v>
      </c>
      <c r="B2520" t="s">
        <v>7601</v>
      </c>
      <c r="C2520" t="s">
        <v>7599</v>
      </c>
    </row>
    <row r="2521" spans="1:3" x14ac:dyDescent="0.25">
      <c r="A2521" t="s">
        <v>7603</v>
      </c>
      <c r="B2521" t="s">
        <v>7604</v>
      </c>
      <c r="C2521" t="s">
        <v>7602</v>
      </c>
    </row>
    <row r="2522" spans="1:3" x14ac:dyDescent="0.25">
      <c r="A2522" t="s">
        <v>7606</v>
      </c>
      <c r="B2522" t="s">
        <v>7607</v>
      </c>
      <c r="C2522" t="s">
        <v>7605</v>
      </c>
    </row>
    <row r="2523" spans="1:3" x14ac:dyDescent="0.25">
      <c r="A2523" t="s">
        <v>7609</v>
      </c>
      <c r="B2523" t="s">
        <v>7610</v>
      </c>
      <c r="C2523" t="s">
        <v>7608</v>
      </c>
    </row>
    <row r="2524" spans="1:3" x14ac:dyDescent="0.25">
      <c r="A2524" t="s">
        <v>7612</v>
      </c>
      <c r="B2524" t="s">
        <v>7613</v>
      </c>
      <c r="C2524" t="s">
        <v>7611</v>
      </c>
    </row>
    <row r="2525" spans="1:3" x14ac:dyDescent="0.25">
      <c r="A2525" t="s">
        <v>7615</v>
      </c>
      <c r="B2525" t="s">
        <v>7616</v>
      </c>
      <c r="C2525" t="s">
        <v>7614</v>
      </c>
    </row>
    <row r="2526" spans="1:3" x14ac:dyDescent="0.25">
      <c r="A2526" t="s">
        <v>7618</v>
      </c>
      <c r="B2526" t="s">
        <v>7619</v>
      </c>
      <c r="C2526" t="s">
        <v>7617</v>
      </c>
    </row>
    <row r="2527" spans="1:3" x14ac:dyDescent="0.25">
      <c r="A2527" t="s">
        <v>7621</v>
      </c>
      <c r="B2527" t="s">
        <v>7622</v>
      </c>
      <c r="C2527" t="s">
        <v>7620</v>
      </c>
    </row>
    <row r="2528" spans="1:3" x14ac:dyDescent="0.25">
      <c r="A2528" t="s">
        <v>7624</v>
      </c>
      <c r="B2528" t="s">
        <v>7625</v>
      </c>
      <c r="C2528" t="s">
        <v>7623</v>
      </c>
    </row>
    <row r="2529" spans="1:3" x14ac:dyDescent="0.25">
      <c r="A2529" t="s">
        <v>7627</v>
      </c>
      <c r="B2529" t="s">
        <v>7628</v>
      </c>
      <c r="C2529" t="s">
        <v>7626</v>
      </c>
    </row>
    <row r="2530" spans="1:3" x14ac:dyDescent="0.25">
      <c r="A2530" t="s">
        <v>7630</v>
      </c>
      <c r="B2530" t="s">
        <v>7628</v>
      </c>
      <c r="C2530" t="s">
        <v>7629</v>
      </c>
    </row>
    <row r="2531" spans="1:3" x14ac:dyDescent="0.25">
      <c r="A2531" t="s">
        <v>7632</v>
      </c>
      <c r="B2531" t="s">
        <v>7633</v>
      </c>
      <c r="C2531" t="s">
        <v>7631</v>
      </c>
    </row>
    <row r="2532" spans="1:3" x14ac:dyDescent="0.25">
      <c r="A2532" t="s">
        <v>7635</v>
      </c>
      <c r="B2532" t="s">
        <v>7622</v>
      </c>
      <c r="C2532" t="s">
        <v>7634</v>
      </c>
    </row>
    <row r="2533" spans="1:3" x14ac:dyDescent="0.25">
      <c r="A2533" t="s">
        <v>7637</v>
      </c>
      <c r="B2533" t="s">
        <v>7628</v>
      </c>
      <c r="C2533" t="s">
        <v>7636</v>
      </c>
    </row>
    <row r="2534" spans="1:3" x14ac:dyDescent="0.25">
      <c r="A2534" t="s">
        <v>7639</v>
      </c>
      <c r="B2534" t="s">
        <v>7640</v>
      </c>
      <c r="C2534" t="s">
        <v>7638</v>
      </c>
    </row>
    <row r="2535" spans="1:3" x14ac:dyDescent="0.25">
      <c r="A2535" t="s">
        <v>7642</v>
      </c>
      <c r="B2535" t="s">
        <v>7643</v>
      </c>
      <c r="C2535" t="s">
        <v>7641</v>
      </c>
    </row>
    <row r="2536" spans="1:3" x14ac:dyDescent="0.25">
      <c r="A2536" t="s">
        <v>7645</v>
      </c>
      <c r="B2536" t="s">
        <v>7646</v>
      </c>
      <c r="C2536" t="s">
        <v>7644</v>
      </c>
    </row>
    <row r="2537" spans="1:3" x14ac:dyDescent="0.25">
      <c r="A2537" t="s">
        <v>7648</v>
      </c>
      <c r="B2537" t="s">
        <v>7649</v>
      </c>
      <c r="C2537" t="s">
        <v>7647</v>
      </c>
    </row>
    <row r="2538" spans="1:3" x14ac:dyDescent="0.25">
      <c r="A2538" t="s">
        <v>7651</v>
      </c>
      <c r="B2538" t="s">
        <v>7649</v>
      </c>
      <c r="C2538" t="s">
        <v>7650</v>
      </c>
    </row>
    <row r="2539" spans="1:3" x14ac:dyDescent="0.25">
      <c r="A2539" t="s">
        <v>7653</v>
      </c>
      <c r="B2539" t="s">
        <v>7654</v>
      </c>
      <c r="C2539" t="s">
        <v>7652</v>
      </c>
    </row>
    <row r="2540" spans="1:3" x14ac:dyDescent="0.25">
      <c r="A2540" t="s">
        <v>7656</v>
      </c>
      <c r="B2540" t="s">
        <v>7657</v>
      </c>
      <c r="C2540" t="s">
        <v>7655</v>
      </c>
    </row>
    <row r="2541" spans="1:3" x14ac:dyDescent="0.25">
      <c r="A2541" t="s">
        <v>7659</v>
      </c>
      <c r="B2541" t="s">
        <v>7660</v>
      </c>
      <c r="C2541" t="s">
        <v>7658</v>
      </c>
    </row>
    <row r="2542" spans="1:3" x14ac:dyDescent="0.25">
      <c r="A2542" t="s">
        <v>7662</v>
      </c>
      <c r="B2542" t="s">
        <v>7663</v>
      </c>
      <c r="C2542" t="s">
        <v>7661</v>
      </c>
    </row>
    <row r="2543" spans="1:3" x14ac:dyDescent="0.25">
      <c r="A2543" t="s">
        <v>7665</v>
      </c>
      <c r="B2543" t="s">
        <v>7657</v>
      </c>
      <c r="C2543" t="s">
        <v>7664</v>
      </c>
    </row>
    <row r="2544" spans="1:3" x14ac:dyDescent="0.25">
      <c r="A2544" t="s">
        <v>7667</v>
      </c>
      <c r="B2544" t="s">
        <v>7660</v>
      </c>
      <c r="C2544" t="s">
        <v>7666</v>
      </c>
    </row>
    <row r="2545" spans="1:3" x14ac:dyDescent="0.25">
      <c r="A2545" t="s">
        <v>7669</v>
      </c>
      <c r="B2545" t="s">
        <v>7670</v>
      </c>
      <c r="C2545" t="s">
        <v>7668</v>
      </c>
    </row>
    <row r="2546" spans="1:3" x14ac:dyDescent="0.25">
      <c r="A2546" t="s">
        <v>7672</v>
      </c>
      <c r="B2546" t="s">
        <v>7673</v>
      </c>
      <c r="C2546" t="s">
        <v>7671</v>
      </c>
    </row>
    <row r="2547" spans="1:3" x14ac:dyDescent="0.25">
      <c r="A2547" t="s">
        <v>7675</v>
      </c>
      <c r="B2547" t="s">
        <v>7676</v>
      </c>
      <c r="C2547" t="s">
        <v>7674</v>
      </c>
    </row>
    <row r="2548" spans="1:3" x14ac:dyDescent="0.25">
      <c r="A2548" t="s">
        <v>7678</v>
      </c>
      <c r="B2548" t="s">
        <v>7679</v>
      </c>
      <c r="C2548" t="s">
        <v>7677</v>
      </c>
    </row>
    <row r="2549" spans="1:3" x14ac:dyDescent="0.25">
      <c r="A2549" t="s">
        <v>7681</v>
      </c>
      <c r="B2549" t="s">
        <v>7679</v>
      </c>
      <c r="C2549" t="s">
        <v>7680</v>
      </c>
    </row>
    <row r="2550" spans="1:3" x14ac:dyDescent="0.25">
      <c r="A2550" t="s">
        <v>7683</v>
      </c>
      <c r="B2550" t="s">
        <v>7684</v>
      </c>
      <c r="C2550" t="s">
        <v>7682</v>
      </c>
    </row>
    <row r="2551" spans="1:3" x14ac:dyDescent="0.25">
      <c r="A2551" t="s">
        <v>7686</v>
      </c>
      <c r="B2551" t="s">
        <v>7673</v>
      </c>
      <c r="C2551" t="s">
        <v>7685</v>
      </c>
    </row>
    <row r="2552" spans="1:3" x14ac:dyDescent="0.25">
      <c r="A2552" t="s">
        <v>7688</v>
      </c>
      <c r="B2552" t="s">
        <v>7689</v>
      </c>
      <c r="C2552" t="s">
        <v>7687</v>
      </c>
    </row>
    <row r="2553" spans="1:3" x14ac:dyDescent="0.25">
      <c r="A2553" t="s">
        <v>7691</v>
      </c>
      <c r="B2553" t="s">
        <v>7692</v>
      </c>
      <c r="C2553" t="s">
        <v>7690</v>
      </c>
    </row>
    <row r="2554" spans="1:3" x14ac:dyDescent="0.25">
      <c r="A2554" t="s">
        <v>7694</v>
      </c>
      <c r="B2554" t="s">
        <v>7695</v>
      </c>
      <c r="C2554" t="s">
        <v>7693</v>
      </c>
    </row>
    <row r="2555" spans="1:3" x14ac:dyDescent="0.25">
      <c r="A2555" t="s">
        <v>7697</v>
      </c>
      <c r="B2555" t="s">
        <v>7689</v>
      </c>
      <c r="C2555" t="s">
        <v>7696</v>
      </c>
    </row>
    <row r="2556" spans="1:3" x14ac:dyDescent="0.25">
      <c r="A2556" t="s">
        <v>7699</v>
      </c>
      <c r="B2556" t="s">
        <v>7700</v>
      </c>
      <c r="C2556" t="s">
        <v>7698</v>
      </c>
    </row>
    <row r="2557" spans="1:3" x14ac:dyDescent="0.25">
      <c r="A2557" t="s">
        <v>7702</v>
      </c>
      <c r="B2557" t="s">
        <v>7703</v>
      </c>
      <c r="C2557" t="s">
        <v>7701</v>
      </c>
    </row>
    <row r="2558" spans="1:3" x14ac:dyDescent="0.25">
      <c r="A2558" t="s">
        <v>7705</v>
      </c>
      <c r="B2558" t="s">
        <v>7700</v>
      </c>
      <c r="C2558" t="s">
        <v>7704</v>
      </c>
    </row>
    <row r="2559" spans="1:3" x14ac:dyDescent="0.25">
      <c r="A2559" t="s">
        <v>7707</v>
      </c>
      <c r="B2559" t="s">
        <v>7708</v>
      </c>
      <c r="C2559" t="s">
        <v>7706</v>
      </c>
    </row>
    <row r="2560" spans="1:3" x14ac:dyDescent="0.25">
      <c r="A2560" t="s">
        <v>7710</v>
      </c>
      <c r="B2560" t="s">
        <v>7700</v>
      </c>
      <c r="C2560" t="s">
        <v>7709</v>
      </c>
    </row>
    <row r="2561" spans="1:3" x14ac:dyDescent="0.25">
      <c r="A2561" t="s">
        <v>7712</v>
      </c>
      <c r="B2561" t="s">
        <v>7713</v>
      </c>
      <c r="C2561" t="s">
        <v>7711</v>
      </c>
    </row>
    <row r="2562" spans="1:3" x14ac:dyDescent="0.25">
      <c r="A2562" t="s">
        <v>7715</v>
      </c>
      <c r="B2562" t="s">
        <v>7716</v>
      </c>
      <c r="C2562" t="s">
        <v>7714</v>
      </c>
    </row>
    <row r="2563" spans="1:3" x14ac:dyDescent="0.25">
      <c r="A2563" t="s">
        <v>7718</v>
      </c>
      <c r="B2563" t="s">
        <v>7719</v>
      </c>
      <c r="C2563" t="s">
        <v>7717</v>
      </c>
    </row>
    <row r="2564" spans="1:3" x14ac:dyDescent="0.25">
      <c r="A2564" t="s">
        <v>7721</v>
      </c>
      <c r="B2564" t="s">
        <v>7722</v>
      </c>
      <c r="C2564" t="s">
        <v>7720</v>
      </c>
    </row>
    <row r="2565" spans="1:3" x14ac:dyDescent="0.25">
      <c r="A2565" t="s">
        <v>7724</v>
      </c>
      <c r="B2565" t="s">
        <v>7719</v>
      </c>
      <c r="C2565" t="s">
        <v>7723</v>
      </c>
    </row>
    <row r="2566" spans="1:3" x14ac:dyDescent="0.25">
      <c r="A2566" t="s">
        <v>7726</v>
      </c>
      <c r="B2566" t="s">
        <v>7727</v>
      </c>
      <c r="C2566" t="s">
        <v>7725</v>
      </c>
    </row>
    <row r="2567" spans="1:3" x14ac:dyDescent="0.25">
      <c r="A2567" t="s">
        <v>7729</v>
      </c>
      <c r="B2567" t="s">
        <v>7730</v>
      </c>
      <c r="C2567" t="s">
        <v>7728</v>
      </c>
    </row>
    <row r="2568" spans="1:3" x14ac:dyDescent="0.25">
      <c r="A2568" t="s">
        <v>7732</v>
      </c>
      <c r="B2568" t="s">
        <v>609</v>
      </c>
      <c r="C2568" t="s">
        <v>7731</v>
      </c>
    </row>
    <row r="2569" spans="1:3" x14ac:dyDescent="0.25">
      <c r="A2569" t="s">
        <v>7734</v>
      </c>
      <c r="B2569" t="s">
        <v>7735</v>
      </c>
      <c r="C2569" t="s">
        <v>7733</v>
      </c>
    </row>
    <row r="2570" spans="1:3" x14ac:dyDescent="0.25">
      <c r="A2570" t="s">
        <v>7737</v>
      </c>
      <c r="B2570" t="s">
        <v>7738</v>
      </c>
      <c r="C2570" t="s">
        <v>7736</v>
      </c>
    </row>
    <row r="2571" spans="1:3" x14ac:dyDescent="0.25">
      <c r="A2571" t="s">
        <v>7740</v>
      </c>
      <c r="B2571" t="s">
        <v>7741</v>
      </c>
      <c r="C2571" t="s">
        <v>7739</v>
      </c>
    </row>
    <row r="2572" spans="1:3" x14ac:dyDescent="0.25">
      <c r="A2572" t="s">
        <v>7743</v>
      </c>
      <c r="B2572" t="s">
        <v>7744</v>
      </c>
      <c r="C2572" t="s">
        <v>7742</v>
      </c>
    </row>
    <row r="2573" spans="1:3" x14ac:dyDescent="0.25">
      <c r="A2573" t="s">
        <v>7746</v>
      </c>
      <c r="B2573" t="s">
        <v>7747</v>
      </c>
      <c r="C2573" t="s">
        <v>7745</v>
      </c>
    </row>
    <row r="2574" spans="1:3" x14ac:dyDescent="0.25">
      <c r="A2574" t="s">
        <v>7749</v>
      </c>
      <c r="B2574" t="s">
        <v>7750</v>
      </c>
      <c r="C2574" t="s">
        <v>7748</v>
      </c>
    </row>
    <row r="2575" spans="1:3" x14ac:dyDescent="0.25">
      <c r="A2575" t="s">
        <v>7752</v>
      </c>
      <c r="B2575" t="s">
        <v>7753</v>
      </c>
      <c r="C2575" t="s">
        <v>7751</v>
      </c>
    </row>
    <row r="2576" spans="1:3" x14ac:dyDescent="0.25">
      <c r="A2576" t="s">
        <v>7755</v>
      </c>
      <c r="B2576" t="s">
        <v>7756</v>
      </c>
      <c r="C2576" t="s">
        <v>7754</v>
      </c>
    </row>
    <row r="2577" spans="1:3" x14ac:dyDescent="0.25">
      <c r="A2577" t="s">
        <v>7758</v>
      </c>
      <c r="B2577" t="s">
        <v>7759</v>
      </c>
      <c r="C2577" t="s">
        <v>7757</v>
      </c>
    </row>
    <row r="2578" spans="1:3" x14ac:dyDescent="0.25">
      <c r="A2578" t="s">
        <v>7761</v>
      </c>
      <c r="B2578" t="s">
        <v>7762</v>
      </c>
      <c r="C2578" t="s">
        <v>7760</v>
      </c>
    </row>
    <row r="2579" spans="1:3" x14ac:dyDescent="0.25">
      <c r="A2579" t="s">
        <v>7764</v>
      </c>
      <c r="B2579" t="s">
        <v>7765</v>
      </c>
      <c r="C2579" t="s">
        <v>7763</v>
      </c>
    </row>
    <row r="2580" spans="1:3" x14ac:dyDescent="0.25">
      <c r="A2580" t="s">
        <v>7767</v>
      </c>
      <c r="B2580" t="s">
        <v>7768</v>
      </c>
      <c r="C2580" t="s">
        <v>7766</v>
      </c>
    </row>
    <row r="2581" spans="1:3" x14ac:dyDescent="0.25">
      <c r="A2581" t="s">
        <v>7770</v>
      </c>
      <c r="B2581" t="s">
        <v>7771</v>
      </c>
      <c r="C2581" t="s">
        <v>7769</v>
      </c>
    </row>
    <row r="2582" spans="1:3" x14ac:dyDescent="0.25">
      <c r="A2582" t="s">
        <v>7773</v>
      </c>
      <c r="B2582" t="s">
        <v>7774</v>
      </c>
      <c r="C2582" t="s">
        <v>7772</v>
      </c>
    </row>
    <row r="2583" spans="1:3" x14ac:dyDescent="0.25">
      <c r="A2583" t="s">
        <v>7776</v>
      </c>
      <c r="B2583" t="s">
        <v>7777</v>
      </c>
      <c r="C2583" t="s">
        <v>7775</v>
      </c>
    </row>
    <row r="2584" spans="1:3" x14ac:dyDescent="0.25">
      <c r="A2584" t="s">
        <v>7779</v>
      </c>
      <c r="B2584" t="s">
        <v>7780</v>
      </c>
      <c r="C2584" t="s">
        <v>7778</v>
      </c>
    </row>
    <row r="2585" spans="1:3" x14ac:dyDescent="0.25">
      <c r="A2585" t="s">
        <v>7782</v>
      </c>
      <c r="B2585" t="s">
        <v>7783</v>
      </c>
      <c r="C2585" t="s">
        <v>7781</v>
      </c>
    </row>
    <row r="2586" spans="1:3" x14ac:dyDescent="0.25">
      <c r="A2586" t="s">
        <v>7785</v>
      </c>
      <c r="B2586" t="s">
        <v>7786</v>
      </c>
      <c r="C2586" t="s">
        <v>7784</v>
      </c>
    </row>
    <row r="2587" spans="1:3" x14ac:dyDescent="0.25">
      <c r="A2587" t="s">
        <v>7788</v>
      </c>
      <c r="B2587" t="s">
        <v>7789</v>
      </c>
      <c r="C2587" t="s">
        <v>7787</v>
      </c>
    </row>
    <row r="2588" spans="1:3" x14ac:dyDescent="0.25">
      <c r="A2588" t="s">
        <v>7791</v>
      </c>
      <c r="B2588" t="s">
        <v>7792</v>
      </c>
      <c r="C2588" t="s">
        <v>7790</v>
      </c>
    </row>
    <row r="2589" spans="1:3" x14ac:dyDescent="0.25">
      <c r="A2589" t="s">
        <v>7794</v>
      </c>
      <c r="B2589" t="s">
        <v>7795</v>
      </c>
      <c r="C2589" t="s">
        <v>7793</v>
      </c>
    </row>
    <row r="2590" spans="1:3" x14ac:dyDescent="0.25">
      <c r="A2590" t="s">
        <v>7797</v>
      </c>
      <c r="B2590" t="s">
        <v>7798</v>
      </c>
      <c r="C2590" t="s">
        <v>7796</v>
      </c>
    </row>
    <row r="2591" spans="1:3" x14ac:dyDescent="0.25">
      <c r="A2591" t="s">
        <v>7800</v>
      </c>
      <c r="B2591" t="s">
        <v>7801</v>
      </c>
      <c r="C2591" t="s">
        <v>7799</v>
      </c>
    </row>
    <row r="2592" spans="1:3" x14ac:dyDescent="0.25">
      <c r="A2592" t="s">
        <v>7803</v>
      </c>
      <c r="B2592" t="s">
        <v>7804</v>
      </c>
      <c r="C2592" t="s">
        <v>7802</v>
      </c>
    </row>
    <row r="2593" spans="1:3" x14ac:dyDescent="0.25">
      <c r="A2593" t="s">
        <v>7806</v>
      </c>
      <c r="B2593" t="s">
        <v>7807</v>
      </c>
      <c r="C2593" t="s">
        <v>7805</v>
      </c>
    </row>
    <row r="2594" spans="1:3" x14ac:dyDescent="0.25">
      <c r="A2594" t="s">
        <v>7809</v>
      </c>
      <c r="B2594" t="s">
        <v>7810</v>
      </c>
      <c r="C2594" t="s">
        <v>7808</v>
      </c>
    </row>
    <row r="2595" spans="1:3" x14ac:dyDescent="0.25">
      <c r="A2595" t="s">
        <v>7812</v>
      </c>
      <c r="B2595" t="s">
        <v>7813</v>
      </c>
      <c r="C2595" t="s">
        <v>7811</v>
      </c>
    </row>
    <row r="2596" spans="1:3" x14ac:dyDescent="0.25">
      <c r="A2596" t="s">
        <v>7815</v>
      </c>
      <c r="B2596" t="s">
        <v>7816</v>
      </c>
      <c r="C2596" t="s">
        <v>7814</v>
      </c>
    </row>
    <row r="2597" spans="1:3" x14ac:dyDescent="0.25">
      <c r="A2597" t="s">
        <v>7818</v>
      </c>
      <c r="B2597" t="s">
        <v>7819</v>
      </c>
      <c r="C2597" t="s">
        <v>7817</v>
      </c>
    </row>
    <row r="2598" spans="1:3" x14ac:dyDescent="0.25">
      <c r="A2598" t="s">
        <v>7821</v>
      </c>
      <c r="B2598" t="s">
        <v>7822</v>
      </c>
      <c r="C2598" t="s">
        <v>7820</v>
      </c>
    </row>
    <row r="2599" spans="1:3" x14ac:dyDescent="0.25">
      <c r="A2599" t="s">
        <v>7824</v>
      </c>
      <c r="B2599" t="s">
        <v>7825</v>
      </c>
      <c r="C2599" t="s">
        <v>7823</v>
      </c>
    </row>
    <row r="2600" spans="1:3" x14ac:dyDescent="0.25">
      <c r="A2600" t="s">
        <v>7827</v>
      </c>
      <c r="B2600" t="s">
        <v>7828</v>
      </c>
      <c r="C2600" t="s">
        <v>7826</v>
      </c>
    </row>
    <row r="2601" spans="1:3" x14ac:dyDescent="0.25">
      <c r="A2601" t="s">
        <v>7830</v>
      </c>
      <c r="B2601" t="s">
        <v>7831</v>
      </c>
      <c r="C2601" t="s">
        <v>7829</v>
      </c>
    </row>
    <row r="2602" spans="1:3" x14ac:dyDescent="0.25">
      <c r="A2602" t="s">
        <v>7833</v>
      </c>
      <c r="B2602" t="s">
        <v>7834</v>
      </c>
      <c r="C2602" t="s">
        <v>7832</v>
      </c>
    </row>
    <row r="2603" spans="1:3" x14ac:dyDescent="0.25">
      <c r="A2603" t="s">
        <v>7836</v>
      </c>
      <c r="B2603" t="s">
        <v>7837</v>
      </c>
      <c r="C2603" t="s">
        <v>7835</v>
      </c>
    </row>
    <row r="2604" spans="1:3" x14ac:dyDescent="0.25">
      <c r="A2604" t="s">
        <v>7839</v>
      </c>
      <c r="B2604" t="s">
        <v>7840</v>
      </c>
      <c r="C2604" t="s">
        <v>7838</v>
      </c>
    </row>
    <row r="2605" spans="1:3" x14ac:dyDescent="0.25">
      <c r="A2605" t="s">
        <v>7842</v>
      </c>
      <c r="B2605" t="s">
        <v>7843</v>
      </c>
      <c r="C2605" t="s">
        <v>7841</v>
      </c>
    </row>
    <row r="2606" spans="1:3" x14ac:dyDescent="0.25">
      <c r="A2606" t="s">
        <v>7845</v>
      </c>
      <c r="B2606" t="s">
        <v>7846</v>
      </c>
      <c r="C2606" t="s">
        <v>7844</v>
      </c>
    </row>
    <row r="2607" spans="1:3" x14ac:dyDescent="0.25">
      <c r="A2607" t="s">
        <v>7848</v>
      </c>
      <c r="B2607" t="s">
        <v>7849</v>
      </c>
      <c r="C2607" t="s">
        <v>7847</v>
      </c>
    </row>
    <row r="2608" spans="1:3" x14ac:dyDescent="0.25">
      <c r="A2608" t="s">
        <v>7851</v>
      </c>
      <c r="B2608" t="s">
        <v>7852</v>
      </c>
      <c r="C2608" t="s">
        <v>7850</v>
      </c>
    </row>
    <row r="2609" spans="1:3" x14ac:dyDescent="0.25">
      <c r="A2609" t="s">
        <v>7854</v>
      </c>
      <c r="B2609" t="s">
        <v>7855</v>
      </c>
      <c r="C2609" t="s">
        <v>7853</v>
      </c>
    </row>
    <row r="2610" spans="1:3" x14ac:dyDescent="0.25">
      <c r="A2610" t="s">
        <v>7857</v>
      </c>
      <c r="B2610" t="s">
        <v>7858</v>
      </c>
      <c r="C2610" t="s">
        <v>7856</v>
      </c>
    </row>
    <row r="2611" spans="1:3" x14ac:dyDescent="0.25">
      <c r="A2611" t="s">
        <v>7860</v>
      </c>
      <c r="B2611" t="s">
        <v>7858</v>
      </c>
      <c r="C2611" t="s">
        <v>7859</v>
      </c>
    </row>
    <row r="2612" spans="1:3" x14ac:dyDescent="0.25">
      <c r="A2612" t="s">
        <v>7862</v>
      </c>
      <c r="B2612" t="s">
        <v>7863</v>
      </c>
      <c r="C2612" t="s">
        <v>7861</v>
      </c>
    </row>
    <row r="2613" spans="1:3" x14ac:dyDescent="0.25">
      <c r="A2613" t="s">
        <v>7865</v>
      </c>
      <c r="B2613" t="s">
        <v>7866</v>
      </c>
      <c r="C2613" t="s">
        <v>7864</v>
      </c>
    </row>
    <row r="2614" spans="1:3" x14ac:dyDescent="0.25">
      <c r="A2614" t="s">
        <v>7868</v>
      </c>
      <c r="B2614" t="s">
        <v>7869</v>
      </c>
      <c r="C2614" t="s">
        <v>7867</v>
      </c>
    </row>
    <row r="2615" spans="1:3" x14ac:dyDescent="0.25">
      <c r="A2615" t="s">
        <v>7871</v>
      </c>
      <c r="B2615" t="s">
        <v>7872</v>
      </c>
      <c r="C2615" t="s">
        <v>7870</v>
      </c>
    </row>
    <row r="2616" spans="1:3" x14ac:dyDescent="0.25">
      <c r="A2616" t="s">
        <v>7874</v>
      </c>
      <c r="B2616" t="s">
        <v>7875</v>
      </c>
      <c r="C2616" t="s">
        <v>7873</v>
      </c>
    </row>
    <row r="2617" spans="1:3" x14ac:dyDescent="0.25">
      <c r="A2617" t="s">
        <v>7877</v>
      </c>
      <c r="B2617" t="s">
        <v>7878</v>
      </c>
      <c r="C2617" t="s">
        <v>7876</v>
      </c>
    </row>
    <row r="2618" spans="1:3" x14ac:dyDescent="0.25">
      <c r="A2618" t="s">
        <v>7880</v>
      </c>
      <c r="B2618" t="s">
        <v>7881</v>
      </c>
      <c r="C2618" t="s">
        <v>7879</v>
      </c>
    </row>
    <row r="2619" spans="1:3" x14ac:dyDescent="0.25">
      <c r="A2619" t="s">
        <v>7883</v>
      </c>
      <c r="B2619" t="s">
        <v>7884</v>
      </c>
      <c r="C2619" t="s">
        <v>7882</v>
      </c>
    </row>
    <row r="2620" spans="1:3" x14ac:dyDescent="0.25">
      <c r="A2620" t="s">
        <v>7886</v>
      </c>
      <c r="B2620" t="s">
        <v>7887</v>
      </c>
      <c r="C2620" t="s">
        <v>7885</v>
      </c>
    </row>
    <row r="2621" spans="1:3" x14ac:dyDescent="0.25">
      <c r="A2621" t="s">
        <v>7889</v>
      </c>
      <c r="B2621" t="s">
        <v>7890</v>
      </c>
      <c r="C2621" t="s">
        <v>7888</v>
      </c>
    </row>
    <row r="2622" spans="1:3" x14ac:dyDescent="0.25">
      <c r="A2622" t="s">
        <v>7892</v>
      </c>
      <c r="B2622" t="s">
        <v>7893</v>
      </c>
      <c r="C2622" t="s">
        <v>7891</v>
      </c>
    </row>
    <row r="2623" spans="1:3" x14ac:dyDescent="0.25">
      <c r="A2623" t="s">
        <v>7895</v>
      </c>
      <c r="B2623" t="s">
        <v>7896</v>
      </c>
      <c r="C2623" t="s">
        <v>7894</v>
      </c>
    </row>
    <row r="2624" spans="1:3" x14ac:dyDescent="0.25">
      <c r="A2624" t="s">
        <v>7898</v>
      </c>
      <c r="B2624" t="s">
        <v>7899</v>
      </c>
      <c r="C2624" t="s">
        <v>7897</v>
      </c>
    </row>
    <row r="2625" spans="1:3" x14ac:dyDescent="0.25">
      <c r="A2625" t="s">
        <v>7901</v>
      </c>
      <c r="B2625" t="s">
        <v>7429</v>
      </c>
      <c r="C2625" t="s">
        <v>7900</v>
      </c>
    </row>
    <row r="2626" spans="1:3" x14ac:dyDescent="0.25">
      <c r="A2626" t="s">
        <v>7903</v>
      </c>
      <c r="B2626" t="s">
        <v>7904</v>
      </c>
      <c r="C2626" t="s">
        <v>7902</v>
      </c>
    </row>
    <row r="2627" spans="1:3" x14ac:dyDescent="0.25">
      <c r="A2627" t="s">
        <v>7906</v>
      </c>
      <c r="B2627" t="s">
        <v>7907</v>
      </c>
      <c r="C2627" t="s">
        <v>7905</v>
      </c>
    </row>
    <row r="2628" spans="1:3" x14ac:dyDescent="0.25">
      <c r="A2628" t="s">
        <v>7909</v>
      </c>
      <c r="B2628" t="s">
        <v>7910</v>
      </c>
      <c r="C2628" t="s">
        <v>7908</v>
      </c>
    </row>
    <row r="2629" spans="1:3" x14ac:dyDescent="0.25">
      <c r="A2629" t="s">
        <v>7912</v>
      </c>
      <c r="B2629" t="s">
        <v>7913</v>
      </c>
      <c r="C2629" t="s">
        <v>7911</v>
      </c>
    </row>
    <row r="2630" spans="1:3" x14ac:dyDescent="0.25">
      <c r="A2630" t="s">
        <v>7915</v>
      </c>
      <c r="B2630" t="s">
        <v>7916</v>
      </c>
      <c r="C2630" t="s">
        <v>7914</v>
      </c>
    </row>
    <row r="2631" spans="1:3" x14ac:dyDescent="0.25">
      <c r="A2631" t="s">
        <v>7918</v>
      </c>
      <c r="B2631" t="s">
        <v>7919</v>
      </c>
      <c r="C2631" t="s">
        <v>7917</v>
      </c>
    </row>
    <row r="2632" spans="1:3" x14ac:dyDescent="0.25">
      <c r="A2632" t="s">
        <v>7921</v>
      </c>
      <c r="B2632" t="s">
        <v>7922</v>
      </c>
      <c r="C2632" t="s">
        <v>7920</v>
      </c>
    </row>
    <row r="2633" spans="1:3" x14ac:dyDescent="0.25">
      <c r="A2633" t="s">
        <v>7924</v>
      </c>
      <c r="B2633" t="s">
        <v>7925</v>
      </c>
      <c r="C2633" t="s">
        <v>7923</v>
      </c>
    </row>
    <row r="2634" spans="1:3" x14ac:dyDescent="0.25">
      <c r="A2634" t="s">
        <v>7927</v>
      </c>
      <c r="B2634" t="s">
        <v>7928</v>
      </c>
      <c r="C2634" t="s">
        <v>7926</v>
      </c>
    </row>
    <row r="2635" spans="1:3" x14ac:dyDescent="0.25">
      <c r="A2635" t="s">
        <v>7930</v>
      </c>
      <c r="B2635" t="s">
        <v>7931</v>
      </c>
      <c r="C2635" t="s">
        <v>7929</v>
      </c>
    </row>
    <row r="2636" spans="1:3" x14ac:dyDescent="0.25">
      <c r="A2636" t="s">
        <v>7933</v>
      </c>
      <c r="B2636" t="s">
        <v>7934</v>
      </c>
      <c r="C2636" t="s">
        <v>7932</v>
      </c>
    </row>
    <row r="2637" spans="1:3" x14ac:dyDescent="0.25">
      <c r="A2637" t="s">
        <v>7936</v>
      </c>
      <c r="B2637" t="s">
        <v>7937</v>
      </c>
      <c r="C2637" t="s">
        <v>7935</v>
      </c>
    </row>
    <row r="2638" spans="1:3" x14ac:dyDescent="0.25">
      <c r="A2638" t="s">
        <v>7939</v>
      </c>
      <c r="B2638" t="s">
        <v>7940</v>
      </c>
      <c r="C2638" t="s">
        <v>7938</v>
      </c>
    </row>
    <row r="2639" spans="1:3" x14ac:dyDescent="0.25">
      <c r="A2639" t="s">
        <v>7942</v>
      </c>
      <c r="B2639" t="s">
        <v>7943</v>
      </c>
      <c r="C2639" t="s">
        <v>7941</v>
      </c>
    </row>
    <row r="2640" spans="1:3" x14ac:dyDescent="0.25">
      <c r="A2640" t="s">
        <v>7945</v>
      </c>
      <c r="B2640" t="s">
        <v>7946</v>
      </c>
      <c r="C2640" t="s">
        <v>7944</v>
      </c>
    </row>
    <row r="2641" spans="1:3" x14ac:dyDescent="0.25">
      <c r="A2641" t="s">
        <v>7948</v>
      </c>
      <c r="B2641" t="s">
        <v>7949</v>
      </c>
      <c r="C2641" t="s">
        <v>7947</v>
      </c>
    </row>
    <row r="2642" spans="1:3" x14ac:dyDescent="0.25">
      <c r="A2642" t="s">
        <v>7951</v>
      </c>
      <c r="B2642" t="s">
        <v>7952</v>
      </c>
      <c r="C2642" t="s">
        <v>7950</v>
      </c>
    </row>
    <row r="2643" spans="1:3" x14ac:dyDescent="0.25">
      <c r="A2643" t="s">
        <v>7954</v>
      </c>
      <c r="B2643" t="s">
        <v>7955</v>
      </c>
      <c r="C2643" t="s">
        <v>7953</v>
      </c>
    </row>
    <row r="2644" spans="1:3" x14ac:dyDescent="0.25">
      <c r="A2644" t="s">
        <v>7957</v>
      </c>
      <c r="B2644" t="s">
        <v>7958</v>
      </c>
      <c r="C2644" t="s">
        <v>7956</v>
      </c>
    </row>
    <row r="2645" spans="1:3" x14ac:dyDescent="0.25">
      <c r="A2645" t="s">
        <v>7960</v>
      </c>
      <c r="B2645" t="s">
        <v>3080</v>
      </c>
      <c r="C2645" t="s">
        <v>7959</v>
      </c>
    </row>
    <row r="2646" spans="1:3" x14ac:dyDescent="0.25">
      <c r="A2646" t="s">
        <v>7962</v>
      </c>
      <c r="B2646" t="s">
        <v>7963</v>
      </c>
      <c r="C2646" t="s">
        <v>7961</v>
      </c>
    </row>
    <row r="2647" spans="1:3" x14ac:dyDescent="0.25">
      <c r="A2647" t="s">
        <v>7965</v>
      </c>
      <c r="B2647" t="s">
        <v>3097</v>
      </c>
      <c r="C2647" t="s">
        <v>7964</v>
      </c>
    </row>
    <row r="2648" spans="1:3" x14ac:dyDescent="0.25">
      <c r="A2648" t="s">
        <v>7967</v>
      </c>
      <c r="B2648" t="s">
        <v>7968</v>
      </c>
      <c r="C2648" t="s">
        <v>7966</v>
      </c>
    </row>
    <row r="2649" spans="1:3" x14ac:dyDescent="0.25">
      <c r="A2649" t="s">
        <v>7970</v>
      </c>
      <c r="B2649" t="s">
        <v>7971</v>
      </c>
      <c r="C2649" t="s">
        <v>7969</v>
      </c>
    </row>
    <row r="2650" spans="1:3" x14ac:dyDescent="0.25">
      <c r="A2650" t="s">
        <v>7973</v>
      </c>
      <c r="B2650" t="s">
        <v>7974</v>
      </c>
      <c r="C2650" t="s">
        <v>7972</v>
      </c>
    </row>
    <row r="2651" spans="1:3" x14ac:dyDescent="0.25">
      <c r="A2651" t="s">
        <v>7976</v>
      </c>
      <c r="B2651" t="s">
        <v>7977</v>
      </c>
      <c r="C2651" t="s">
        <v>7975</v>
      </c>
    </row>
    <row r="2652" spans="1:3" x14ac:dyDescent="0.25">
      <c r="A2652" t="s">
        <v>7979</v>
      </c>
      <c r="B2652" t="s">
        <v>7980</v>
      </c>
      <c r="C2652" t="s">
        <v>7978</v>
      </c>
    </row>
    <row r="2653" spans="1:3" x14ac:dyDescent="0.25">
      <c r="A2653" t="s">
        <v>7982</v>
      </c>
      <c r="B2653" t="s">
        <v>7983</v>
      </c>
      <c r="C2653" t="s">
        <v>7981</v>
      </c>
    </row>
    <row r="2654" spans="1:3" x14ac:dyDescent="0.25">
      <c r="A2654" t="s">
        <v>7985</v>
      </c>
      <c r="B2654" t="s">
        <v>7986</v>
      </c>
      <c r="C2654" t="s">
        <v>7984</v>
      </c>
    </row>
    <row r="2655" spans="1:3" x14ac:dyDescent="0.25">
      <c r="A2655" t="s">
        <v>7988</v>
      </c>
      <c r="B2655" t="s">
        <v>7989</v>
      </c>
      <c r="C2655" t="s">
        <v>7987</v>
      </c>
    </row>
    <row r="2656" spans="1:3" x14ac:dyDescent="0.25">
      <c r="A2656" t="s">
        <v>7991</v>
      </c>
      <c r="B2656" t="s">
        <v>7992</v>
      </c>
      <c r="C2656" t="s">
        <v>7990</v>
      </c>
    </row>
    <row r="2657" spans="1:3" x14ac:dyDescent="0.25">
      <c r="A2657" t="s">
        <v>7994</v>
      </c>
      <c r="B2657" t="s">
        <v>7992</v>
      </c>
      <c r="C2657" t="s">
        <v>7993</v>
      </c>
    </row>
    <row r="2658" spans="1:3" x14ac:dyDescent="0.25">
      <c r="A2658" t="s">
        <v>7996</v>
      </c>
      <c r="B2658" t="s">
        <v>7983</v>
      </c>
      <c r="C2658" t="s">
        <v>7995</v>
      </c>
    </row>
    <row r="2659" spans="1:3" x14ac:dyDescent="0.25">
      <c r="A2659" t="s">
        <v>7998</v>
      </c>
      <c r="B2659" t="s">
        <v>7999</v>
      </c>
      <c r="C2659" t="s">
        <v>7997</v>
      </c>
    </row>
    <row r="2660" spans="1:3" x14ac:dyDescent="0.25">
      <c r="A2660" t="s">
        <v>8001</v>
      </c>
      <c r="B2660" t="s">
        <v>8002</v>
      </c>
      <c r="C2660" t="s">
        <v>8000</v>
      </c>
    </row>
    <row r="2661" spans="1:3" x14ac:dyDescent="0.25">
      <c r="A2661" t="s">
        <v>8004</v>
      </c>
      <c r="B2661" t="s">
        <v>8005</v>
      </c>
      <c r="C2661" t="s">
        <v>8003</v>
      </c>
    </row>
    <row r="2662" spans="1:3" x14ac:dyDescent="0.25">
      <c r="A2662" t="s">
        <v>8007</v>
      </c>
      <c r="B2662" t="s">
        <v>8008</v>
      </c>
      <c r="C2662" t="s">
        <v>8006</v>
      </c>
    </row>
    <row r="2663" spans="1:3" x14ac:dyDescent="0.25">
      <c r="A2663" t="s">
        <v>8010</v>
      </c>
      <c r="B2663" t="s">
        <v>8011</v>
      </c>
      <c r="C2663" t="s">
        <v>8009</v>
      </c>
    </row>
    <row r="2664" spans="1:3" x14ac:dyDescent="0.25">
      <c r="A2664" t="s">
        <v>8013</v>
      </c>
      <c r="B2664" t="s">
        <v>8014</v>
      </c>
      <c r="C2664" t="s">
        <v>8012</v>
      </c>
    </row>
    <row r="2665" spans="1:3" x14ac:dyDescent="0.25">
      <c r="A2665" t="s">
        <v>8016</v>
      </c>
      <c r="B2665" t="s">
        <v>8014</v>
      </c>
      <c r="C2665" t="s">
        <v>8015</v>
      </c>
    </row>
    <row r="2666" spans="1:3" x14ac:dyDescent="0.25">
      <c r="A2666" t="s">
        <v>8018</v>
      </c>
      <c r="B2666" t="s">
        <v>8019</v>
      </c>
      <c r="C2666" t="s">
        <v>8017</v>
      </c>
    </row>
    <row r="2667" spans="1:3" x14ac:dyDescent="0.25">
      <c r="A2667" t="s">
        <v>8021</v>
      </c>
      <c r="B2667" t="s">
        <v>8022</v>
      </c>
      <c r="C2667" t="s">
        <v>8020</v>
      </c>
    </row>
    <row r="2668" spans="1:3" x14ac:dyDescent="0.25">
      <c r="A2668" t="s">
        <v>8024</v>
      </c>
      <c r="B2668" t="s">
        <v>8025</v>
      </c>
      <c r="C2668" t="s">
        <v>8023</v>
      </c>
    </row>
    <row r="2669" spans="1:3" x14ac:dyDescent="0.25">
      <c r="A2669" t="s">
        <v>8027</v>
      </c>
      <c r="B2669" t="s">
        <v>8028</v>
      </c>
      <c r="C2669" t="s">
        <v>8026</v>
      </c>
    </row>
    <row r="2670" spans="1:3" x14ac:dyDescent="0.25">
      <c r="A2670" t="s">
        <v>8030</v>
      </c>
      <c r="B2670" t="s">
        <v>8031</v>
      </c>
      <c r="C2670" t="s">
        <v>8029</v>
      </c>
    </row>
    <row r="2671" spans="1:3" x14ac:dyDescent="0.25">
      <c r="A2671" t="s">
        <v>8033</v>
      </c>
      <c r="B2671" t="s">
        <v>8034</v>
      </c>
      <c r="C2671" t="s">
        <v>8032</v>
      </c>
    </row>
    <row r="2672" spans="1:3" x14ac:dyDescent="0.25">
      <c r="A2672" t="s">
        <v>8036</v>
      </c>
      <c r="B2672" t="s">
        <v>8034</v>
      </c>
      <c r="C2672" t="s">
        <v>8035</v>
      </c>
    </row>
    <row r="2673" spans="1:3" x14ac:dyDescent="0.25">
      <c r="A2673" t="s">
        <v>8038</v>
      </c>
      <c r="B2673" t="s">
        <v>8039</v>
      </c>
      <c r="C2673" t="s">
        <v>8037</v>
      </c>
    </row>
    <row r="2674" spans="1:3" x14ac:dyDescent="0.25">
      <c r="A2674" t="s">
        <v>8041</v>
      </c>
      <c r="B2674" t="s">
        <v>8042</v>
      </c>
      <c r="C2674" t="s">
        <v>8040</v>
      </c>
    </row>
    <row r="2675" spans="1:3" x14ac:dyDescent="0.25">
      <c r="A2675" t="s">
        <v>8044</v>
      </c>
      <c r="B2675" t="s">
        <v>8045</v>
      </c>
      <c r="C2675" t="s">
        <v>8043</v>
      </c>
    </row>
    <row r="2676" spans="1:3" x14ac:dyDescent="0.25">
      <c r="A2676" t="s">
        <v>8047</v>
      </c>
      <c r="B2676" t="s">
        <v>8048</v>
      </c>
      <c r="C2676" t="s">
        <v>8046</v>
      </c>
    </row>
    <row r="2677" spans="1:3" x14ac:dyDescent="0.25">
      <c r="A2677" t="s">
        <v>8050</v>
      </c>
      <c r="B2677" t="s">
        <v>8051</v>
      </c>
      <c r="C2677" t="s">
        <v>8049</v>
      </c>
    </row>
    <row r="2678" spans="1:3" x14ac:dyDescent="0.25">
      <c r="A2678" t="s">
        <v>8053</v>
      </c>
      <c r="B2678" t="s">
        <v>8054</v>
      </c>
      <c r="C2678" t="s">
        <v>8052</v>
      </c>
    </row>
    <row r="2679" spans="1:3" x14ac:dyDescent="0.25">
      <c r="A2679" t="s">
        <v>8056</v>
      </c>
      <c r="B2679" t="s">
        <v>8057</v>
      </c>
      <c r="C2679" t="s">
        <v>8055</v>
      </c>
    </row>
    <row r="2680" spans="1:3" x14ac:dyDescent="0.25">
      <c r="A2680" t="s">
        <v>8059</v>
      </c>
      <c r="B2680" t="s">
        <v>8060</v>
      </c>
      <c r="C2680" t="s">
        <v>8058</v>
      </c>
    </row>
    <row r="2681" spans="1:3" x14ac:dyDescent="0.25">
      <c r="A2681" t="s">
        <v>8062</v>
      </c>
      <c r="B2681" t="s">
        <v>8063</v>
      </c>
      <c r="C2681" t="s">
        <v>8061</v>
      </c>
    </row>
    <row r="2682" spans="1:3" x14ac:dyDescent="0.25">
      <c r="A2682" t="s">
        <v>8065</v>
      </c>
      <c r="B2682" t="s">
        <v>8066</v>
      </c>
      <c r="C2682" t="s">
        <v>8064</v>
      </c>
    </row>
    <row r="2683" spans="1:3" x14ac:dyDescent="0.25">
      <c r="A2683" t="s">
        <v>8068</v>
      </c>
      <c r="B2683" t="s">
        <v>8069</v>
      </c>
      <c r="C2683" t="s">
        <v>8067</v>
      </c>
    </row>
    <row r="2684" spans="1:3" x14ac:dyDescent="0.25">
      <c r="A2684" t="s">
        <v>8071</v>
      </c>
      <c r="B2684" t="s">
        <v>8072</v>
      </c>
      <c r="C2684" t="s">
        <v>8070</v>
      </c>
    </row>
    <row r="2685" spans="1:3" x14ac:dyDescent="0.25">
      <c r="A2685" t="s">
        <v>8074</v>
      </c>
      <c r="B2685" t="s">
        <v>8075</v>
      </c>
      <c r="C2685" t="s">
        <v>8073</v>
      </c>
    </row>
    <row r="2686" spans="1:3" x14ac:dyDescent="0.25">
      <c r="A2686" t="s">
        <v>8077</v>
      </c>
      <c r="B2686" t="s">
        <v>8078</v>
      </c>
      <c r="C2686" t="s">
        <v>8076</v>
      </c>
    </row>
    <row r="2687" spans="1:3" x14ac:dyDescent="0.25">
      <c r="A2687" t="s">
        <v>8080</v>
      </c>
      <c r="B2687" t="s">
        <v>8081</v>
      </c>
      <c r="C2687" t="s">
        <v>8079</v>
      </c>
    </row>
    <row r="2688" spans="1:3" x14ac:dyDescent="0.25">
      <c r="A2688" t="s">
        <v>8083</v>
      </c>
      <c r="B2688" t="s">
        <v>8084</v>
      </c>
      <c r="C2688" t="s">
        <v>8082</v>
      </c>
    </row>
    <row r="2689" spans="1:3" x14ac:dyDescent="0.25">
      <c r="A2689" t="s">
        <v>8086</v>
      </c>
      <c r="B2689" t="s">
        <v>8087</v>
      </c>
      <c r="C2689" t="s">
        <v>8085</v>
      </c>
    </row>
    <row r="2690" spans="1:3" x14ac:dyDescent="0.25">
      <c r="A2690" t="s">
        <v>8089</v>
      </c>
      <c r="B2690" t="s">
        <v>8090</v>
      </c>
      <c r="C2690" t="s">
        <v>8088</v>
      </c>
    </row>
    <row r="2691" spans="1:3" x14ac:dyDescent="0.25">
      <c r="A2691" t="s">
        <v>8092</v>
      </c>
      <c r="B2691" t="s">
        <v>8093</v>
      </c>
      <c r="C2691" t="s">
        <v>8091</v>
      </c>
    </row>
    <row r="2692" spans="1:3" x14ac:dyDescent="0.25">
      <c r="A2692" t="s">
        <v>8095</v>
      </c>
      <c r="B2692" t="s">
        <v>8096</v>
      </c>
      <c r="C2692" t="s">
        <v>8094</v>
      </c>
    </row>
    <row r="2693" spans="1:3" x14ac:dyDescent="0.25">
      <c r="A2693" t="s">
        <v>8098</v>
      </c>
      <c r="B2693" t="s">
        <v>8099</v>
      </c>
      <c r="C2693" t="s">
        <v>8097</v>
      </c>
    </row>
    <row r="2694" spans="1:3" x14ac:dyDescent="0.25">
      <c r="A2694" t="s">
        <v>8101</v>
      </c>
      <c r="B2694" t="s">
        <v>8102</v>
      </c>
      <c r="C2694" t="s">
        <v>8100</v>
      </c>
    </row>
    <row r="2695" spans="1:3" x14ac:dyDescent="0.25">
      <c r="A2695" t="s">
        <v>8104</v>
      </c>
      <c r="B2695" t="s">
        <v>8105</v>
      </c>
      <c r="C2695" t="s">
        <v>8103</v>
      </c>
    </row>
    <row r="2696" spans="1:3" x14ac:dyDescent="0.25">
      <c r="A2696" t="s">
        <v>8107</v>
      </c>
      <c r="B2696" t="s">
        <v>8108</v>
      </c>
      <c r="C2696" t="s">
        <v>8106</v>
      </c>
    </row>
    <row r="2697" spans="1:3" x14ac:dyDescent="0.25">
      <c r="A2697" t="s">
        <v>8110</v>
      </c>
      <c r="B2697" t="s">
        <v>8111</v>
      </c>
      <c r="C2697" t="s">
        <v>8109</v>
      </c>
    </row>
    <row r="2698" spans="1:3" x14ac:dyDescent="0.25">
      <c r="A2698" t="s">
        <v>8113</v>
      </c>
      <c r="B2698" t="s">
        <v>8114</v>
      </c>
      <c r="C2698" t="s">
        <v>8112</v>
      </c>
    </row>
    <row r="2699" spans="1:3" x14ac:dyDescent="0.25">
      <c r="A2699" t="s">
        <v>8116</v>
      </c>
      <c r="B2699" t="s">
        <v>8117</v>
      </c>
      <c r="C2699" t="s">
        <v>8115</v>
      </c>
    </row>
    <row r="2700" spans="1:3" x14ac:dyDescent="0.25">
      <c r="A2700" t="s">
        <v>8119</v>
      </c>
      <c r="B2700" t="s">
        <v>8120</v>
      </c>
      <c r="C2700" t="s">
        <v>8118</v>
      </c>
    </row>
    <row r="2701" spans="1:3" x14ac:dyDescent="0.25">
      <c r="A2701" t="s">
        <v>8122</v>
      </c>
      <c r="B2701" t="s">
        <v>8123</v>
      </c>
      <c r="C2701" t="s">
        <v>8121</v>
      </c>
    </row>
    <row r="2702" spans="1:3" x14ac:dyDescent="0.25">
      <c r="A2702" t="s">
        <v>8125</v>
      </c>
      <c r="B2702" t="s">
        <v>8126</v>
      </c>
      <c r="C2702" t="s">
        <v>8124</v>
      </c>
    </row>
    <row r="2703" spans="1:3" x14ac:dyDescent="0.25">
      <c r="A2703" t="s">
        <v>8128</v>
      </c>
      <c r="B2703" t="s">
        <v>8129</v>
      </c>
      <c r="C2703" t="s">
        <v>8127</v>
      </c>
    </row>
    <row r="2704" spans="1:3" x14ac:dyDescent="0.25">
      <c r="A2704" t="s">
        <v>8131</v>
      </c>
      <c r="B2704" t="s">
        <v>8132</v>
      </c>
      <c r="C2704" t="s">
        <v>8130</v>
      </c>
    </row>
    <row r="2705" spans="1:3" x14ac:dyDescent="0.25">
      <c r="A2705" t="s">
        <v>8134</v>
      </c>
      <c r="B2705" t="s">
        <v>8135</v>
      </c>
      <c r="C2705" t="s">
        <v>8133</v>
      </c>
    </row>
    <row r="2706" spans="1:3" x14ac:dyDescent="0.25">
      <c r="A2706" t="s">
        <v>8137</v>
      </c>
      <c r="B2706" t="s">
        <v>8138</v>
      </c>
      <c r="C2706" t="s">
        <v>8136</v>
      </c>
    </row>
    <row r="2707" spans="1:3" x14ac:dyDescent="0.25">
      <c r="A2707" t="s">
        <v>8140</v>
      </c>
      <c r="B2707" t="s">
        <v>8141</v>
      </c>
      <c r="C2707" t="s">
        <v>8139</v>
      </c>
    </row>
    <row r="2708" spans="1:3" x14ac:dyDescent="0.25">
      <c r="A2708" t="s">
        <v>8143</v>
      </c>
      <c r="B2708" t="s">
        <v>8144</v>
      </c>
      <c r="C2708" t="s">
        <v>8142</v>
      </c>
    </row>
    <row r="2709" spans="1:3" x14ac:dyDescent="0.25">
      <c r="A2709" t="s">
        <v>8146</v>
      </c>
      <c r="B2709" t="s">
        <v>8147</v>
      </c>
      <c r="C2709" t="s">
        <v>8145</v>
      </c>
    </row>
    <row r="2710" spans="1:3" x14ac:dyDescent="0.25">
      <c r="A2710" t="s">
        <v>8149</v>
      </c>
      <c r="B2710" t="s">
        <v>8150</v>
      </c>
      <c r="C2710" t="s">
        <v>8148</v>
      </c>
    </row>
    <row r="2711" spans="1:3" x14ac:dyDescent="0.25">
      <c r="A2711" t="s">
        <v>8152</v>
      </c>
      <c r="B2711" t="s">
        <v>8153</v>
      </c>
      <c r="C2711" t="s">
        <v>8151</v>
      </c>
    </row>
    <row r="2712" spans="1:3" x14ac:dyDescent="0.25">
      <c r="A2712" t="s">
        <v>8155</v>
      </c>
      <c r="B2712" t="s">
        <v>8156</v>
      </c>
      <c r="C2712" t="s">
        <v>8154</v>
      </c>
    </row>
    <row r="2713" spans="1:3" x14ac:dyDescent="0.25">
      <c r="A2713" t="s">
        <v>8158</v>
      </c>
      <c r="B2713" t="s">
        <v>8159</v>
      </c>
      <c r="C2713" t="s">
        <v>8157</v>
      </c>
    </row>
    <row r="2714" spans="1:3" x14ac:dyDescent="0.25">
      <c r="A2714" t="s">
        <v>8161</v>
      </c>
      <c r="B2714" t="s">
        <v>8162</v>
      </c>
      <c r="C2714" t="s">
        <v>8160</v>
      </c>
    </row>
    <row r="2715" spans="1:3" x14ac:dyDescent="0.25">
      <c r="A2715" t="s">
        <v>8164</v>
      </c>
      <c r="B2715" t="s">
        <v>8165</v>
      </c>
      <c r="C2715" t="s">
        <v>8163</v>
      </c>
    </row>
    <row r="2716" spans="1:3" x14ac:dyDescent="0.25">
      <c r="A2716" t="s">
        <v>8167</v>
      </c>
      <c r="B2716" t="s">
        <v>8168</v>
      </c>
      <c r="C2716" t="s">
        <v>8166</v>
      </c>
    </row>
    <row r="2717" spans="1:3" x14ac:dyDescent="0.25">
      <c r="A2717" t="s">
        <v>8170</v>
      </c>
      <c r="B2717" t="s">
        <v>8171</v>
      </c>
      <c r="C2717" t="s">
        <v>8169</v>
      </c>
    </row>
    <row r="2718" spans="1:3" x14ac:dyDescent="0.25">
      <c r="A2718" t="s">
        <v>8173</v>
      </c>
      <c r="B2718" t="s">
        <v>8174</v>
      </c>
      <c r="C2718" t="s">
        <v>8172</v>
      </c>
    </row>
    <row r="2719" spans="1:3" x14ac:dyDescent="0.25">
      <c r="A2719" t="s">
        <v>8176</v>
      </c>
      <c r="B2719" t="s">
        <v>8177</v>
      </c>
      <c r="C2719" t="s">
        <v>8175</v>
      </c>
    </row>
    <row r="2720" spans="1:3" x14ac:dyDescent="0.25">
      <c r="A2720" t="s">
        <v>8179</v>
      </c>
      <c r="B2720" t="s">
        <v>8180</v>
      </c>
      <c r="C2720" t="s">
        <v>8178</v>
      </c>
    </row>
    <row r="2721" spans="1:3" x14ac:dyDescent="0.25">
      <c r="A2721" t="s">
        <v>8182</v>
      </c>
      <c r="B2721" t="s">
        <v>8183</v>
      </c>
      <c r="C2721" t="s">
        <v>8181</v>
      </c>
    </row>
    <row r="2722" spans="1:3" x14ac:dyDescent="0.25">
      <c r="A2722" t="s">
        <v>8185</v>
      </c>
      <c r="B2722" t="s">
        <v>8186</v>
      </c>
      <c r="C2722" t="s">
        <v>8184</v>
      </c>
    </row>
    <row r="2723" spans="1:3" x14ac:dyDescent="0.25">
      <c r="A2723" t="s">
        <v>8188</v>
      </c>
      <c r="B2723" t="s">
        <v>8189</v>
      </c>
      <c r="C2723" t="s">
        <v>8187</v>
      </c>
    </row>
    <row r="2724" spans="1:3" x14ac:dyDescent="0.25">
      <c r="A2724" t="s">
        <v>8191</v>
      </c>
      <c r="B2724" t="s">
        <v>8192</v>
      </c>
      <c r="C2724" t="s">
        <v>8190</v>
      </c>
    </row>
    <row r="2725" spans="1:3" x14ac:dyDescent="0.25">
      <c r="A2725" t="s">
        <v>8194</v>
      </c>
      <c r="B2725" t="s">
        <v>8195</v>
      </c>
      <c r="C2725" t="s">
        <v>8193</v>
      </c>
    </row>
    <row r="2726" spans="1:3" x14ac:dyDescent="0.25">
      <c r="A2726" t="s">
        <v>8197</v>
      </c>
      <c r="B2726" t="s">
        <v>8198</v>
      </c>
      <c r="C2726" t="s">
        <v>8196</v>
      </c>
    </row>
    <row r="2727" spans="1:3" x14ac:dyDescent="0.25">
      <c r="A2727" t="s">
        <v>8200</v>
      </c>
      <c r="B2727" t="s">
        <v>8201</v>
      </c>
      <c r="C2727" t="s">
        <v>8199</v>
      </c>
    </row>
    <row r="2728" spans="1:3" x14ac:dyDescent="0.25">
      <c r="A2728" t="s">
        <v>8203</v>
      </c>
      <c r="B2728" t="s">
        <v>8204</v>
      </c>
      <c r="C2728" t="s">
        <v>8202</v>
      </c>
    </row>
    <row r="2729" spans="1:3" x14ac:dyDescent="0.25">
      <c r="A2729" t="s">
        <v>8206</v>
      </c>
      <c r="B2729" t="s">
        <v>8207</v>
      </c>
      <c r="C2729" t="s">
        <v>8205</v>
      </c>
    </row>
    <row r="2730" spans="1:3" x14ac:dyDescent="0.25">
      <c r="A2730" t="s">
        <v>8209</v>
      </c>
      <c r="B2730" t="s">
        <v>8210</v>
      </c>
      <c r="C2730" t="s">
        <v>8208</v>
      </c>
    </row>
    <row r="2731" spans="1:3" x14ac:dyDescent="0.25">
      <c r="A2731" t="s">
        <v>8212</v>
      </c>
      <c r="B2731" t="s">
        <v>8213</v>
      </c>
      <c r="C2731" t="s">
        <v>8211</v>
      </c>
    </row>
    <row r="2732" spans="1:3" x14ac:dyDescent="0.25">
      <c r="A2732" t="s">
        <v>8215</v>
      </c>
      <c r="B2732" t="s">
        <v>8216</v>
      </c>
      <c r="C2732" t="s">
        <v>8214</v>
      </c>
    </row>
    <row r="2733" spans="1:3" x14ac:dyDescent="0.25">
      <c r="A2733" t="s">
        <v>8218</v>
      </c>
      <c r="B2733" t="s">
        <v>8219</v>
      </c>
      <c r="C2733" t="s">
        <v>8217</v>
      </c>
    </row>
    <row r="2734" spans="1:3" x14ac:dyDescent="0.25">
      <c r="A2734" t="s">
        <v>8221</v>
      </c>
      <c r="B2734" t="s">
        <v>8222</v>
      </c>
      <c r="C2734" t="s">
        <v>8220</v>
      </c>
    </row>
    <row r="2735" spans="1:3" x14ac:dyDescent="0.25">
      <c r="A2735" t="s">
        <v>8224</v>
      </c>
      <c r="B2735" t="s">
        <v>8225</v>
      </c>
      <c r="C2735" t="s">
        <v>8223</v>
      </c>
    </row>
    <row r="2736" spans="1:3" x14ac:dyDescent="0.25">
      <c r="A2736" t="s">
        <v>8227</v>
      </c>
      <c r="B2736" t="s">
        <v>8228</v>
      </c>
      <c r="C2736" t="s">
        <v>8226</v>
      </c>
    </row>
    <row r="2737" spans="1:3" x14ac:dyDescent="0.25">
      <c r="A2737" t="s">
        <v>8230</v>
      </c>
      <c r="B2737" t="s">
        <v>8231</v>
      </c>
      <c r="C2737" t="s">
        <v>8229</v>
      </c>
    </row>
    <row r="2738" spans="1:3" x14ac:dyDescent="0.25">
      <c r="A2738" t="s">
        <v>8233</v>
      </c>
      <c r="B2738" t="s">
        <v>8234</v>
      </c>
      <c r="C2738" t="s">
        <v>8232</v>
      </c>
    </row>
    <row r="2739" spans="1:3" x14ac:dyDescent="0.25">
      <c r="A2739" t="s">
        <v>8236</v>
      </c>
      <c r="B2739" t="s">
        <v>8237</v>
      </c>
      <c r="C2739" t="s">
        <v>8235</v>
      </c>
    </row>
    <row r="2740" spans="1:3" x14ac:dyDescent="0.25">
      <c r="A2740" t="s">
        <v>8239</v>
      </c>
      <c r="B2740" t="s">
        <v>8240</v>
      </c>
      <c r="C2740" t="s">
        <v>8238</v>
      </c>
    </row>
    <row r="2741" spans="1:3" x14ac:dyDescent="0.25">
      <c r="A2741" t="s">
        <v>8242</v>
      </c>
      <c r="B2741" t="s">
        <v>8243</v>
      </c>
      <c r="C2741" t="s">
        <v>8241</v>
      </c>
    </row>
    <row r="2742" spans="1:3" x14ac:dyDescent="0.25">
      <c r="A2742" t="s">
        <v>8245</v>
      </c>
      <c r="B2742" t="s">
        <v>8246</v>
      </c>
      <c r="C2742" t="s">
        <v>8244</v>
      </c>
    </row>
    <row r="2743" spans="1:3" x14ac:dyDescent="0.25">
      <c r="A2743" t="s">
        <v>8248</v>
      </c>
      <c r="B2743" t="s">
        <v>8249</v>
      </c>
      <c r="C2743" t="s">
        <v>8247</v>
      </c>
    </row>
    <row r="2744" spans="1:3" x14ac:dyDescent="0.25">
      <c r="A2744" t="s">
        <v>8251</v>
      </c>
      <c r="B2744" t="s">
        <v>8252</v>
      </c>
      <c r="C2744" t="s">
        <v>8250</v>
      </c>
    </row>
    <row r="2745" spans="1:3" x14ac:dyDescent="0.25">
      <c r="A2745" t="s">
        <v>8254</v>
      </c>
      <c r="B2745" t="s">
        <v>8255</v>
      </c>
      <c r="C2745" t="s">
        <v>8253</v>
      </c>
    </row>
    <row r="2746" spans="1:3" x14ac:dyDescent="0.25">
      <c r="A2746" t="s">
        <v>8257</v>
      </c>
      <c r="B2746" t="s">
        <v>8258</v>
      </c>
      <c r="C2746" t="s">
        <v>8256</v>
      </c>
    </row>
    <row r="2747" spans="1:3" x14ac:dyDescent="0.25">
      <c r="A2747" t="s">
        <v>8260</v>
      </c>
      <c r="B2747" t="s">
        <v>8261</v>
      </c>
      <c r="C2747" t="s">
        <v>8259</v>
      </c>
    </row>
    <row r="2748" spans="1:3" x14ac:dyDescent="0.25">
      <c r="A2748" t="s">
        <v>8262</v>
      </c>
      <c r="B2748" t="s">
        <v>8263</v>
      </c>
      <c r="C2748" t="s">
        <v>8259</v>
      </c>
    </row>
    <row r="2749" spans="1:3" x14ac:dyDescent="0.25">
      <c r="A2749" t="s">
        <v>8264</v>
      </c>
      <c r="B2749" t="s">
        <v>8265</v>
      </c>
      <c r="C2749" t="s">
        <v>8259</v>
      </c>
    </row>
    <row r="2750" spans="1:3" x14ac:dyDescent="0.25">
      <c r="A2750" t="s">
        <v>8267</v>
      </c>
      <c r="B2750" t="s">
        <v>8268</v>
      </c>
      <c r="C2750" t="s">
        <v>8266</v>
      </c>
    </row>
    <row r="2751" spans="1:3" x14ac:dyDescent="0.25">
      <c r="A2751" t="s">
        <v>8270</v>
      </c>
      <c r="B2751" t="s">
        <v>8271</v>
      </c>
      <c r="C2751" t="s">
        <v>8269</v>
      </c>
    </row>
    <row r="2752" spans="1:3" x14ac:dyDescent="0.25">
      <c r="A2752" t="s">
        <v>8273</v>
      </c>
      <c r="B2752" t="s">
        <v>8274</v>
      </c>
      <c r="C2752" t="s">
        <v>8272</v>
      </c>
    </row>
    <row r="2753" spans="1:3" x14ac:dyDescent="0.25">
      <c r="A2753" t="s">
        <v>8276</v>
      </c>
      <c r="B2753" t="s">
        <v>8277</v>
      </c>
      <c r="C2753" t="s">
        <v>8275</v>
      </c>
    </row>
    <row r="2754" spans="1:3" x14ac:dyDescent="0.25">
      <c r="A2754" t="s">
        <v>8279</v>
      </c>
      <c r="B2754" t="s">
        <v>8280</v>
      </c>
      <c r="C2754" t="s">
        <v>8278</v>
      </c>
    </row>
    <row r="2755" spans="1:3" x14ac:dyDescent="0.25">
      <c r="A2755" t="s">
        <v>8282</v>
      </c>
      <c r="B2755" t="s">
        <v>8283</v>
      </c>
      <c r="C2755" t="s">
        <v>8281</v>
      </c>
    </row>
    <row r="2756" spans="1:3" x14ac:dyDescent="0.25">
      <c r="A2756" t="s">
        <v>8285</v>
      </c>
      <c r="B2756" t="s">
        <v>8286</v>
      </c>
      <c r="C2756" t="s">
        <v>8284</v>
      </c>
    </row>
    <row r="2757" spans="1:3" x14ac:dyDescent="0.25">
      <c r="A2757" t="s">
        <v>8288</v>
      </c>
      <c r="B2757" t="s">
        <v>8289</v>
      </c>
      <c r="C2757" t="s">
        <v>8287</v>
      </c>
    </row>
    <row r="2758" spans="1:3" x14ac:dyDescent="0.25">
      <c r="A2758" t="s">
        <v>8291</v>
      </c>
      <c r="B2758" t="s">
        <v>8292</v>
      </c>
      <c r="C2758" t="s">
        <v>8290</v>
      </c>
    </row>
    <row r="2759" spans="1:3" x14ac:dyDescent="0.25">
      <c r="A2759" t="s">
        <v>8294</v>
      </c>
      <c r="B2759" t="s">
        <v>8295</v>
      </c>
      <c r="C2759" t="s">
        <v>8293</v>
      </c>
    </row>
    <row r="2760" spans="1:3" x14ac:dyDescent="0.25">
      <c r="A2760" t="s">
        <v>8297</v>
      </c>
      <c r="B2760" t="s">
        <v>8298</v>
      </c>
      <c r="C2760" t="s">
        <v>8296</v>
      </c>
    </row>
    <row r="2761" spans="1:3" x14ac:dyDescent="0.25">
      <c r="A2761" t="s">
        <v>8300</v>
      </c>
      <c r="B2761" t="s">
        <v>8301</v>
      </c>
      <c r="C2761" t="s">
        <v>8299</v>
      </c>
    </row>
    <row r="2762" spans="1:3" x14ac:dyDescent="0.25">
      <c r="A2762" t="s">
        <v>8303</v>
      </c>
      <c r="B2762" t="s">
        <v>8304</v>
      </c>
      <c r="C2762" t="s">
        <v>8302</v>
      </c>
    </row>
    <row r="2763" spans="1:3" x14ac:dyDescent="0.25">
      <c r="A2763" t="s">
        <v>8306</v>
      </c>
      <c r="B2763" t="s">
        <v>8307</v>
      </c>
      <c r="C2763" t="s">
        <v>8305</v>
      </c>
    </row>
    <row r="2764" spans="1:3" x14ac:dyDescent="0.25">
      <c r="A2764" t="s">
        <v>8309</v>
      </c>
      <c r="B2764" t="s">
        <v>8310</v>
      </c>
      <c r="C2764" t="s">
        <v>8308</v>
      </c>
    </row>
    <row r="2765" spans="1:3" x14ac:dyDescent="0.25">
      <c r="A2765" t="s">
        <v>8312</v>
      </c>
      <c r="B2765" t="s">
        <v>8313</v>
      </c>
      <c r="C2765" t="s">
        <v>8311</v>
      </c>
    </row>
    <row r="2766" spans="1:3" x14ac:dyDescent="0.25">
      <c r="A2766" t="s">
        <v>8315</v>
      </c>
      <c r="B2766" t="s">
        <v>8316</v>
      </c>
      <c r="C2766" t="s">
        <v>8314</v>
      </c>
    </row>
    <row r="2767" spans="1:3" x14ac:dyDescent="0.25">
      <c r="A2767" t="s">
        <v>8318</v>
      </c>
      <c r="B2767" t="s">
        <v>8319</v>
      </c>
      <c r="C2767" t="s">
        <v>8317</v>
      </c>
    </row>
    <row r="2768" spans="1:3" x14ac:dyDescent="0.25">
      <c r="A2768" t="s">
        <v>8321</v>
      </c>
      <c r="B2768" t="s">
        <v>8322</v>
      </c>
      <c r="C2768" t="s">
        <v>8320</v>
      </c>
    </row>
    <row r="2769" spans="1:3" x14ac:dyDescent="0.25">
      <c r="A2769" t="s">
        <v>8324</v>
      </c>
      <c r="B2769" t="s">
        <v>8325</v>
      </c>
      <c r="C2769" t="s">
        <v>8323</v>
      </c>
    </row>
    <row r="2770" spans="1:3" x14ac:dyDescent="0.25">
      <c r="A2770" t="s">
        <v>8327</v>
      </c>
      <c r="B2770" t="s">
        <v>8328</v>
      </c>
      <c r="C2770" t="s">
        <v>8326</v>
      </c>
    </row>
    <row r="2771" spans="1:3" x14ac:dyDescent="0.25">
      <c r="A2771" t="s">
        <v>8330</v>
      </c>
      <c r="B2771" t="s">
        <v>8331</v>
      </c>
      <c r="C2771" t="s">
        <v>8329</v>
      </c>
    </row>
    <row r="2772" spans="1:3" x14ac:dyDescent="0.25">
      <c r="A2772" t="s">
        <v>8333</v>
      </c>
      <c r="B2772" t="s">
        <v>8334</v>
      </c>
      <c r="C2772" t="s">
        <v>8332</v>
      </c>
    </row>
    <row r="2773" spans="1:3" x14ac:dyDescent="0.25">
      <c r="A2773" t="s">
        <v>8336</v>
      </c>
      <c r="B2773" t="s">
        <v>8337</v>
      </c>
      <c r="C2773" t="s">
        <v>8335</v>
      </c>
    </row>
    <row r="2774" spans="1:3" x14ac:dyDescent="0.25">
      <c r="A2774" t="s">
        <v>8339</v>
      </c>
      <c r="B2774" t="s">
        <v>8340</v>
      </c>
      <c r="C2774" t="s">
        <v>8338</v>
      </c>
    </row>
    <row r="2775" spans="1:3" x14ac:dyDescent="0.25">
      <c r="A2775" t="s">
        <v>8342</v>
      </c>
      <c r="B2775" t="s">
        <v>8343</v>
      </c>
      <c r="C2775" t="s">
        <v>8341</v>
      </c>
    </row>
    <row r="2776" spans="1:3" x14ac:dyDescent="0.25">
      <c r="A2776" t="s">
        <v>8345</v>
      </c>
      <c r="B2776" t="s">
        <v>8346</v>
      </c>
      <c r="C2776" t="s">
        <v>8344</v>
      </c>
    </row>
    <row r="2777" spans="1:3" x14ac:dyDescent="0.25">
      <c r="A2777" t="s">
        <v>198</v>
      </c>
      <c r="B2777" t="s">
        <v>8348</v>
      </c>
      <c r="C2777" t="s">
        <v>8347</v>
      </c>
    </row>
    <row r="2778" spans="1:3" x14ac:dyDescent="0.25">
      <c r="A2778" t="s">
        <v>8350</v>
      </c>
      <c r="B2778" t="s">
        <v>8351</v>
      </c>
      <c r="C2778" t="s">
        <v>8349</v>
      </c>
    </row>
    <row r="2779" spans="1:3" x14ac:dyDescent="0.25">
      <c r="A2779" t="s">
        <v>8353</v>
      </c>
      <c r="B2779" t="s">
        <v>8354</v>
      </c>
      <c r="C2779" t="s">
        <v>8352</v>
      </c>
    </row>
    <row r="2780" spans="1:3" x14ac:dyDescent="0.25">
      <c r="A2780" t="s">
        <v>8356</v>
      </c>
      <c r="B2780" t="s">
        <v>8357</v>
      </c>
      <c r="C2780" t="s">
        <v>8355</v>
      </c>
    </row>
    <row r="2781" spans="1:3" x14ac:dyDescent="0.25">
      <c r="A2781" t="s">
        <v>8359</v>
      </c>
      <c r="B2781" t="s">
        <v>8360</v>
      </c>
      <c r="C2781" t="s">
        <v>8358</v>
      </c>
    </row>
    <row r="2782" spans="1:3" x14ac:dyDescent="0.25">
      <c r="A2782" t="s">
        <v>8362</v>
      </c>
      <c r="B2782" t="s">
        <v>8363</v>
      </c>
      <c r="C2782" t="s">
        <v>8361</v>
      </c>
    </row>
    <row r="2783" spans="1:3" x14ac:dyDescent="0.25">
      <c r="A2783" t="s">
        <v>8365</v>
      </c>
      <c r="B2783" t="s">
        <v>8366</v>
      </c>
      <c r="C2783" t="s">
        <v>8364</v>
      </c>
    </row>
    <row r="2784" spans="1:3" x14ac:dyDescent="0.25">
      <c r="A2784" t="s">
        <v>8368</v>
      </c>
      <c r="B2784" t="s">
        <v>8369</v>
      </c>
      <c r="C2784" t="s">
        <v>8367</v>
      </c>
    </row>
    <row r="2785" spans="1:3" x14ac:dyDescent="0.25">
      <c r="A2785" t="s">
        <v>8371</v>
      </c>
      <c r="B2785" t="s">
        <v>8372</v>
      </c>
      <c r="C2785" t="s">
        <v>8370</v>
      </c>
    </row>
    <row r="2786" spans="1:3" x14ac:dyDescent="0.25">
      <c r="A2786" t="s">
        <v>8374</v>
      </c>
      <c r="B2786" t="s">
        <v>8375</v>
      </c>
      <c r="C2786" t="s">
        <v>8373</v>
      </c>
    </row>
    <row r="2787" spans="1:3" x14ac:dyDescent="0.25">
      <c r="A2787" t="s">
        <v>8377</v>
      </c>
      <c r="B2787" t="s">
        <v>8378</v>
      </c>
      <c r="C2787" t="s">
        <v>8376</v>
      </c>
    </row>
    <row r="2788" spans="1:3" x14ac:dyDescent="0.25">
      <c r="A2788" t="s">
        <v>8380</v>
      </c>
      <c r="B2788" t="s">
        <v>8381</v>
      </c>
      <c r="C2788" t="s">
        <v>8379</v>
      </c>
    </row>
    <row r="2789" spans="1:3" x14ac:dyDescent="0.25">
      <c r="A2789" t="s">
        <v>8383</v>
      </c>
      <c r="B2789" t="s">
        <v>8384</v>
      </c>
      <c r="C2789" t="s">
        <v>8382</v>
      </c>
    </row>
    <row r="2790" spans="1:3" x14ac:dyDescent="0.25">
      <c r="A2790" t="s">
        <v>8386</v>
      </c>
      <c r="B2790" t="s">
        <v>8387</v>
      </c>
      <c r="C2790" t="s">
        <v>8385</v>
      </c>
    </row>
    <row r="2791" spans="1:3" x14ac:dyDescent="0.25">
      <c r="A2791" t="s">
        <v>8389</v>
      </c>
      <c r="B2791" t="s">
        <v>8390</v>
      </c>
      <c r="C2791" t="s">
        <v>8388</v>
      </c>
    </row>
    <row r="2792" spans="1:3" x14ac:dyDescent="0.25">
      <c r="A2792" t="s">
        <v>8392</v>
      </c>
      <c r="B2792" t="s">
        <v>8393</v>
      </c>
      <c r="C2792" t="s">
        <v>8391</v>
      </c>
    </row>
    <row r="2793" spans="1:3" x14ac:dyDescent="0.25">
      <c r="A2793" t="s">
        <v>8395</v>
      </c>
      <c r="B2793" t="s">
        <v>8396</v>
      </c>
      <c r="C2793" t="s">
        <v>8394</v>
      </c>
    </row>
    <row r="2794" spans="1:3" x14ac:dyDescent="0.25">
      <c r="A2794" t="s">
        <v>8398</v>
      </c>
      <c r="B2794" t="s">
        <v>8399</v>
      </c>
      <c r="C2794" t="s">
        <v>8397</v>
      </c>
    </row>
    <row r="2795" spans="1:3" x14ac:dyDescent="0.25">
      <c r="A2795" t="s">
        <v>8401</v>
      </c>
      <c r="B2795" t="s">
        <v>8402</v>
      </c>
      <c r="C2795" t="s">
        <v>8400</v>
      </c>
    </row>
    <row r="2796" spans="1:3" x14ac:dyDescent="0.25">
      <c r="A2796" t="s">
        <v>8404</v>
      </c>
      <c r="B2796" t="s">
        <v>8405</v>
      </c>
      <c r="C2796" t="s">
        <v>8403</v>
      </c>
    </row>
    <row r="2797" spans="1:3" x14ac:dyDescent="0.25">
      <c r="A2797" t="s">
        <v>8407</v>
      </c>
      <c r="B2797" t="s">
        <v>8408</v>
      </c>
      <c r="C2797" t="s">
        <v>8406</v>
      </c>
    </row>
    <row r="2798" spans="1:3" x14ac:dyDescent="0.25">
      <c r="A2798" t="s">
        <v>8410</v>
      </c>
      <c r="B2798" t="s">
        <v>8411</v>
      </c>
      <c r="C2798" t="s">
        <v>8409</v>
      </c>
    </row>
    <row r="2799" spans="1:3" x14ac:dyDescent="0.25">
      <c r="A2799" t="s">
        <v>8413</v>
      </c>
      <c r="B2799" t="s">
        <v>8414</v>
      </c>
      <c r="C2799" t="s">
        <v>8412</v>
      </c>
    </row>
    <row r="2800" spans="1:3" x14ac:dyDescent="0.25">
      <c r="A2800" t="s">
        <v>8416</v>
      </c>
      <c r="B2800" t="s">
        <v>8417</v>
      </c>
      <c r="C2800" t="s">
        <v>8415</v>
      </c>
    </row>
    <row r="2801" spans="1:3" x14ac:dyDescent="0.25">
      <c r="A2801" t="s">
        <v>8419</v>
      </c>
      <c r="B2801" t="s">
        <v>8420</v>
      </c>
      <c r="C2801" t="s">
        <v>8418</v>
      </c>
    </row>
    <row r="2802" spans="1:3" x14ac:dyDescent="0.25">
      <c r="A2802" t="s">
        <v>8422</v>
      </c>
      <c r="B2802" t="s">
        <v>8423</v>
      </c>
      <c r="C2802" t="s">
        <v>8421</v>
      </c>
    </row>
    <row r="2803" spans="1:3" x14ac:dyDescent="0.25">
      <c r="A2803" t="s">
        <v>8425</v>
      </c>
      <c r="B2803" t="s">
        <v>8426</v>
      </c>
      <c r="C2803" t="s">
        <v>8424</v>
      </c>
    </row>
    <row r="2804" spans="1:3" x14ac:dyDescent="0.25">
      <c r="A2804" t="s">
        <v>8428</v>
      </c>
      <c r="B2804" t="s">
        <v>8429</v>
      </c>
      <c r="C2804" t="s">
        <v>8427</v>
      </c>
    </row>
    <row r="2805" spans="1:3" x14ac:dyDescent="0.25">
      <c r="A2805" t="s">
        <v>8431</v>
      </c>
      <c r="B2805" t="s">
        <v>8432</v>
      </c>
      <c r="C2805" t="s">
        <v>8430</v>
      </c>
    </row>
    <row r="2806" spans="1:3" x14ac:dyDescent="0.25">
      <c r="A2806" t="s">
        <v>8434</v>
      </c>
      <c r="B2806" t="s">
        <v>8435</v>
      </c>
      <c r="C2806" t="s">
        <v>8433</v>
      </c>
    </row>
    <row r="2807" spans="1:3" x14ac:dyDescent="0.25">
      <c r="A2807" t="s">
        <v>8437</v>
      </c>
      <c r="B2807" t="s">
        <v>8438</v>
      </c>
      <c r="C2807" t="s">
        <v>8436</v>
      </c>
    </row>
    <row r="2808" spans="1:3" x14ac:dyDescent="0.25">
      <c r="A2808" t="s">
        <v>8440</v>
      </c>
      <c r="B2808" t="s">
        <v>8441</v>
      </c>
      <c r="C2808" t="s">
        <v>8439</v>
      </c>
    </row>
    <row r="2809" spans="1:3" x14ac:dyDescent="0.25">
      <c r="A2809" t="s">
        <v>8443</v>
      </c>
      <c r="B2809" t="s">
        <v>8444</v>
      </c>
      <c r="C2809" t="s">
        <v>8442</v>
      </c>
    </row>
    <row r="2810" spans="1:3" x14ac:dyDescent="0.25">
      <c r="A2810" t="s">
        <v>8446</v>
      </c>
      <c r="B2810" t="s">
        <v>8447</v>
      </c>
      <c r="C2810" t="s">
        <v>8445</v>
      </c>
    </row>
    <row r="2811" spans="1:3" x14ac:dyDescent="0.25">
      <c r="A2811" t="s">
        <v>8449</v>
      </c>
      <c r="B2811" t="s">
        <v>8450</v>
      </c>
      <c r="C2811" t="s">
        <v>8448</v>
      </c>
    </row>
    <row r="2812" spans="1:3" x14ac:dyDescent="0.25">
      <c r="A2812" t="s">
        <v>8452</v>
      </c>
      <c r="B2812" t="s">
        <v>8453</v>
      </c>
      <c r="C2812" t="s">
        <v>8451</v>
      </c>
    </row>
    <row r="2813" spans="1:3" x14ac:dyDescent="0.25">
      <c r="A2813" t="s">
        <v>8455</v>
      </c>
      <c r="B2813" t="s">
        <v>8456</v>
      </c>
      <c r="C2813" t="s">
        <v>8454</v>
      </c>
    </row>
    <row r="2814" spans="1:3" x14ac:dyDescent="0.25">
      <c r="A2814" t="s">
        <v>8458</v>
      </c>
      <c r="B2814" t="s">
        <v>8459</v>
      </c>
      <c r="C2814" t="s">
        <v>8457</v>
      </c>
    </row>
    <row r="2815" spans="1:3" x14ac:dyDescent="0.25">
      <c r="A2815" t="s">
        <v>8461</v>
      </c>
      <c r="B2815" t="s">
        <v>8462</v>
      </c>
      <c r="C2815" t="s">
        <v>8460</v>
      </c>
    </row>
    <row r="2816" spans="1:3" x14ac:dyDescent="0.25">
      <c r="A2816" t="s">
        <v>8464</v>
      </c>
      <c r="B2816" t="s">
        <v>8465</v>
      </c>
      <c r="C2816" t="s">
        <v>8463</v>
      </c>
    </row>
    <row r="2817" spans="1:3" x14ac:dyDescent="0.25">
      <c r="A2817" t="s">
        <v>8467</v>
      </c>
      <c r="B2817" t="s">
        <v>8468</v>
      </c>
      <c r="C2817" t="s">
        <v>8466</v>
      </c>
    </row>
    <row r="2818" spans="1:3" x14ac:dyDescent="0.25">
      <c r="A2818" t="s">
        <v>8470</v>
      </c>
      <c r="B2818" t="s">
        <v>8471</v>
      </c>
      <c r="C2818" t="s">
        <v>8469</v>
      </c>
    </row>
    <row r="2819" spans="1:3" x14ac:dyDescent="0.25">
      <c r="A2819" t="s">
        <v>8473</v>
      </c>
      <c r="B2819" t="s">
        <v>8474</v>
      </c>
      <c r="C2819" t="s">
        <v>8472</v>
      </c>
    </row>
    <row r="2820" spans="1:3" x14ac:dyDescent="0.25">
      <c r="A2820" t="s">
        <v>8476</v>
      </c>
      <c r="B2820" t="s">
        <v>8477</v>
      </c>
      <c r="C2820" t="s">
        <v>8475</v>
      </c>
    </row>
    <row r="2821" spans="1:3" x14ac:dyDescent="0.25">
      <c r="A2821" t="s">
        <v>8479</v>
      </c>
      <c r="B2821" t="s">
        <v>8480</v>
      </c>
      <c r="C2821" t="s">
        <v>8478</v>
      </c>
    </row>
    <row r="2822" spans="1:3" x14ac:dyDescent="0.25">
      <c r="A2822" t="s">
        <v>8482</v>
      </c>
      <c r="B2822" t="s">
        <v>8483</v>
      </c>
      <c r="C2822" t="s">
        <v>8481</v>
      </c>
    </row>
    <row r="2823" spans="1:3" x14ac:dyDescent="0.25">
      <c r="A2823" t="s">
        <v>8485</v>
      </c>
      <c r="B2823" t="s">
        <v>8486</v>
      </c>
      <c r="C2823" t="s">
        <v>8484</v>
      </c>
    </row>
    <row r="2824" spans="1:3" x14ac:dyDescent="0.25">
      <c r="A2824" t="s">
        <v>8488</v>
      </c>
      <c r="B2824" t="s">
        <v>8489</v>
      </c>
      <c r="C2824" t="s">
        <v>8487</v>
      </c>
    </row>
    <row r="2825" spans="1:3" x14ac:dyDescent="0.25">
      <c r="A2825" t="s">
        <v>8491</v>
      </c>
      <c r="B2825" t="s">
        <v>8492</v>
      </c>
      <c r="C2825" t="s">
        <v>8490</v>
      </c>
    </row>
    <row r="2826" spans="1:3" x14ac:dyDescent="0.25">
      <c r="A2826" t="s">
        <v>8494</v>
      </c>
      <c r="B2826" t="s">
        <v>8495</v>
      </c>
      <c r="C2826" t="s">
        <v>8493</v>
      </c>
    </row>
    <row r="2827" spans="1:3" x14ac:dyDescent="0.25">
      <c r="A2827" t="s">
        <v>8497</v>
      </c>
      <c r="B2827" t="s">
        <v>8498</v>
      </c>
      <c r="C2827" t="s">
        <v>8496</v>
      </c>
    </row>
    <row r="2828" spans="1:3" x14ac:dyDescent="0.25">
      <c r="A2828" t="s">
        <v>8500</v>
      </c>
      <c r="B2828" t="s">
        <v>8501</v>
      </c>
      <c r="C2828" t="s">
        <v>8499</v>
      </c>
    </row>
    <row r="2829" spans="1:3" x14ac:dyDescent="0.25">
      <c r="A2829" t="s">
        <v>8503</v>
      </c>
      <c r="B2829" t="s">
        <v>8504</v>
      </c>
      <c r="C2829" t="s">
        <v>8502</v>
      </c>
    </row>
    <row r="2830" spans="1:3" x14ac:dyDescent="0.25">
      <c r="A2830" t="s">
        <v>8506</v>
      </c>
      <c r="B2830" t="s">
        <v>8507</v>
      </c>
      <c r="C2830" t="s">
        <v>8505</v>
      </c>
    </row>
    <row r="2831" spans="1:3" x14ac:dyDescent="0.25">
      <c r="A2831" t="s">
        <v>8509</v>
      </c>
      <c r="B2831" t="s">
        <v>8480</v>
      </c>
      <c r="C2831" t="s">
        <v>8508</v>
      </c>
    </row>
    <row r="2832" spans="1:3" x14ac:dyDescent="0.25">
      <c r="A2832" t="s">
        <v>8511</v>
      </c>
      <c r="B2832" t="s">
        <v>8512</v>
      </c>
      <c r="C2832" t="s">
        <v>8510</v>
      </c>
    </row>
    <row r="2833" spans="1:3" x14ac:dyDescent="0.25">
      <c r="A2833" t="s">
        <v>8514</v>
      </c>
      <c r="B2833" t="s">
        <v>8515</v>
      </c>
      <c r="C2833" t="s">
        <v>8513</v>
      </c>
    </row>
    <row r="2834" spans="1:3" x14ac:dyDescent="0.25">
      <c r="A2834" t="s">
        <v>8517</v>
      </c>
      <c r="B2834" t="s">
        <v>8518</v>
      </c>
      <c r="C2834" t="s">
        <v>8516</v>
      </c>
    </row>
    <row r="2835" spans="1:3" x14ac:dyDescent="0.25">
      <c r="A2835" t="s">
        <v>8520</v>
      </c>
      <c r="B2835" t="s">
        <v>8521</v>
      </c>
      <c r="C2835" t="s">
        <v>8519</v>
      </c>
    </row>
    <row r="2836" spans="1:3" x14ac:dyDescent="0.25">
      <c r="A2836" t="s">
        <v>8523</v>
      </c>
      <c r="B2836" t="s">
        <v>8524</v>
      </c>
      <c r="C2836" t="s">
        <v>8522</v>
      </c>
    </row>
    <row r="2837" spans="1:3" x14ac:dyDescent="0.25">
      <c r="A2837" t="s">
        <v>8526</v>
      </c>
      <c r="B2837" t="s">
        <v>8527</v>
      </c>
      <c r="C2837" t="s">
        <v>8525</v>
      </c>
    </row>
    <row r="2838" spans="1:3" x14ac:dyDescent="0.25">
      <c r="A2838" t="s">
        <v>8529</v>
      </c>
      <c r="B2838" t="s">
        <v>8530</v>
      </c>
      <c r="C2838" t="s">
        <v>8528</v>
      </c>
    </row>
    <row r="2839" spans="1:3" x14ac:dyDescent="0.25">
      <c r="A2839" t="s">
        <v>8532</v>
      </c>
      <c r="B2839" t="s">
        <v>8533</v>
      </c>
      <c r="C2839" t="s">
        <v>8531</v>
      </c>
    </row>
    <row r="2840" spans="1:3" x14ac:dyDescent="0.25">
      <c r="A2840" t="s">
        <v>8535</v>
      </c>
      <c r="B2840" t="s">
        <v>8536</v>
      </c>
      <c r="C2840" t="s">
        <v>8534</v>
      </c>
    </row>
    <row r="2841" spans="1:3" x14ac:dyDescent="0.25">
      <c r="A2841" t="s">
        <v>8538</v>
      </c>
      <c r="B2841" t="s">
        <v>8539</v>
      </c>
      <c r="C2841" t="s">
        <v>8537</v>
      </c>
    </row>
    <row r="2842" spans="1:3" x14ac:dyDescent="0.25">
      <c r="A2842" t="s">
        <v>8541</v>
      </c>
      <c r="B2842" t="s">
        <v>8542</v>
      </c>
      <c r="C2842" t="s">
        <v>8540</v>
      </c>
    </row>
    <row r="2843" spans="1:3" x14ac:dyDescent="0.25">
      <c r="A2843" t="s">
        <v>8544</v>
      </c>
      <c r="B2843" t="s">
        <v>8545</v>
      </c>
      <c r="C2843" t="s">
        <v>8543</v>
      </c>
    </row>
    <row r="2844" spans="1:3" x14ac:dyDescent="0.25">
      <c r="A2844" t="s">
        <v>8547</v>
      </c>
      <c r="B2844" t="s">
        <v>8548</v>
      </c>
      <c r="C2844" t="s">
        <v>8546</v>
      </c>
    </row>
    <row r="2845" spans="1:3" x14ac:dyDescent="0.25">
      <c r="A2845" t="s">
        <v>8550</v>
      </c>
      <c r="B2845" t="s">
        <v>8551</v>
      </c>
      <c r="C2845" t="s">
        <v>8549</v>
      </c>
    </row>
    <row r="2846" spans="1:3" x14ac:dyDescent="0.25">
      <c r="A2846" t="s">
        <v>8553</v>
      </c>
      <c r="B2846" t="s">
        <v>8554</v>
      </c>
      <c r="C2846" t="s">
        <v>8552</v>
      </c>
    </row>
    <row r="2847" spans="1:3" x14ac:dyDescent="0.25">
      <c r="A2847" t="s">
        <v>8556</v>
      </c>
      <c r="B2847" t="s">
        <v>5062</v>
      </c>
      <c r="C2847" t="s">
        <v>8555</v>
      </c>
    </row>
    <row r="2848" spans="1:3" x14ac:dyDescent="0.25">
      <c r="A2848" t="s">
        <v>8558</v>
      </c>
      <c r="B2848" t="s">
        <v>8559</v>
      </c>
      <c r="C2848" t="s">
        <v>8557</v>
      </c>
    </row>
    <row r="2849" spans="1:3" x14ac:dyDescent="0.25">
      <c r="A2849" t="s">
        <v>8561</v>
      </c>
      <c r="B2849" t="s">
        <v>8562</v>
      </c>
      <c r="C2849" t="s">
        <v>8560</v>
      </c>
    </row>
    <row r="2850" spans="1:3" x14ac:dyDescent="0.25">
      <c r="A2850" t="s">
        <v>8564</v>
      </c>
      <c r="B2850" t="s">
        <v>8565</v>
      </c>
      <c r="C2850" t="s">
        <v>8563</v>
      </c>
    </row>
    <row r="2851" spans="1:3" x14ac:dyDescent="0.25">
      <c r="A2851" t="s">
        <v>8567</v>
      </c>
      <c r="B2851" t="s">
        <v>8568</v>
      </c>
      <c r="C2851" t="s">
        <v>8566</v>
      </c>
    </row>
    <row r="2852" spans="1:3" x14ac:dyDescent="0.25">
      <c r="A2852" t="s">
        <v>8570</v>
      </c>
      <c r="B2852" t="s">
        <v>8571</v>
      </c>
      <c r="C2852" t="s">
        <v>8569</v>
      </c>
    </row>
    <row r="2853" spans="1:3" x14ac:dyDescent="0.25">
      <c r="A2853" t="s">
        <v>8573</v>
      </c>
      <c r="B2853" t="s">
        <v>8574</v>
      </c>
      <c r="C2853" t="s">
        <v>8572</v>
      </c>
    </row>
    <row r="2854" spans="1:3" x14ac:dyDescent="0.25">
      <c r="A2854" t="s">
        <v>8576</v>
      </c>
      <c r="B2854" t="s">
        <v>8577</v>
      </c>
      <c r="C2854" t="s">
        <v>8575</v>
      </c>
    </row>
    <row r="2855" spans="1:3" x14ac:dyDescent="0.25">
      <c r="A2855" t="s">
        <v>8579</v>
      </c>
      <c r="B2855" t="s">
        <v>8580</v>
      </c>
      <c r="C2855" t="s">
        <v>8578</v>
      </c>
    </row>
    <row r="2856" spans="1:3" x14ac:dyDescent="0.25">
      <c r="A2856" t="s">
        <v>8582</v>
      </c>
      <c r="B2856" t="s">
        <v>8583</v>
      </c>
      <c r="C2856" t="s">
        <v>8581</v>
      </c>
    </row>
    <row r="2857" spans="1:3" x14ac:dyDescent="0.25">
      <c r="A2857" t="s">
        <v>8585</v>
      </c>
      <c r="B2857" t="s">
        <v>8586</v>
      </c>
      <c r="C2857" t="s">
        <v>8584</v>
      </c>
    </row>
    <row r="2858" spans="1:3" x14ac:dyDescent="0.25">
      <c r="A2858" t="s">
        <v>8588</v>
      </c>
      <c r="B2858" t="s">
        <v>8589</v>
      </c>
      <c r="C2858" t="s">
        <v>8587</v>
      </c>
    </row>
    <row r="2859" spans="1:3" x14ac:dyDescent="0.25">
      <c r="A2859" t="s">
        <v>8591</v>
      </c>
      <c r="B2859" t="s">
        <v>8592</v>
      </c>
      <c r="C2859" t="s">
        <v>8590</v>
      </c>
    </row>
    <row r="2860" spans="1:3" x14ac:dyDescent="0.25">
      <c r="A2860" t="s">
        <v>8594</v>
      </c>
      <c r="B2860" t="s">
        <v>8595</v>
      </c>
      <c r="C2860" t="s">
        <v>8593</v>
      </c>
    </row>
    <row r="2861" spans="1:3" x14ac:dyDescent="0.25">
      <c r="A2861" t="s">
        <v>8597</v>
      </c>
      <c r="B2861" t="s">
        <v>8598</v>
      </c>
      <c r="C2861" t="s">
        <v>8596</v>
      </c>
    </row>
    <row r="2862" spans="1:3" x14ac:dyDescent="0.25">
      <c r="A2862" t="s">
        <v>8600</v>
      </c>
      <c r="B2862" t="s">
        <v>8601</v>
      </c>
      <c r="C2862" t="s">
        <v>8599</v>
      </c>
    </row>
    <row r="2863" spans="1:3" x14ac:dyDescent="0.25">
      <c r="A2863" t="s">
        <v>8603</v>
      </c>
      <c r="B2863" t="s">
        <v>8604</v>
      </c>
      <c r="C2863" t="s">
        <v>8602</v>
      </c>
    </row>
    <row r="2864" spans="1:3" x14ac:dyDescent="0.25">
      <c r="A2864" t="s">
        <v>8606</v>
      </c>
      <c r="B2864" t="s">
        <v>8607</v>
      </c>
      <c r="C2864" t="s">
        <v>8605</v>
      </c>
    </row>
    <row r="2865" spans="1:3" x14ac:dyDescent="0.25">
      <c r="A2865" t="s">
        <v>8609</v>
      </c>
      <c r="B2865" t="s">
        <v>8610</v>
      </c>
      <c r="C2865" t="s">
        <v>8608</v>
      </c>
    </row>
    <row r="2866" spans="1:3" x14ac:dyDescent="0.25">
      <c r="A2866" t="s">
        <v>8612</v>
      </c>
      <c r="B2866" t="s">
        <v>8613</v>
      </c>
      <c r="C2866" t="s">
        <v>8611</v>
      </c>
    </row>
    <row r="2867" spans="1:3" x14ac:dyDescent="0.25">
      <c r="A2867" t="s">
        <v>8615</v>
      </c>
      <c r="B2867" t="s">
        <v>8616</v>
      </c>
      <c r="C2867" t="s">
        <v>8614</v>
      </c>
    </row>
    <row r="2868" spans="1:3" x14ac:dyDescent="0.25">
      <c r="A2868" t="s">
        <v>8618</v>
      </c>
      <c r="B2868" t="s">
        <v>8616</v>
      </c>
      <c r="C2868" t="s">
        <v>8617</v>
      </c>
    </row>
    <row r="2869" spans="1:3" x14ac:dyDescent="0.25">
      <c r="A2869" t="s">
        <v>8620</v>
      </c>
      <c r="B2869" t="s">
        <v>8621</v>
      </c>
      <c r="C2869" t="s">
        <v>8619</v>
      </c>
    </row>
    <row r="2870" spans="1:3" x14ac:dyDescent="0.25">
      <c r="A2870" t="s">
        <v>8623</v>
      </c>
      <c r="B2870" t="s">
        <v>8624</v>
      </c>
      <c r="C2870" t="s">
        <v>8622</v>
      </c>
    </row>
    <row r="2871" spans="1:3" x14ac:dyDescent="0.25">
      <c r="A2871" t="s">
        <v>8626</v>
      </c>
      <c r="B2871" t="s">
        <v>8627</v>
      </c>
      <c r="C2871" t="s">
        <v>8625</v>
      </c>
    </row>
    <row r="2872" spans="1:3" x14ac:dyDescent="0.25">
      <c r="A2872" t="s">
        <v>8629</v>
      </c>
      <c r="B2872" t="s">
        <v>8630</v>
      </c>
      <c r="C2872" t="s">
        <v>8628</v>
      </c>
    </row>
    <row r="2873" spans="1:3" x14ac:dyDescent="0.25">
      <c r="A2873" t="s">
        <v>8632</v>
      </c>
      <c r="B2873" t="s">
        <v>8633</v>
      </c>
      <c r="C2873" t="s">
        <v>8631</v>
      </c>
    </row>
    <row r="2874" spans="1:3" x14ac:dyDescent="0.25">
      <c r="A2874" t="s">
        <v>8635</v>
      </c>
      <c r="B2874" t="s">
        <v>8636</v>
      </c>
      <c r="C2874" t="s">
        <v>8634</v>
      </c>
    </row>
    <row r="2875" spans="1:3" x14ac:dyDescent="0.25">
      <c r="A2875" t="s">
        <v>8638</v>
      </c>
      <c r="B2875" t="s">
        <v>8639</v>
      </c>
      <c r="C2875" t="s">
        <v>8637</v>
      </c>
    </row>
    <row r="2876" spans="1:3" x14ac:dyDescent="0.25">
      <c r="A2876" t="s">
        <v>8641</v>
      </c>
      <c r="B2876" t="s">
        <v>8642</v>
      </c>
      <c r="C2876" t="s">
        <v>8640</v>
      </c>
    </row>
    <row r="2877" spans="1:3" x14ac:dyDescent="0.25">
      <c r="A2877" t="s">
        <v>8644</v>
      </c>
      <c r="B2877" t="s">
        <v>8645</v>
      </c>
      <c r="C2877" t="s">
        <v>8643</v>
      </c>
    </row>
    <row r="2878" spans="1:3" x14ac:dyDescent="0.25">
      <c r="A2878" t="s">
        <v>8647</v>
      </c>
      <c r="B2878" t="s">
        <v>8648</v>
      </c>
      <c r="C2878" t="s">
        <v>8646</v>
      </c>
    </row>
    <row r="2879" spans="1:3" x14ac:dyDescent="0.25">
      <c r="A2879" t="s">
        <v>8650</v>
      </c>
      <c r="B2879" t="s">
        <v>8651</v>
      </c>
      <c r="C2879" t="s">
        <v>8649</v>
      </c>
    </row>
    <row r="2880" spans="1:3" x14ac:dyDescent="0.25">
      <c r="A2880" t="s">
        <v>8653</v>
      </c>
      <c r="B2880" t="s">
        <v>8654</v>
      </c>
      <c r="C2880" t="s">
        <v>8652</v>
      </c>
    </row>
    <row r="2881" spans="1:3" x14ac:dyDescent="0.25">
      <c r="A2881" t="s">
        <v>8656</v>
      </c>
      <c r="B2881" t="s">
        <v>8657</v>
      </c>
      <c r="C2881" t="s">
        <v>8655</v>
      </c>
    </row>
    <row r="2882" spans="1:3" x14ac:dyDescent="0.25">
      <c r="A2882" t="s">
        <v>8659</v>
      </c>
      <c r="B2882" t="s">
        <v>8660</v>
      </c>
      <c r="C2882" t="s">
        <v>8658</v>
      </c>
    </row>
    <row r="2883" spans="1:3" x14ac:dyDescent="0.25">
      <c r="A2883" t="s">
        <v>8662</v>
      </c>
      <c r="B2883" t="s">
        <v>8663</v>
      </c>
      <c r="C2883" t="s">
        <v>8661</v>
      </c>
    </row>
    <row r="2884" spans="1:3" x14ac:dyDescent="0.25">
      <c r="A2884" t="s">
        <v>8665</v>
      </c>
      <c r="B2884" t="s">
        <v>8666</v>
      </c>
      <c r="C2884" t="s">
        <v>8664</v>
      </c>
    </row>
    <row r="2885" spans="1:3" x14ac:dyDescent="0.25">
      <c r="A2885" t="s">
        <v>8668</v>
      </c>
      <c r="B2885" t="s">
        <v>8669</v>
      </c>
      <c r="C2885" t="s">
        <v>8667</v>
      </c>
    </row>
    <row r="2886" spans="1:3" x14ac:dyDescent="0.25">
      <c r="A2886" t="s">
        <v>8671</v>
      </c>
      <c r="B2886" t="s">
        <v>8672</v>
      </c>
      <c r="C2886" t="s">
        <v>8670</v>
      </c>
    </row>
    <row r="2887" spans="1:3" x14ac:dyDescent="0.25">
      <c r="A2887" t="s">
        <v>8674</v>
      </c>
      <c r="B2887" t="s">
        <v>8675</v>
      </c>
      <c r="C2887" t="s">
        <v>8673</v>
      </c>
    </row>
    <row r="2888" spans="1:3" x14ac:dyDescent="0.25">
      <c r="A2888" t="s">
        <v>8677</v>
      </c>
      <c r="B2888" t="s">
        <v>8678</v>
      </c>
      <c r="C2888" t="s">
        <v>8676</v>
      </c>
    </row>
    <row r="2889" spans="1:3" x14ac:dyDescent="0.25">
      <c r="A2889" t="s">
        <v>8680</v>
      </c>
      <c r="B2889" t="s">
        <v>8681</v>
      </c>
      <c r="C2889" t="s">
        <v>8679</v>
      </c>
    </row>
    <row r="2890" spans="1:3" x14ac:dyDescent="0.25">
      <c r="A2890" t="s">
        <v>8683</v>
      </c>
      <c r="B2890" t="s">
        <v>8684</v>
      </c>
      <c r="C2890" t="s">
        <v>8682</v>
      </c>
    </row>
    <row r="2891" spans="1:3" x14ac:dyDescent="0.25">
      <c r="A2891" t="s">
        <v>8686</v>
      </c>
      <c r="B2891" t="s">
        <v>8687</v>
      </c>
      <c r="C2891" t="s">
        <v>8685</v>
      </c>
    </row>
    <row r="2892" spans="1:3" x14ac:dyDescent="0.25">
      <c r="A2892" t="s">
        <v>8689</v>
      </c>
      <c r="B2892" t="s">
        <v>8690</v>
      </c>
      <c r="C2892" t="s">
        <v>8688</v>
      </c>
    </row>
    <row r="2893" spans="1:3" x14ac:dyDescent="0.25">
      <c r="A2893" t="s">
        <v>8692</v>
      </c>
      <c r="B2893" t="s">
        <v>8693</v>
      </c>
      <c r="C2893" t="s">
        <v>8691</v>
      </c>
    </row>
    <row r="2894" spans="1:3" x14ac:dyDescent="0.25">
      <c r="A2894" t="s">
        <v>8695</v>
      </c>
      <c r="B2894" t="s">
        <v>8696</v>
      </c>
      <c r="C2894" t="s">
        <v>8694</v>
      </c>
    </row>
    <row r="2895" spans="1:3" x14ac:dyDescent="0.25">
      <c r="A2895" t="s">
        <v>8698</v>
      </c>
      <c r="B2895" t="s">
        <v>8699</v>
      </c>
      <c r="C2895" t="s">
        <v>8697</v>
      </c>
    </row>
    <row r="2896" spans="1:3" x14ac:dyDescent="0.25">
      <c r="A2896" t="s">
        <v>8701</v>
      </c>
      <c r="B2896" t="s">
        <v>8702</v>
      </c>
      <c r="C2896" t="s">
        <v>8700</v>
      </c>
    </row>
    <row r="2897" spans="1:3" x14ac:dyDescent="0.25">
      <c r="A2897" t="s">
        <v>8704</v>
      </c>
      <c r="B2897" t="s">
        <v>8705</v>
      </c>
      <c r="C2897" t="s">
        <v>8703</v>
      </c>
    </row>
    <row r="2898" spans="1:3" x14ac:dyDescent="0.25">
      <c r="A2898" t="s">
        <v>8707</v>
      </c>
      <c r="B2898" t="s">
        <v>8708</v>
      </c>
      <c r="C2898" t="s">
        <v>8706</v>
      </c>
    </row>
    <row r="2899" spans="1:3" x14ac:dyDescent="0.25">
      <c r="A2899" t="s">
        <v>8710</v>
      </c>
      <c r="B2899" t="s">
        <v>8711</v>
      </c>
      <c r="C2899" t="s">
        <v>8709</v>
      </c>
    </row>
    <row r="2900" spans="1:3" x14ac:dyDescent="0.25">
      <c r="A2900" t="s">
        <v>8713</v>
      </c>
      <c r="B2900" t="s">
        <v>8714</v>
      </c>
      <c r="C2900" t="s">
        <v>8712</v>
      </c>
    </row>
    <row r="2901" spans="1:3" x14ac:dyDescent="0.25">
      <c r="A2901" t="s">
        <v>8716</v>
      </c>
      <c r="B2901" t="s">
        <v>8717</v>
      </c>
      <c r="C2901" t="s">
        <v>8715</v>
      </c>
    </row>
    <row r="2902" spans="1:3" x14ac:dyDescent="0.25">
      <c r="A2902" t="s">
        <v>8719</v>
      </c>
      <c r="B2902" t="s">
        <v>8720</v>
      </c>
      <c r="C2902" t="s">
        <v>8718</v>
      </c>
    </row>
    <row r="2903" spans="1:3" x14ac:dyDescent="0.25">
      <c r="A2903" t="s">
        <v>8722</v>
      </c>
      <c r="B2903" t="s">
        <v>8723</v>
      </c>
      <c r="C2903" t="s">
        <v>8721</v>
      </c>
    </row>
    <row r="2904" spans="1:3" x14ac:dyDescent="0.25">
      <c r="A2904" t="s">
        <v>8725</v>
      </c>
      <c r="B2904" t="s">
        <v>8726</v>
      </c>
      <c r="C2904" t="s">
        <v>8724</v>
      </c>
    </row>
    <row r="2905" spans="1:3" x14ac:dyDescent="0.25">
      <c r="A2905" t="s">
        <v>8728</v>
      </c>
      <c r="B2905" t="s">
        <v>8729</v>
      </c>
      <c r="C2905" t="s">
        <v>8727</v>
      </c>
    </row>
    <row r="2906" spans="1:3" x14ac:dyDescent="0.25">
      <c r="A2906" t="s">
        <v>8731</v>
      </c>
      <c r="B2906" t="s">
        <v>8732</v>
      </c>
      <c r="C2906" t="s">
        <v>8730</v>
      </c>
    </row>
    <row r="2907" spans="1:3" x14ac:dyDescent="0.25">
      <c r="A2907" t="s">
        <v>8734</v>
      </c>
      <c r="B2907" t="s">
        <v>8735</v>
      </c>
      <c r="C2907" t="s">
        <v>8733</v>
      </c>
    </row>
    <row r="2908" spans="1:3" x14ac:dyDescent="0.25">
      <c r="A2908" t="s">
        <v>8737</v>
      </c>
      <c r="B2908" t="s">
        <v>8738</v>
      </c>
      <c r="C2908" t="s">
        <v>8736</v>
      </c>
    </row>
    <row r="2909" spans="1:3" x14ac:dyDescent="0.25">
      <c r="A2909" t="s">
        <v>8740</v>
      </c>
      <c r="B2909" t="s">
        <v>8741</v>
      </c>
      <c r="C2909" t="s">
        <v>8739</v>
      </c>
    </row>
    <row r="2910" spans="1:3" x14ac:dyDescent="0.25">
      <c r="A2910" t="s">
        <v>8743</v>
      </c>
      <c r="B2910" t="s">
        <v>8744</v>
      </c>
      <c r="C2910" t="s">
        <v>8742</v>
      </c>
    </row>
    <row r="2911" spans="1:3" x14ac:dyDescent="0.25">
      <c r="A2911" t="s">
        <v>8746</v>
      </c>
      <c r="B2911" t="s">
        <v>8747</v>
      </c>
      <c r="C2911" t="s">
        <v>8745</v>
      </c>
    </row>
    <row r="2912" spans="1:3" x14ac:dyDescent="0.25">
      <c r="A2912" t="s">
        <v>8749</v>
      </c>
      <c r="B2912" t="s">
        <v>8750</v>
      </c>
      <c r="C2912" t="s">
        <v>8748</v>
      </c>
    </row>
    <row r="2913" spans="1:3" x14ac:dyDescent="0.25">
      <c r="A2913" t="s">
        <v>8752</v>
      </c>
      <c r="B2913" t="s">
        <v>8753</v>
      </c>
      <c r="C2913" t="s">
        <v>8751</v>
      </c>
    </row>
    <row r="2914" spans="1:3" x14ac:dyDescent="0.25">
      <c r="A2914" t="s">
        <v>8755</v>
      </c>
      <c r="B2914" t="s">
        <v>8756</v>
      </c>
      <c r="C2914" t="s">
        <v>8754</v>
      </c>
    </row>
    <row r="2915" spans="1:3" x14ac:dyDescent="0.25">
      <c r="A2915" t="s">
        <v>8758</v>
      </c>
      <c r="B2915" t="s">
        <v>8759</v>
      </c>
      <c r="C2915" t="s">
        <v>8757</v>
      </c>
    </row>
    <row r="2916" spans="1:3" x14ac:dyDescent="0.25">
      <c r="A2916" t="s">
        <v>8761</v>
      </c>
      <c r="B2916" t="s">
        <v>8762</v>
      </c>
      <c r="C2916" t="s">
        <v>8760</v>
      </c>
    </row>
    <row r="2917" spans="1:3" x14ac:dyDescent="0.25">
      <c r="A2917" t="s">
        <v>8764</v>
      </c>
      <c r="B2917" t="s">
        <v>8765</v>
      </c>
      <c r="C2917" t="s">
        <v>8763</v>
      </c>
    </row>
    <row r="2918" spans="1:3" x14ac:dyDescent="0.25">
      <c r="A2918" t="s">
        <v>8767</v>
      </c>
      <c r="B2918" t="s">
        <v>8768</v>
      </c>
      <c r="C2918" t="s">
        <v>8766</v>
      </c>
    </row>
    <row r="2919" spans="1:3" x14ac:dyDescent="0.25">
      <c r="A2919" t="s">
        <v>8770</v>
      </c>
      <c r="B2919" t="s">
        <v>8771</v>
      </c>
      <c r="C2919" t="s">
        <v>8769</v>
      </c>
    </row>
    <row r="2920" spans="1:3" x14ac:dyDescent="0.25">
      <c r="A2920" t="s">
        <v>8773</v>
      </c>
      <c r="B2920" t="s">
        <v>8774</v>
      </c>
      <c r="C2920" t="s">
        <v>8772</v>
      </c>
    </row>
    <row r="2921" spans="1:3" x14ac:dyDescent="0.25">
      <c r="A2921" t="s">
        <v>8776</v>
      </c>
      <c r="B2921" t="s">
        <v>8777</v>
      </c>
      <c r="C2921" t="s">
        <v>8775</v>
      </c>
    </row>
    <row r="2922" spans="1:3" x14ac:dyDescent="0.25">
      <c r="A2922" t="s">
        <v>8779</v>
      </c>
      <c r="B2922" t="s">
        <v>8780</v>
      </c>
      <c r="C2922" t="s">
        <v>8778</v>
      </c>
    </row>
    <row r="2923" spans="1:3" x14ac:dyDescent="0.25">
      <c r="A2923" t="s">
        <v>8782</v>
      </c>
      <c r="B2923" t="s">
        <v>8783</v>
      </c>
      <c r="C2923" t="s">
        <v>8781</v>
      </c>
    </row>
    <row r="2924" spans="1:3" x14ac:dyDescent="0.25">
      <c r="A2924" t="s">
        <v>8785</v>
      </c>
      <c r="B2924" t="s">
        <v>8786</v>
      </c>
      <c r="C2924" t="s">
        <v>8784</v>
      </c>
    </row>
    <row r="2925" spans="1:3" x14ac:dyDescent="0.25">
      <c r="A2925" t="s">
        <v>8788</v>
      </c>
      <c r="B2925" t="s">
        <v>8789</v>
      </c>
      <c r="C2925" t="s">
        <v>8787</v>
      </c>
    </row>
    <row r="2926" spans="1:3" x14ac:dyDescent="0.25">
      <c r="A2926" t="s">
        <v>8791</v>
      </c>
      <c r="B2926" t="s">
        <v>8792</v>
      </c>
      <c r="C2926" t="s">
        <v>8790</v>
      </c>
    </row>
    <row r="2927" spans="1:3" x14ac:dyDescent="0.25">
      <c r="A2927" t="s">
        <v>8794</v>
      </c>
      <c r="B2927" t="s">
        <v>8795</v>
      </c>
      <c r="C2927" t="s">
        <v>8793</v>
      </c>
    </row>
    <row r="2928" spans="1:3" x14ac:dyDescent="0.25">
      <c r="A2928" t="s">
        <v>8797</v>
      </c>
      <c r="B2928" t="s">
        <v>8798</v>
      </c>
      <c r="C2928" t="s">
        <v>8796</v>
      </c>
    </row>
    <row r="2929" spans="1:3" x14ac:dyDescent="0.25">
      <c r="A2929" t="s">
        <v>8800</v>
      </c>
      <c r="B2929" t="s">
        <v>8801</v>
      </c>
      <c r="C2929" t="s">
        <v>8799</v>
      </c>
    </row>
    <row r="2930" spans="1:3" x14ac:dyDescent="0.25">
      <c r="A2930" t="s">
        <v>8803</v>
      </c>
      <c r="B2930" t="s">
        <v>8804</v>
      </c>
      <c r="C2930" t="s">
        <v>8802</v>
      </c>
    </row>
    <row r="2931" spans="1:3" x14ac:dyDescent="0.25">
      <c r="A2931" t="s">
        <v>8806</v>
      </c>
      <c r="B2931" t="s">
        <v>8807</v>
      </c>
      <c r="C2931" t="s">
        <v>8805</v>
      </c>
    </row>
    <row r="2932" spans="1:3" x14ac:dyDescent="0.25">
      <c r="A2932" t="s">
        <v>8809</v>
      </c>
      <c r="B2932" t="s">
        <v>8810</v>
      </c>
      <c r="C2932" t="s">
        <v>8808</v>
      </c>
    </row>
    <row r="2933" spans="1:3" x14ac:dyDescent="0.25">
      <c r="A2933" t="s">
        <v>8812</v>
      </c>
      <c r="B2933" t="s">
        <v>8813</v>
      </c>
      <c r="C2933" t="s">
        <v>8811</v>
      </c>
    </row>
    <row r="2934" spans="1:3" x14ac:dyDescent="0.25">
      <c r="A2934" t="s">
        <v>8815</v>
      </c>
      <c r="B2934" t="s">
        <v>8816</v>
      </c>
      <c r="C2934" t="s">
        <v>8814</v>
      </c>
    </row>
    <row r="2935" spans="1:3" x14ac:dyDescent="0.25">
      <c r="A2935" t="s">
        <v>8818</v>
      </c>
      <c r="B2935" t="s">
        <v>8819</v>
      </c>
      <c r="C2935" t="s">
        <v>8817</v>
      </c>
    </row>
    <row r="2936" spans="1:3" x14ac:dyDescent="0.25">
      <c r="A2936" t="s">
        <v>8821</v>
      </c>
      <c r="B2936" t="s">
        <v>8822</v>
      </c>
      <c r="C2936" t="s">
        <v>8820</v>
      </c>
    </row>
    <row r="2937" spans="1:3" x14ac:dyDescent="0.25">
      <c r="A2937" t="s">
        <v>8824</v>
      </c>
      <c r="B2937" t="s">
        <v>8825</v>
      </c>
      <c r="C2937" t="s">
        <v>8823</v>
      </c>
    </row>
    <row r="2938" spans="1:3" x14ac:dyDescent="0.25">
      <c r="A2938" t="s">
        <v>8827</v>
      </c>
      <c r="B2938" t="s">
        <v>8828</v>
      </c>
      <c r="C2938" t="s">
        <v>8826</v>
      </c>
    </row>
    <row r="2939" spans="1:3" x14ac:dyDescent="0.25">
      <c r="A2939" t="s">
        <v>8830</v>
      </c>
      <c r="B2939" t="s">
        <v>8831</v>
      </c>
      <c r="C2939" t="s">
        <v>8829</v>
      </c>
    </row>
    <row r="2940" spans="1:3" x14ac:dyDescent="0.25">
      <c r="A2940" t="s">
        <v>8833</v>
      </c>
      <c r="B2940" t="s">
        <v>8834</v>
      </c>
      <c r="C2940" t="s">
        <v>8832</v>
      </c>
    </row>
    <row r="2941" spans="1:3" x14ac:dyDescent="0.25">
      <c r="A2941" t="s">
        <v>8836</v>
      </c>
      <c r="B2941" t="s">
        <v>8837</v>
      </c>
      <c r="C2941" t="s">
        <v>8835</v>
      </c>
    </row>
    <row r="2942" spans="1:3" x14ac:dyDescent="0.25">
      <c r="A2942" t="s">
        <v>8839</v>
      </c>
      <c r="B2942" t="s">
        <v>8840</v>
      </c>
      <c r="C2942" t="s">
        <v>8838</v>
      </c>
    </row>
    <row r="2943" spans="1:3" x14ac:dyDescent="0.25">
      <c r="A2943" t="s">
        <v>8842</v>
      </c>
      <c r="B2943" t="s">
        <v>8843</v>
      </c>
      <c r="C2943" t="s">
        <v>8841</v>
      </c>
    </row>
    <row r="2944" spans="1:3" x14ac:dyDescent="0.25">
      <c r="A2944" t="s">
        <v>8845</v>
      </c>
      <c r="B2944" t="s">
        <v>8846</v>
      </c>
      <c r="C2944" t="s">
        <v>8844</v>
      </c>
    </row>
    <row r="2945" spans="1:3" x14ac:dyDescent="0.25">
      <c r="A2945" t="s">
        <v>8848</v>
      </c>
      <c r="B2945" t="s">
        <v>8849</v>
      </c>
      <c r="C2945" t="s">
        <v>8847</v>
      </c>
    </row>
    <row r="2946" spans="1:3" x14ac:dyDescent="0.25">
      <c r="A2946" t="s">
        <v>8851</v>
      </c>
      <c r="B2946" t="s">
        <v>8852</v>
      </c>
      <c r="C2946" t="s">
        <v>8850</v>
      </c>
    </row>
    <row r="2947" spans="1:3" x14ac:dyDescent="0.25">
      <c r="A2947" t="s">
        <v>8854</v>
      </c>
      <c r="B2947" t="s">
        <v>8855</v>
      </c>
      <c r="C2947" t="s">
        <v>8853</v>
      </c>
    </row>
    <row r="2948" spans="1:3" x14ac:dyDescent="0.25">
      <c r="A2948" t="s">
        <v>8857</v>
      </c>
      <c r="B2948" t="s">
        <v>8858</v>
      </c>
      <c r="C2948" t="s">
        <v>8856</v>
      </c>
    </row>
    <row r="2949" spans="1:3" x14ac:dyDescent="0.25">
      <c r="A2949" t="s">
        <v>8860</v>
      </c>
      <c r="B2949" t="s">
        <v>8861</v>
      </c>
      <c r="C2949" t="s">
        <v>8859</v>
      </c>
    </row>
    <row r="2950" spans="1:3" x14ac:dyDescent="0.25">
      <c r="A2950" t="s">
        <v>8863</v>
      </c>
      <c r="B2950" t="s">
        <v>8864</v>
      </c>
      <c r="C2950" t="s">
        <v>8862</v>
      </c>
    </row>
    <row r="2951" spans="1:3" x14ac:dyDescent="0.25">
      <c r="A2951" t="s">
        <v>8866</v>
      </c>
      <c r="B2951" t="s">
        <v>8867</v>
      </c>
      <c r="C2951" t="s">
        <v>8865</v>
      </c>
    </row>
    <row r="2952" spans="1:3" x14ac:dyDescent="0.25">
      <c r="A2952" t="s">
        <v>8869</v>
      </c>
      <c r="B2952" t="s">
        <v>8870</v>
      </c>
      <c r="C2952" t="s">
        <v>8868</v>
      </c>
    </row>
    <row r="2953" spans="1:3" x14ac:dyDescent="0.25">
      <c r="A2953" t="s">
        <v>8872</v>
      </c>
      <c r="B2953" t="s">
        <v>8873</v>
      </c>
      <c r="C2953" t="s">
        <v>8871</v>
      </c>
    </row>
    <row r="2954" spans="1:3" x14ac:dyDescent="0.25">
      <c r="A2954" t="s">
        <v>8875</v>
      </c>
      <c r="B2954" t="s">
        <v>8876</v>
      </c>
      <c r="C2954" t="s">
        <v>8874</v>
      </c>
    </row>
    <row r="2955" spans="1:3" x14ac:dyDescent="0.25">
      <c r="A2955" t="s">
        <v>8878</v>
      </c>
      <c r="B2955" t="s">
        <v>8879</v>
      </c>
      <c r="C2955" t="s">
        <v>8877</v>
      </c>
    </row>
    <row r="2956" spans="1:3" x14ac:dyDescent="0.25">
      <c r="A2956" t="s">
        <v>8881</v>
      </c>
      <c r="B2956" t="s">
        <v>8882</v>
      </c>
      <c r="C2956" t="s">
        <v>8880</v>
      </c>
    </row>
    <row r="2957" spans="1:3" x14ac:dyDescent="0.25">
      <c r="A2957" t="s">
        <v>8884</v>
      </c>
      <c r="B2957" t="s">
        <v>8885</v>
      </c>
      <c r="C2957" t="s">
        <v>8883</v>
      </c>
    </row>
    <row r="2958" spans="1:3" x14ac:dyDescent="0.25">
      <c r="A2958" t="s">
        <v>8887</v>
      </c>
      <c r="B2958" t="s">
        <v>8888</v>
      </c>
      <c r="C2958" t="s">
        <v>8886</v>
      </c>
    </row>
    <row r="2959" spans="1:3" x14ac:dyDescent="0.25">
      <c r="A2959" t="s">
        <v>8890</v>
      </c>
      <c r="B2959" t="s">
        <v>8891</v>
      </c>
      <c r="C2959" t="s">
        <v>8889</v>
      </c>
    </row>
    <row r="2960" spans="1:3" x14ac:dyDescent="0.25">
      <c r="A2960" t="s">
        <v>8893</v>
      </c>
      <c r="B2960" t="s">
        <v>8894</v>
      </c>
      <c r="C2960" t="s">
        <v>8892</v>
      </c>
    </row>
    <row r="2961" spans="1:3" x14ac:dyDescent="0.25">
      <c r="A2961" t="s">
        <v>8896</v>
      </c>
      <c r="B2961" t="s">
        <v>8897</v>
      </c>
      <c r="C2961" t="s">
        <v>8895</v>
      </c>
    </row>
    <row r="2962" spans="1:3" x14ac:dyDescent="0.25">
      <c r="A2962" t="s">
        <v>8899</v>
      </c>
      <c r="B2962" t="s">
        <v>8900</v>
      </c>
      <c r="C2962" t="s">
        <v>8898</v>
      </c>
    </row>
    <row r="2963" spans="1:3" x14ac:dyDescent="0.25">
      <c r="A2963" t="s">
        <v>8902</v>
      </c>
      <c r="B2963" t="s">
        <v>8903</v>
      </c>
      <c r="C2963" t="s">
        <v>8901</v>
      </c>
    </row>
    <row r="2964" spans="1:3" x14ac:dyDescent="0.25">
      <c r="A2964" t="s">
        <v>8905</v>
      </c>
      <c r="B2964" t="s">
        <v>8906</v>
      </c>
      <c r="C2964" t="s">
        <v>8904</v>
      </c>
    </row>
    <row r="2965" spans="1:3" x14ac:dyDescent="0.25">
      <c r="A2965" t="s">
        <v>8908</v>
      </c>
      <c r="B2965" t="s">
        <v>8909</v>
      </c>
      <c r="C2965" t="s">
        <v>8907</v>
      </c>
    </row>
    <row r="2966" spans="1:3" x14ac:dyDescent="0.25">
      <c r="A2966" t="s">
        <v>8911</v>
      </c>
      <c r="B2966" t="s">
        <v>8912</v>
      </c>
      <c r="C2966" t="s">
        <v>8910</v>
      </c>
    </row>
    <row r="2967" spans="1:3" x14ac:dyDescent="0.25">
      <c r="A2967" t="s">
        <v>8914</v>
      </c>
      <c r="B2967" t="s">
        <v>8915</v>
      </c>
      <c r="C2967" t="s">
        <v>8913</v>
      </c>
    </row>
    <row r="2968" spans="1:3" x14ac:dyDescent="0.25">
      <c r="A2968" t="s">
        <v>8917</v>
      </c>
      <c r="B2968" t="s">
        <v>8918</v>
      </c>
      <c r="C2968" t="s">
        <v>8916</v>
      </c>
    </row>
    <row r="2969" spans="1:3" x14ac:dyDescent="0.25">
      <c r="A2969" t="s">
        <v>8920</v>
      </c>
      <c r="B2969" t="s">
        <v>8921</v>
      </c>
      <c r="C2969" t="s">
        <v>8919</v>
      </c>
    </row>
    <row r="2970" spans="1:3" x14ac:dyDescent="0.25">
      <c r="A2970" t="s">
        <v>8923</v>
      </c>
      <c r="B2970" t="s">
        <v>8924</v>
      </c>
      <c r="C2970" t="s">
        <v>8922</v>
      </c>
    </row>
    <row r="2971" spans="1:3" x14ac:dyDescent="0.25">
      <c r="A2971" t="s">
        <v>8926</v>
      </c>
      <c r="B2971" t="s">
        <v>8927</v>
      </c>
      <c r="C2971" t="s">
        <v>8925</v>
      </c>
    </row>
    <row r="2972" spans="1:3" x14ac:dyDescent="0.25">
      <c r="A2972" t="s">
        <v>8929</v>
      </c>
      <c r="B2972" t="s">
        <v>8930</v>
      </c>
      <c r="C2972" t="s">
        <v>8928</v>
      </c>
    </row>
    <row r="2973" spans="1:3" x14ac:dyDescent="0.25">
      <c r="A2973" t="s">
        <v>8932</v>
      </c>
      <c r="B2973" t="s">
        <v>8933</v>
      </c>
      <c r="C2973" t="s">
        <v>8931</v>
      </c>
    </row>
    <row r="2974" spans="1:3" x14ac:dyDescent="0.25">
      <c r="A2974" t="s">
        <v>8935</v>
      </c>
      <c r="B2974" t="s">
        <v>8936</v>
      </c>
      <c r="C2974" t="s">
        <v>8934</v>
      </c>
    </row>
    <row r="2975" spans="1:3" x14ac:dyDescent="0.25">
      <c r="A2975" t="s">
        <v>8938</v>
      </c>
      <c r="B2975" t="s">
        <v>8939</v>
      </c>
      <c r="C2975" t="s">
        <v>8937</v>
      </c>
    </row>
    <row r="2976" spans="1:3" x14ac:dyDescent="0.25">
      <c r="A2976" t="s">
        <v>8941</v>
      </c>
      <c r="B2976" t="s">
        <v>8942</v>
      </c>
      <c r="C2976" t="s">
        <v>8940</v>
      </c>
    </row>
    <row r="2977" spans="1:3" x14ac:dyDescent="0.25">
      <c r="A2977" t="s">
        <v>8944</v>
      </c>
      <c r="B2977" t="s">
        <v>8945</v>
      </c>
      <c r="C2977" t="s">
        <v>8943</v>
      </c>
    </row>
    <row r="2978" spans="1:3" x14ac:dyDescent="0.25">
      <c r="A2978" t="s">
        <v>8947</v>
      </c>
      <c r="B2978" t="s">
        <v>8948</v>
      </c>
      <c r="C2978" t="s">
        <v>8946</v>
      </c>
    </row>
    <row r="2979" spans="1:3" x14ac:dyDescent="0.25">
      <c r="A2979" t="s">
        <v>8950</v>
      </c>
      <c r="B2979" t="s">
        <v>8951</v>
      </c>
      <c r="C2979" t="s">
        <v>8949</v>
      </c>
    </row>
    <row r="2980" spans="1:3" x14ac:dyDescent="0.25">
      <c r="A2980" t="s">
        <v>8953</v>
      </c>
      <c r="B2980" t="s">
        <v>8954</v>
      </c>
      <c r="C2980" t="s">
        <v>8952</v>
      </c>
    </row>
    <row r="2981" spans="1:3" x14ac:dyDescent="0.25">
      <c r="A2981" t="s">
        <v>8956</v>
      </c>
      <c r="B2981" t="s">
        <v>8957</v>
      </c>
      <c r="C2981" t="s">
        <v>8955</v>
      </c>
    </row>
    <row r="2982" spans="1:3" x14ac:dyDescent="0.25">
      <c r="A2982" t="s">
        <v>8959</v>
      </c>
      <c r="B2982" t="s">
        <v>8960</v>
      </c>
      <c r="C2982" t="s">
        <v>8958</v>
      </c>
    </row>
    <row r="2983" spans="1:3" x14ac:dyDescent="0.25">
      <c r="A2983" t="s">
        <v>8962</v>
      </c>
      <c r="B2983" t="s">
        <v>8963</v>
      </c>
      <c r="C2983" t="s">
        <v>8961</v>
      </c>
    </row>
    <row r="2984" spans="1:3" x14ac:dyDescent="0.25">
      <c r="A2984" t="s">
        <v>8965</v>
      </c>
      <c r="B2984" t="s">
        <v>8966</v>
      </c>
      <c r="C2984" t="s">
        <v>8964</v>
      </c>
    </row>
    <row r="2985" spans="1:3" x14ac:dyDescent="0.25">
      <c r="A2985" t="s">
        <v>8968</v>
      </c>
      <c r="B2985" t="s">
        <v>8969</v>
      </c>
      <c r="C2985" t="s">
        <v>8967</v>
      </c>
    </row>
    <row r="2986" spans="1:3" x14ac:dyDescent="0.25">
      <c r="A2986" t="s">
        <v>8971</v>
      </c>
      <c r="B2986" t="s">
        <v>8972</v>
      </c>
      <c r="C2986" t="s">
        <v>8970</v>
      </c>
    </row>
    <row r="2987" spans="1:3" x14ac:dyDescent="0.25">
      <c r="A2987" t="s">
        <v>8974</v>
      </c>
      <c r="B2987" t="s">
        <v>8975</v>
      </c>
      <c r="C2987" t="s">
        <v>8973</v>
      </c>
    </row>
    <row r="2988" spans="1:3" x14ac:dyDescent="0.25">
      <c r="A2988" t="s">
        <v>8977</v>
      </c>
      <c r="B2988" t="s">
        <v>8978</v>
      </c>
      <c r="C2988" t="s">
        <v>8976</v>
      </c>
    </row>
    <row r="2989" spans="1:3" x14ac:dyDescent="0.25">
      <c r="A2989" t="s">
        <v>8980</v>
      </c>
      <c r="B2989" t="s">
        <v>8981</v>
      </c>
      <c r="C2989" t="s">
        <v>8979</v>
      </c>
    </row>
    <row r="2990" spans="1:3" x14ac:dyDescent="0.25">
      <c r="A2990" t="s">
        <v>8983</v>
      </c>
      <c r="B2990" t="s">
        <v>8984</v>
      </c>
      <c r="C2990" t="s">
        <v>8982</v>
      </c>
    </row>
    <row r="2991" spans="1:3" x14ac:dyDescent="0.25">
      <c r="A2991" t="s">
        <v>8986</v>
      </c>
      <c r="B2991" t="s">
        <v>8987</v>
      </c>
      <c r="C2991" t="s">
        <v>8985</v>
      </c>
    </row>
    <row r="2992" spans="1:3" x14ac:dyDescent="0.25">
      <c r="A2992" t="s">
        <v>8989</v>
      </c>
      <c r="B2992" t="s">
        <v>8990</v>
      </c>
      <c r="C2992" t="s">
        <v>8988</v>
      </c>
    </row>
    <row r="2993" spans="1:3" x14ac:dyDescent="0.25">
      <c r="A2993" t="s">
        <v>8992</v>
      </c>
      <c r="B2993" t="s">
        <v>8993</v>
      </c>
      <c r="C2993" t="s">
        <v>8991</v>
      </c>
    </row>
    <row r="2994" spans="1:3" x14ac:dyDescent="0.25">
      <c r="A2994" t="s">
        <v>8995</v>
      </c>
      <c r="B2994" t="s">
        <v>8996</v>
      </c>
      <c r="C2994" t="s">
        <v>8994</v>
      </c>
    </row>
    <row r="2995" spans="1:3" x14ac:dyDescent="0.25">
      <c r="A2995" t="s">
        <v>8998</v>
      </c>
      <c r="B2995" t="s">
        <v>8999</v>
      </c>
      <c r="C2995" t="s">
        <v>8997</v>
      </c>
    </row>
    <row r="2996" spans="1:3" x14ac:dyDescent="0.25">
      <c r="A2996" t="s">
        <v>9001</v>
      </c>
      <c r="B2996" t="s">
        <v>9002</v>
      </c>
      <c r="C2996" t="s">
        <v>9000</v>
      </c>
    </row>
    <row r="2997" spans="1:3" x14ac:dyDescent="0.25">
      <c r="A2997" t="s">
        <v>9004</v>
      </c>
      <c r="B2997" t="s">
        <v>9005</v>
      </c>
      <c r="C2997" t="s">
        <v>9003</v>
      </c>
    </row>
    <row r="2998" spans="1:3" x14ac:dyDescent="0.25">
      <c r="A2998" t="s">
        <v>9007</v>
      </c>
      <c r="B2998" t="s">
        <v>9008</v>
      </c>
      <c r="C2998" t="s">
        <v>9006</v>
      </c>
    </row>
    <row r="2999" spans="1:3" x14ac:dyDescent="0.25">
      <c r="A2999" t="s">
        <v>9010</v>
      </c>
      <c r="B2999" t="s">
        <v>9011</v>
      </c>
      <c r="C2999" t="s">
        <v>9009</v>
      </c>
    </row>
    <row r="3000" spans="1:3" x14ac:dyDescent="0.25">
      <c r="A3000" t="s">
        <v>9013</v>
      </c>
      <c r="B3000" t="s">
        <v>9014</v>
      </c>
      <c r="C3000" t="s">
        <v>9012</v>
      </c>
    </row>
    <row r="3001" spans="1:3" x14ac:dyDescent="0.25">
      <c r="A3001" t="s">
        <v>9016</v>
      </c>
      <c r="B3001" t="s">
        <v>9017</v>
      </c>
      <c r="C3001" t="s">
        <v>9015</v>
      </c>
    </row>
    <row r="3002" spans="1:3" x14ac:dyDescent="0.25">
      <c r="A3002" t="s">
        <v>9019</v>
      </c>
      <c r="B3002" t="s">
        <v>9020</v>
      </c>
      <c r="C3002" t="s">
        <v>9018</v>
      </c>
    </row>
    <row r="3003" spans="1:3" x14ac:dyDescent="0.25">
      <c r="A3003" t="s">
        <v>9022</v>
      </c>
      <c r="B3003" t="s">
        <v>9023</v>
      </c>
      <c r="C3003" t="s">
        <v>9021</v>
      </c>
    </row>
    <row r="3004" spans="1:3" x14ac:dyDescent="0.25">
      <c r="A3004" t="s">
        <v>9025</v>
      </c>
      <c r="B3004" t="s">
        <v>9026</v>
      </c>
      <c r="C3004" t="s">
        <v>9024</v>
      </c>
    </row>
    <row r="3005" spans="1:3" x14ac:dyDescent="0.25">
      <c r="A3005" t="s">
        <v>9028</v>
      </c>
      <c r="B3005" t="s">
        <v>9029</v>
      </c>
      <c r="C3005" t="s">
        <v>9027</v>
      </c>
    </row>
    <row r="3006" spans="1:3" x14ac:dyDescent="0.25">
      <c r="A3006" t="s">
        <v>9031</v>
      </c>
      <c r="B3006" t="s">
        <v>2316</v>
      </c>
      <c r="C3006" t="s">
        <v>9030</v>
      </c>
    </row>
    <row r="3007" spans="1:3" x14ac:dyDescent="0.25">
      <c r="A3007" t="s">
        <v>9033</v>
      </c>
      <c r="B3007" t="s">
        <v>2322</v>
      </c>
      <c r="C3007" t="s">
        <v>9032</v>
      </c>
    </row>
    <row r="3008" spans="1:3" x14ac:dyDescent="0.25">
      <c r="A3008" t="s">
        <v>9035</v>
      </c>
      <c r="B3008" t="s">
        <v>9036</v>
      </c>
      <c r="C3008" t="s">
        <v>9034</v>
      </c>
    </row>
    <row r="3009" spans="1:3" x14ac:dyDescent="0.25">
      <c r="A3009" t="s">
        <v>9038</v>
      </c>
      <c r="B3009" t="s">
        <v>9039</v>
      </c>
      <c r="C3009" t="s">
        <v>9037</v>
      </c>
    </row>
    <row r="3010" spans="1:3" x14ac:dyDescent="0.25">
      <c r="A3010" t="s">
        <v>9041</v>
      </c>
      <c r="B3010" t="s">
        <v>9042</v>
      </c>
      <c r="C3010" t="s">
        <v>9040</v>
      </c>
    </row>
    <row r="3011" spans="1:3" x14ac:dyDescent="0.25">
      <c r="A3011" t="s">
        <v>9044</v>
      </c>
      <c r="B3011" t="s">
        <v>9045</v>
      </c>
      <c r="C3011" t="s">
        <v>9043</v>
      </c>
    </row>
    <row r="3012" spans="1:3" x14ac:dyDescent="0.25">
      <c r="A3012" t="s">
        <v>9047</v>
      </c>
      <c r="B3012" t="s">
        <v>9048</v>
      </c>
      <c r="C3012" t="s">
        <v>9046</v>
      </c>
    </row>
    <row r="3013" spans="1:3" x14ac:dyDescent="0.25">
      <c r="A3013" t="s">
        <v>9050</v>
      </c>
      <c r="B3013" t="s">
        <v>9051</v>
      </c>
      <c r="C3013" t="s">
        <v>9049</v>
      </c>
    </row>
    <row r="3014" spans="1:3" x14ac:dyDescent="0.25">
      <c r="A3014" t="s">
        <v>9053</v>
      </c>
      <c r="B3014" t="s">
        <v>9054</v>
      </c>
      <c r="C3014" t="s">
        <v>9052</v>
      </c>
    </row>
    <row r="3015" spans="1:3" x14ac:dyDescent="0.25">
      <c r="A3015" t="s">
        <v>9056</v>
      </c>
      <c r="B3015" t="s">
        <v>9057</v>
      </c>
      <c r="C3015" t="s">
        <v>9055</v>
      </c>
    </row>
    <row r="3016" spans="1:3" x14ac:dyDescent="0.25">
      <c r="A3016" t="s">
        <v>9059</v>
      </c>
      <c r="B3016" t="s">
        <v>9060</v>
      </c>
      <c r="C3016" t="s">
        <v>9058</v>
      </c>
    </row>
    <row r="3017" spans="1:3" x14ac:dyDescent="0.25">
      <c r="A3017" t="s">
        <v>9062</v>
      </c>
      <c r="B3017" t="s">
        <v>9063</v>
      </c>
      <c r="C3017" t="s">
        <v>9061</v>
      </c>
    </row>
    <row r="3018" spans="1:3" x14ac:dyDescent="0.25">
      <c r="A3018" t="s">
        <v>9065</v>
      </c>
      <c r="B3018" t="s">
        <v>9066</v>
      </c>
      <c r="C3018" t="s">
        <v>9064</v>
      </c>
    </row>
    <row r="3019" spans="1:3" x14ac:dyDescent="0.25">
      <c r="A3019" t="s">
        <v>9068</v>
      </c>
      <c r="B3019" t="s">
        <v>9069</v>
      </c>
      <c r="C3019" t="s">
        <v>9067</v>
      </c>
    </row>
    <row r="3020" spans="1:3" x14ac:dyDescent="0.25">
      <c r="A3020" t="s">
        <v>9071</v>
      </c>
      <c r="B3020" t="s">
        <v>9072</v>
      </c>
      <c r="C3020" t="s">
        <v>9070</v>
      </c>
    </row>
    <row r="3021" spans="1:3" x14ac:dyDescent="0.25">
      <c r="A3021" t="s">
        <v>9074</v>
      </c>
      <c r="B3021" t="s">
        <v>9075</v>
      </c>
      <c r="C3021" t="s">
        <v>9073</v>
      </c>
    </row>
    <row r="3022" spans="1:3" x14ac:dyDescent="0.25">
      <c r="A3022" t="s">
        <v>9077</v>
      </c>
      <c r="B3022" t="s">
        <v>9078</v>
      </c>
      <c r="C3022" t="s">
        <v>9076</v>
      </c>
    </row>
    <row r="3023" spans="1:3" x14ac:dyDescent="0.25">
      <c r="A3023" t="s">
        <v>9080</v>
      </c>
      <c r="B3023" t="s">
        <v>9081</v>
      </c>
      <c r="C3023" t="s">
        <v>9079</v>
      </c>
    </row>
    <row r="3024" spans="1:3" x14ac:dyDescent="0.25">
      <c r="A3024" t="s">
        <v>9083</v>
      </c>
      <c r="B3024" t="s">
        <v>9084</v>
      </c>
      <c r="C3024" t="s">
        <v>9082</v>
      </c>
    </row>
    <row r="3025" spans="1:3" x14ac:dyDescent="0.25">
      <c r="A3025" t="s">
        <v>9086</v>
      </c>
      <c r="B3025" t="s">
        <v>9087</v>
      </c>
      <c r="C3025" t="s">
        <v>9085</v>
      </c>
    </row>
    <row r="3026" spans="1:3" x14ac:dyDescent="0.25">
      <c r="A3026" t="s">
        <v>9089</v>
      </c>
      <c r="B3026" t="s">
        <v>9090</v>
      </c>
      <c r="C3026" t="s">
        <v>9088</v>
      </c>
    </row>
    <row r="3027" spans="1:3" x14ac:dyDescent="0.25">
      <c r="A3027" t="s">
        <v>9092</v>
      </c>
      <c r="B3027" t="s">
        <v>9093</v>
      </c>
      <c r="C3027" t="s">
        <v>9091</v>
      </c>
    </row>
    <row r="3028" spans="1:3" x14ac:dyDescent="0.25">
      <c r="A3028" t="s">
        <v>9095</v>
      </c>
      <c r="B3028" t="s">
        <v>9096</v>
      </c>
      <c r="C3028" t="s">
        <v>9094</v>
      </c>
    </row>
    <row r="3029" spans="1:3" x14ac:dyDescent="0.25">
      <c r="A3029" t="s">
        <v>9098</v>
      </c>
      <c r="B3029" t="s">
        <v>9099</v>
      </c>
      <c r="C3029" t="s">
        <v>9097</v>
      </c>
    </row>
    <row r="3030" spans="1:3" x14ac:dyDescent="0.25">
      <c r="A3030" t="s">
        <v>9101</v>
      </c>
      <c r="B3030" t="s">
        <v>9102</v>
      </c>
      <c r="C3030" t="s">
        <v>9100</v>
      </c>
    </row>
    <row r="3031" spans="1:3" x14ac:dyDescent="0.25">
      <c r="A3031" t="s">
        <v>9104</v>
      </c>
      <c r="B3031" t="s">
        <v>9105</v>
      </c>
      <c r="C3031" t="s">
        <v>9103</v>
      </c>
    </row>
    <row r="3032" spans="1:3" x14ac:dyDescent="0.25">
      <c r="A3032" t="s">
        <v>9107</v>
      </c>
      <c r="B3032" t="s">
        <v>4923</v>
      </c>
      <c r="C3032" t="s">
        <v>9106</v>
      </c>
    </row>
    <row r="3033" spans="1:3" x14ac:dyDescent="0.25">
      <c r="A3033" t="s">
        <v>9109</v>
      </c>
      <c r="B3033" t="s">
        <v>9110</v>
      </c>
      <c r="C3033" t="s">
        <v>9108</v>
      </c>
    </row>
    <row r="3034" spans="1:3" x14ac:dyDescent="0.25">
      <c r="A3034" t="s">
        <v>9112</v>
      </c>
      <c r="B3034" t="s">
        <v>9113</v>
      </c>
      <c r="C3034" t="s">
        <v>9111</v>
      </c>
    </row>
    <row r="3035" spans="1:3" x14ac:dyDescent="0.25">
      <c r="A3035" t="s">
        <v>9115</v>
      </c>
      <c r="B3035" t="s">
        <v>9116</v>
      </c>
      <c r="C3035" t="s">
        <v>9114</v>
      </c>
    </row>
    <row r="3036" spans="1:3" x14ac:dyDescent="0.25">
      <c r="A3036" t="s">
        <v>9118</v>
      </c>
      <c r="B3036" t="s">
        <v>9119</v>
      </c>
      <c r="C3036" t="s">
        <v>9117</v>
      </c>
    </row>
    <row r="3037" spans="1:3" x14ac:dyDescent="0.25">
      <c r="A3037" t="s">
        <v>9121</v>
      </c>
      <c r="B3037" t="s">
        <v>9122</v>
      </c>
      <c r="C3037" t="s">
        <v>9120</v>
      </c>
    </row>
    <row r="3038" spans="1:3" x14ac:dyDescent="0.25">
      <c r="A3038" t="s">
        <v>9124</v>
      </c>
      <c r="B3038" t="s">
        <v>9125</v>
      </c>
      <c r="C3038" t="s">
        <v>9123</v>
      </c>
    </row>
    <row r="3039" spans="1:3" x14ac:dyDescent="0.25">
      <c r="A3039" t="s">
        <v>9127</v>
      </c>
      <c r="B3039" t="s">
        <v>9128</v>
      </c>
      <c r="C3039" t="s">
        <v>9126</v>
      </c>
    </row>
    <row r="3040" spans="1:3" x14ac:dyDescent="0.25">
      <c r="A3040" t="s">
        <v>9130</v>
      </c>
      <c r="B3040" t="s">
        <v>9131</v>
      </c>
      <c r="C3040" t="s">
        <v>9129</v>
      </c>
    </row>
    <row r="3041" spans="1:3" x14ac:dyDescent="0.25">
      <c r="A3041" t="s">
        <v>9133</v>
      </c>
      <c r="B3041" t="s">
        <v>9134</v>
      </c>
      <c r="C3041" t="s">
        <v>9132</v>
      </c>
    </row>
    <row r="3042" spans="1:3" x14ac:dyDescent="0.25">
      <c r="A3042" t="s">
        <v>9136</v>
      </c>
      <c r="B3042" t="s">
        <v>9137</v>
      </c>
      <c r="C3042" t="s">
        <v>9135</v>
      </c>
    </row>
    <row r="3043" spans="1:3" x14ac:dyDescent="0.25">
      <c r="A3043" t="s">
        <v>9139</v>
      </c>
      <c r="B3043" t="s">
        <v>9140</v>
      </c>
      <c r="C3043" t="s">
        <v>9138</v>
      </c>
    </row>
    <row r="3044" spans="1:3" x14ac:dyDescent="0.25">
      <c r="A3044" t="s">
        <v>9142</v>
      </c>
      <c r="B3044" t="s">
        <v>9143</v>
      </c>
      <c r="C3044" t="s">
        <v>9141</v>
      </c>
    </row>
    <row r="3045" spans="1:3" x14ac:dyDescent="0.25">
      <c r="A3045" t="s">
        <v>9145</v>
      </c>
      <c r="B3045" t="s">
        <v>9146</v>
      </c>
      <c r="C3045" t="s">
        <v>9144</v>
      </c>
    </row>
    <row r="3046" spans="1:3" x14ac:dyDescent="0.25">
      <c r="A3046" t="s">
        <v>9148</v>
      </c>
      <c r="B3046" t="s">
        <v>9149</v>
      </c>
      <c r="C3046" t="s">
        <v>9147</v>
      </c>
    </row>
    <row r="3047" spans="1:3" x14ac:dyDescent="0.25">
      <c r="A3047" t="s">
        <v>9151</v>
      </c>
      <c r="B3047" t="s">
        <v>9152</v>
      </c>
      <c r="C3047" t="s">
        <v>9150</v>
      </c>
    </row>
    <row r="3048" spans="1:3" x14ac:dyDescent="0.25">
      <c r="A3048" t="s">
        <v>9154</v>
      </c>
      <c r="B3048" t="s">
        <v>9155</v>
      </c>
      <c r="C3048" t="s">
        <v>9153</v>
      </c>
    </row>
    <row r="3049" spans="1:3" x14ac:dyDescent="0.25">
      <c r="A3049" t="s">
        <v>9157</v>
      </c>
      <c r="B3049" t="s">
        <v>9158</v>
      </c>
      <c r="C3049" t="s">
        <v>9156</v>
      </c>
    </row>
    <row r="3050" spans="1:3" x14ac:dyDescent="0.25">
      <c r="A3050" t="s">
        <v>9160</v>
      </c>
      <c r="B3050" t="s">
        <v>9161</v>
      </c>
      <c r="C3050" t="s">
        <v>9159</v>
      </c>
    </row>
    <row r="3051" spans="1:3" x14ac:dyDescent="0.25">
      <c r="A3051" t="s">
        <v>9163</v>
      </c>
      <c r="B3051" t="s">
        <v>9164</v>
      </c>
      <c r="C3051" t="s">
        <v>9162</v>
      </c>
    </row>
    <row r="3052" spans="1:3" x14ac:dyDescent="0.25">
      <c r="A3052" t="s">
        <v>9166</v>
      </c>
      <c r="B3052" t="s">
        <v>9167</v>
      </c>
      <c r="C3052" t="s">
        <v>9165</v>
      </c>
    </row>
    <row r="3053" spans="1:3" x14ac:dyDescent="0.25">
      <c r="A3053" t="s">
        <v>9169</v>
      </c>
      <c r="B3053" t="s">
        <v>9170</v>
      </c>
      <c r="C3053" t="s">
        <v>9168</v>
      </c>
    </row>
    <row r="3054" spans="1:3" x14ac:dyDescent="0.25">
      <c r="A3054" t="s">
        <v>9172</v>
      </c>
      <c r="B3054" t="s">
        <v>9173</v>
      </c>
      <c r="C3054" t="s">
        <v>9171</v>
      </c>
    </row>
    <row r="3055" spans="1:3" x14ac:dyDescent="0.25">
      <c r="A3055" t="s">
        <v>9175</v>
      </c>
      <c r="B3055" t="s">
        <v>9176</v>
      </c>
      <c r="C3055" t="s">
        <v>9174</v>
      </c>
    </row>
    <row r="3056" spans="1:3" x14ac:dyDescent="0.25">
      <c r="A3056" t="s">
        <v>9178</v>
      </c>
      <c r="B3056" t="s">
        <v>9179</v>
      </c>
      <c r="C3056" t="s">
        <v>9177</v>
      </c>
    </row>
    <row r="3057" spans="1:3" x14ac:dyDescent="0.25">
      <c r="A3057" t="s">
        <v>9181</v>
      </c>
      <c r="B3057" t="s">
        <v>9182</v>
      </c>
      <c r="C3057" t="s">
        <v>9180</v>
      </c>
    </row>
    <row r="3058" spans="1:3" x14ac:dyDescent="0.25">
      <c r="A3058" t="s">
        <v>9184</v>
      </c>
      <c r="B3058" t="s">
        <v>9185</v>
      </c>
      <c r="C3058" t="s">
        <v>9183</v>
      </c>
    </row>
    <row r="3059" spans="1:3" x14ac:dyDescent="0.25">
      <c r="A3059" t="s">
        <v>9187</v>
      </c>
      <c r="B3059" t="s">
        <v>9188</v>
      </c>
      <c r="C3059" t="s">
        <v>9186</v>
      </c>
    </row>
    <row r="3060" spans="1:3" x14ac:dyDescent="0.25">
      <c r="A3060" t="s">
        <v>9190</v>
      </c>
      <c r="B3060" t="s">
        <v>9191</v>
      </c>
      <c r="C3060" t="s">
        <v>9189</v>
      </c>
    </row>
    <row r="3061" spans="1:3" x14ac:dyDescent="0.25">
      <c r="A3061" t="s">
        <v>9193</v>
      </c>
      <c r="B3061" t="s">
        <v>9194</v>
      </c>
      <c r="C3061" t="s">
        <v>9192</v>
      </c>
    </row>
    <row r="3062" spans="1:3" x14ac:dyDescent="0.25">
      <c r="A3062" t="s">
        <v>9196</v>
      </c>
      <c r="B3062" t="s">
        <v>9197</v>
      </c>
      <c r="C3062" t="s">
        <v>9195</v>
      </c>
    </row>
    <row r="3063" spans="1:3" x14ac:dyDescent="0.25">
      <c r="A3063" t="s">
        <v>9199</v>
      </c>
      <c r="B3063" t="s">
        <v>9200</v>
      </c>
      <c r="C3063" t="s">
        <v>9198</v>
      </c>
    </row>
    <row r="3064" spans="1:3" x14ac:dyDescent="0.25">
      <c r="A3064" t="s">
        <v>9202</v>
      </c>
      <c r="B3064" t="s">
        <v>9203</v>
      </c>
      <c r="C3064" t="s">
        <v>9201</v>
      </c>
    </row>
    <row r="3065" spans="1:3" x14ac:dyDescent="0.25">
      <c r="A3065" t="s">
        <v>9205</v>
      </c>
      <c r="B3065" t="s">
        <v>9206</v>
      </c>
      <c r="C3065" t="s">
        <v>9204</v>
      </c>
    </row>
    <row r="3066" spans="1:3" x14ac:dyDescent="0.25">
      <c r="A3066" t="s">
        <v>9208</v>
      </c>
      <c r="B3066" t="s">
        <v>9209</v>
      </c>
      <c r="C3066" t="s">
        <v>9207</v>
      </c>
    </row>
    <row r="3067" spans="1:3" x14ac:dyDescent="0.25">
      <c r="A3067" t="s">
        <v>9211</v>
      </c>
      <c r="B3067" t="s">
        <v>9212</v>
      </c>
      <c r="C3067" t="s">
        <v>9210</v>
      </c>
    </row>
    <row r="3068" spans="1:3" x14ac:dyDescent="0.25">
      <c r="A3068" t="s">
        <v>9214</v>
      </c>
      <c r="B3068" t="s">
        <v>9215</v>
      </c>
      <c r="C3068" t="s">
        <v>9213</v>
      </c>
    </row>
    <row r="3069" spans="1:3" x14ac:dyDescent="0.25">
      <c r="A3069" t="s">
        <v>9217</v>
      </c>
      <c r="B3069" t="s">
        <v>9218</v>
      </c>
      <c r="C3069" t="s">
        <v>9216</v>
      </c>
    </row>
    <row r="3070" spans="1:3" x14ac:dyDescent="0.25">
      <c r="A3070" t="s">
        <v>9220</v>
      </c>
      <c r="B3070" t="s">
        <v>9197</v>
      </c>
      <c r="C3070" t="s">
        <v>9219</v>
      </c>
    </row>
    <row r="3071" spans="1:3" x14ac:dyDescent="0.25">
      <c r="A3071" t="s">
        <v>9222</v>
      </c>
      <c r="B3071" t="s">
        <v>9223</v>
      </c>
      <c r="C3071" t="s">
        <v>9221</v>
      </c>
    </row>
    <row r="3072" spans="1:3" x14ac:dyDescent="0.25">
      <c r="A3072" t="s">
        <v>9225</v>
      </c>
      <c r="B3072" t="s">
        <v>9226</v>
      </c>
      <c r="C3072" t="s">
        <v>9224</v>
      </c>
    </row>
    <row r="3073" spans="1:3" x14ac:dyDescent="0.25">
      <c r="A3073" t="s">
        <v>9228</v>
      </c>
      <c r="B3073" t="s">
        <v>9229</v>
      </c>
      <c r="C3073" t="s">
        <v>9227</v>
      </c>
    </row>
    <row r="3074" spans="1:3" x14ac:dyDescent="0.25">
      <c r="A3074" t="s">
        <v>9231</v>
      </c>
      <c r="B3074" t="s">
        <v>9232</v>
      </c>
      <c r="C3074" t="s">
        <v>9230</v>
      </c>
    </row>
    <row r="3075" spans="1:3" x14ac:dyDescent="0.25">
      <c r="A3075" t="s">
        <v>9234</v>
      </c>
      <c r="B3075" t="s">
        <v>9235</v>
      </c>
      <c r="C3075" t="s">
        <v>9233</v>
      </c>
    </row>
    <row r="3076" spans="1:3" x14ac:dyDescent="0.25">
      <c r="A3076" t="s">
        <v>9237</v>
      </c>
      <c r="B3076" t="s">
        <v>9238</v>
      </c>
      <c r="C3076" t="s">
        <v>9236</v>
      </c>
    </row>
    <row r="3077" spans="1:3" x14ac:dyDescent="0.25">
      <c r="A3077" t="s">
        <v>9240</v>
      </c>
      <c r="B3077" t="s">
        <v>9241</v>
      </c>
      <c r="C3077" t="s">
        <v>9239</v>
      </c>
    </row>
    <row r="3078" spans="1:3" x14ac:dyDescent="0.25">
      <c r="A3078" t="s">
        <v>9243</v>
      </c>
      <c r="B3078" t="s">
        <v>9244</v>
      </c>
      <c r="C3078" t="s">
        <v>9242</v>
      </c>
    </row>
    <row r="3079" spans="1:3" x14ac:dyDescent="0.25">
      <c r="A3079" t="s">
        <v>9246</v>
      </c>
      <c r="B3079" t="s">
        <v>9247</v>
      </c>
      <c r="C3079" t="s">
        <v>9245</v>
      </c>
    </row>
    <row r="3080" spans="1:3" x14ac:dyDescent="0.25">
      <c r="A3080" t="s">
        <v>9249</v>
      </c>
      <c r="B3080" t="s">
        <v>9250</v>
      </c>
      <c r="C3080" t="s">
        <v>9248</v>
      </c>
    </row>
    <row r="3081" spans="1:3" x14ac:dyDescent="0.25">
      <c r="A3081" t="s">
        <v>9252</v>
      </c>
      <c r="B3081" t="s">
        <v>9253</v>
      </c>
      <c r="C3081" t="s">
        <v>9251</v>
      </c>
    </row>
    <row r="3082" spans="1:3" x14ac:dyDescent="0.25">
      <c r="A3082" t="s">
        <v>9255</v>
      </c>
      <c r="B3082" t="s">
        <v>9256</v>
      </c>
      <c r="C3082" t="s">
        <v>9254</v>
      </c>
    </row>
    <row r="3083" spans="1:3" x14ac:dyDescent="0.25">
      <c r="A3083" t="s">
        <v>9258</v>
      </c>
      <c r="B3083" t="s">
        <v>9259</v>
      </c>
      <c r="C3083" t="s">
        <v>9257</v>
      </c>
    </row>
    <row r="3084" spans="1:3" x14ac:dyDescent="0.25">
      <c r="A3084" t="s">
        <v>9261</v>
      </c>
      <c r="B3084" t="s">
        <v>9262</v>
      </c>
      <c r="C3084" t="s">
        <v>9260</v>
      </c>
    </row>
    <row r="3085" spans="1:3" x14ac:dyDescent="0.25">
      <c r="A3085" t="s">
        <v>9264</v>
      </c>
      <c r="B3085" t="s">
        <v>9265</v>
      </c>
      <c r="C3085" t="s">
        <v>9263</v>
      </c>
    </row>
    <row r="3086" spans="1:3" x14ac:dyDescent="0.25">
      <c r="A3086" t="s">
        <v>9267</v>
      </c>
      <c r="B3086" t="s">
        <v>9268</v>
      </c>
      <c r="C3086" t="s">
        <v>9266</v>
      </c>
    </row>
    <row r="3087" spans="1:3" x14ac:dyDescent="0.25">
      <c r="A3087" t="s">
        <v>9270</v>
      </c>
      <c r="B3087" t="s">
        <v>9271</v>
      </c>
      <c r="C3087" t="s">
        <v>9269</v>
      </c>
    </row>
    <row r="3088" spans="1:3" x14ac:dyDescent="0.25">
      <c r="A3088" t="s">
        <v>9273</v>
      </c>
      <c r="B3088" t="s">
        <v>9274</v>
      </c>
      <c r="C3088" t="s">
        <v>9272</v>
      </c>
    </row>
    <row r="3089" spans="1:3" x14ac:dyDescent="0.25">
      <c r="A3089" t="s">
        <v>9276</v>
      </c>
      <c r="B3089" t="s">
        <v>9277</v>
      </c>
      <c r="C3089" t="s">
        <v>9275</v>
      </c>
    </row>
    <row r="3090" spans="1:3" x14ac:dyDescent="0.25">
      <c r="A3090" t="s">
        <v>9278</v>
      </c>
      <c r="B3090" t="s">
        <v>9279</v>
      </c>
      <c r="C3090" t="s">
        <v>3403</v>
      </c>
    </row>
    <row r="3091" spans="1:3" x14ac:dyDescent="0.25">
      <c r="A3091" t="s">
        <v>9280</v>
      </c>
      <c r="B3091" t="s">
        <v>9281</v>
      </c>
      <c r="C3091" t="s">
        <v>3403</v>
      </c>
    </row>
    <row r="3092" spans="1:3" x14ac:dyDescent="0.25">
      <c r="A3092" t="s">
        <v>9283</v>
      </c>
      <c r="B3092" t="s">
        <v>9250</v>
      </c>
      <c r="C3092" t="s">
        <v>9282</v>
      </c>
    </row>
    <row r="3093" spans="1:3" x14ac:dyDescent="0.25">
      <c r="A3093" t="s">
        <v>9284</v>
      </c>
      <c r="B3093" t="s">
        <v>9285</v>
      </c>
      <c r="C3093" t="s">
        <v>9221</v>
      </c>
    </row>
    <row r="3094" spans="1:3" x14ac:dyDescent="0.25">
      <c r="A3094" t="s">
        <v>9287</v>
      </c>
      <c r="B3094" t="s">
        <v>9288</v>
      </c>
      <c r="C3094" t="s">
        <v>9286</v>
      </c>
    </row>
    <row r="3095" spans="1:3" x14ac:dyDescent="0.25">
      <c r="A3095" t="s">
        <v>9290</v>
      </c>
      <c r="B3095" t="s">
        <v>9291</v>
      </c>
      <c r="C3095" t="s">
        <v>9289</v>
      </c>
    </row>
    <row r="3096" spans="1:3" x14ac:dyDescent="0.25">
      <c r="A3096" t="s">
        <v>9293</v>
      </c>
      <c r="B3096" t="s">
        <v>9294</v>
      </c>
      <c r="C3096" t="s">
        <v>9292</v>
      </c>
    </row>
    <row r="3097" spans="1:3" x14ac:dyDescent="0.25">
      <c r="A3097" t="s">
        <v>9296</v>
      </c>
      <c r="B3097" t="s">
        <v>9297</v>
      </c>
      <c r="C3097" t="s">
        <v>9295</v>
      </c>
    </row>
    <row r="3098" spans="1:3" x14ac:dyDescent="0.25">
      <c r="A3098" t="s">
        <v>9299</v>
      </c>
      <c r="B3098" t="s">
        <v>9300</v>
      </c>
      <c r="C3098" t="s">
        <v>9298</v>
      </c>
    </row>
    <row r="3099" spans="1:3" x14ac:dyDescent="0.25">
      <c r="A3099" t="s">
        <v>9302</v>
      </c>
      <c r="B3099" t="s">
        <v>9303</v>
      </c>
      <c r="C3099" t="s">
        <v>9301</v>
      </c>
    </row>
    <row r="3100" spans="1:3" x14ac:dyDescent="0.25">
      <c r="A3100" t="s">
        <v>9305</v>
      </c>
      <c r="B3100" t="s">
        <v>9306</v>
      </c>
      <c r="C3100" t="s">
        <v>9304</v>
      </c>
    </row>
    <row r="3101" spans="1:3" x14ac:dyDescent="0.25">
      <c r="A3101" t="s">
        <v>9308</v>
      </c>
      <c r="B3101" t="s">
        <v>9309</v>
      </c>
      <c r="C3101" t="s">
        <v>9307</v>
      </c>
    </row>
    <row r="3102" spans="1:3" x14ac:dyDescent="0.25">
      <c r="A3102" t="s">
        <v>9311</v>
      </c>
      <c r="B3102" t="s">
        <v>9312</v>
      </c>
      <c r="C3102" t="s">
        <v>9310</v>
      </c>
    </row>
    <row r="3103" spans="1:3" x14ac:dyDescent="0.25">
      <c r="A3103" t="s">
        <v>9314</v>
      </c>
      <c r="B3103" t="s">
        <v>9315</v>
      </c>
      <c r="C3103" t="s">
        <v>9313</v>
      </c>
    </row>
    <row r="3104" spans="1:3" x14ac:dyDescent="0.25">
      <c r="A3104" t="s">
        <v>9317</v>
      </c>
      <c r="B3104" t="s">
        <v>9318</v>
      </c>
      <c r="C3104" t="s">
        <v>9316</v>
      </c>
    </row>
    <row r="3105" spans="1:3" x14ac:dyDescent="0.25">
      <c r="A3105" t="s">
        <v>9320</v>
      </c>
      <c r="B3105" t="s">
        <v>9321</v>
      </c>
      <c r="C3105" t="s">
        <v>9319</v>
      </c>
    </row>
    <row r="3106" spans="1:3" x14ac:dyDescent="0.25">
      <c r="A3106" t="s">
        <v>9323</v>
      </c>
      <c r="B3106" t="s">
        <v>9324</v>
      </c>
      <c r="C3106" t="s">
        <v>9322</v>
      </c>
    </row>
    <row r="3107" spans="1:3" x14ac:dyDescent="0.25">
      <c r="A3107" t="s">
        <v>9326</v>
      </c>
      <c r="B3107" t="s">
        <v>9327</v>
      </c>
      <c r="C3107" t="s">
        <v>9325</v>
      </c>
    </row>
    <row r="3108" spans="1:3" x14ac:dyDescent="0.25">
      <c r="A3108" t="s">
        <v>9329</v>
      </c>
      <c r="B3108" t="s">
        <v>9330</v>
      </c>
      <c r="C3108" t="s">
        <v>9328</v>
      </c>
    </row>
    <row r="3109" spans="1:3" x14ac:dyDescent="0.25">
      <c r="A3109" t="s">
        <v>9332</v>
      </c>
      <c r="B3109" t="s">
        <v>9333</v>
      </c>
      <c r="C3109" t="s">
        <v>9331</v>
      </c>
    </row>
    <row r="3110" spans="1:3" x14ac:dyDescent="0.25">
      <c r="A3110" t="s">
        <v>9335</v>
      </c>
      <c r="B3110" t="s">
        <v>9336</v>
      </c>
      <c r="C3110" t="s">
        <v>9334</v>
      </c>
    </row>
    <row r="3111" spans="1:3" x14ac:dyDescent="0.25">
      <c r="A3111" t="s">
        <v>9337</v>
      </c>
      <c r="B3111" t="s">
        <v>9338</v>
      </c>
      <c r="C3111" t="s">
        <v>3403</v>
      </c>
    </row>
    <row r="3112" spans="1:3" x14ac:dyDescent="0.25">
      <c r="A3112" t="s">
        <v>9339</v>
      </c>
      <c r="B3112" t="s">
        <v>9340</v>
      </c>
      <c r="C3112" t="s">
        <v>3403</v>
      </c>
    </row>
    <row r="3113" spans="1:3" x14ac:dyDescent="0.25">
      <c r="A3113" t="s">
        <v>9342</v>
      </c>
      <c r="B3113" t="s">
        <v>9343</v>
      </c>
      <c r="C3113" t="s">
        <v>9341</v>
      </c>
    </row>
    <row r="3114" spans="1:3" x14ac:dyDescent="0.25">
      <c r="A3114" t="s">
        <v>9344</v>
      </c>
      <c r="B3114" t="s">
        <v>9345</v>
      </c>
      <c r="C3114" t="s">
        <v>9221</v>
      </c>
    </row>
    <row r="3115" spans="1:3" x14ac:dyDescent="0.25">
      <c r="A3115" t="s">
        <v>9347</v>
      </c>
      <c r="B3115" t="s">
        <v>9348</v>
      </c>
      <c r="C3115" t="s">
        <v>9346</v>
      </c>
    </row>
    <row r="3116" spans="1:3" x14ac:dyDescent="0.25">
      <c r="A3116" t="s">
        <v>9350</v>
      </c>
      <c r="B3116" t="s">
        <v>9351</v>
      </c>
      <c r="C3116" t="s">
        <v>9349</v>
      </c>
    </row>
    <row r="3117" spans="1:3" x14ac:dyDescent="0.25">
      <c r="A3117" t="s">
        <v>451</v>
      </c>
      <c r="B3117" t="s">
        <v>9353</v>
      </c>
      <c r="C3117" t="s">
        <v>9352</v>
      </c>
    </row>
    <row r="3118" spans="1:3" x14ac:dyDescent="0.25">
      <c r="A3118" t="s">
        <v>9355</v>
      </c>
      <c r="B3118" t="s">
        <v>9356</v>
      </c>
      <c r="C3118" t="s">
        <v>9354</v>
      </c>
    </row>
    <row r="3119" spans="1:3" x14ac:dyDescent="0.25">
      <c r="A3119" t="s">
        <v>9358</v>
      </c>
      <c r="B3119" t="s">
        <v>9359</v>
      </c>
      <c r="C3119" t="s">
        <v>9357</v>
      </c>
    </row>
    <row r="3120" spans="1:3" x14ac:dyDescent="0.25">
      <c r="A3120" t="s">
        <v>9361</v>
      </c>
      <c r="B3120" t="s">
        <v>9362</v>
      </c>
      <c r="C3120" t="s">
        <v>9360</v>
      </c>
    </row>
    <row r="3121" spans="1:3" x14ac:dyDescent="0.25">
      <c r="A3121" t="s">
        <v>9364</v>
      </c>
      <c r="B3121" t="s">
        <v>9365</v>
      </c>
      <c r="C3121" t="s">
        <v>9363</v>
      </c>
    </row>
    <row r="3122" spans="1:3" x14ac:dyDescent="0.25">
      <c r="A3122" t="s">
        <v>9367</v>
      </c>
      <c r="B3122" t="s">
        <v>9368</v>
      </c>
      <c r="C3122" t="s">
        <v>9366</v>
      </c>
    </row>
    <row r="3123" spans="1:3" x14ac:dyDescent="0.25">
      <c r="A3123" t="s">
        <v>9370</v>
      </c>
      <c r="B3123" t="s">
        <v>9371</v>
      </c>
      <c r="C3123" t="s">
        <v>9369</v>
      </c>
    </row>
    <row r="3124" spans="1:3" x14ac:dyDescent="0.25">
      <c r="A3124" t="s">
        <v>9373</v>
      </c>
      <c r="B3124" t="s">
        <v>9374</v>
      </c>
      <c r="C3124" t="s">
        <v>9372</v>
      </c>
    </row>
    <row r="3125" spans="1:3" x14ac:dyDescent="0.25">
      <c r="A3125" t="s">
        <v>9376</v>
      </c>
      <c r="B3125" t="s">
        <v>9377</v>
      </c>
      <c r="C3125" t="s">
        <v>9375</v>
      </c>
    </row>
    <row r="3126" spans="1:3" x14ac:dyDescent="0.25">
      <c r="A3126" t="s">
        <v>9379</v>
      </c>
      <c r="B3126" t="s">
        <v>9380</v>
      </c>
      <c r="C3126" t="s">
        <v>9378</v>
      </c>
    </row>
    <row r="3127" spans="1:3" x14ac:dyDescent="0.25">
      <c r="A3127" t="s">
        <v>452</v>
      </c>
      <c r="B3127" t="s">
        <v>9382</v>
      </c>
      <c r="C3127" t="s">
        <v>9381</v>
      </c>
    </row>
    <row r="3128" spans="1:3" x14ac:dyDescent="0.25">
      <c r="A3128" t="s">
        <v>9384</v>
      </c>
      <c r="B3128" t="s">
        <v>9385</v>
      </c>
      <c r="C3128" t="s">
        <v>9383</v>
      </c>
    </row>
    <row r="3129" spans="1:3" x14ac:dyDescent="0.25">
      <c r="A3129" t="s">
        <v>9387</v>
      </c>
      <c r="B3129" t="s">
        <v>9388</v>
      </c>
      <c r="C3129" t="s">
        <v>9386</v>
      </c>
    </row>
    <row r="3130" spans="1:3" x14ac:dyDescent="0.25">
      <c r="A3130" t="s">
        <v>9390</v>
      </c>
      <c r="B3130" t="s">
        <v>9391</v>
      </c>
      <c r="C3130" t="s">
        <v>9389</v>
      </c>
    </row>
    <row r="3131" spans="1:3" x14ac:dyDescent="0.25">
      <c r="A3131" t="s">
        <v>9393</v>
      </c>
      <c r="B3131" t="s">
        <v>9394</v>
      </c>
      <c r="C3131" t="s">
        <v>9392</v>
      </c>
    </row>
    <row r="3132" spans="1:3" x14ac:dyDescent="0.25">
      <c r="A3132" t="s">
        <v>9396</v>
      </c>
      <c r="B3132" t="s">
        <v>9397</v>
      </c>
      <c r="C3132" t="s">
        <v>9395</v>
      </c>
    </row>
    <row r="3133" spans="1:3" x14ac:dyDescent="0.25">
      <c r="A3133" t="s">
        <v>9399</v>
      </c>
      <c r="B3133" t="s">
        <v>9400</v>
      </c>
      <c r="C3133" t="s">
        <v>9398</v>
      </c>
    </row>
    <row r="3134" spans="1:3" x14ac:dyDescent="0.25">
      <c r="A3134" t="s">
        <v>9402</v>
      </c>
      <c r="B3134" t="s">
        <v>9403</v>
      </c>
      <c r="C3134" t="s">
        <v>9401</v>
      </c>
    </row>
    <row r="3135" spans="1:3" x14ac:dyDescent="0.25">
      <c r="A3135" t="s">
        <v>9404</v>
      </c>
      <c r="B3135" t="s">
        <v>9405</v>
      </c>
      <c r="C3135" t="s">
        <v>3403</v>
      </c>
    </row>
    <row r="3136" spans="1:3" x14ac:dyDescent="0.25">
      <c r="A3136" t="s">
        <v>9406</v>
      </c>
      <c r="B3136" t="s">
        <v>9407</v>
      </c>
      <c r="C3136" t="s">
        <v>3403</v>
      </c>
    </row>
    <row r="3137" spans="1:3" x14ac:dyDescent="0.25">
      <c r="A3137" t="s">
        <v>9409</v>
      </c>
      <c r="B3137" t="s">
        <v>9410</v>
      </c>
      <c r="C3137" t="s">
        <v>9408</v>
      </c>
    </row>
    <row r="3138" spans="1:3" x14ac:dyDescent="0.25">
      <c r="A3138" t="s">
        <v>453</v>
      </c>
      <c r="B3138" t="s">
        <v>9412</v>
      </c>
      <c r="C3138" t="s">
        <v>9411</v>
      </c>
    </row>
    <row r="3139" spans="1:3" x14ac:dyDescent="0.25">
      <c r="A3139" t="s">
        <v>9413</v>
      </c>
      <c r="B3139" t="s">
        <v>9414</v>
      </c>
      <c r="C3139" t="s">
        <v>9221</v>
      </c>
    </row>
    <row r="3140" spans="1:3" x14ac:dyDescent="0.25">
      <c r="A3140" t="s">
        <v>9415</v>
      </c>
      <c r="B3140" t="s">
        <v>9416</v>
      </c>
      <c r="C3140" t="s">
        <v>9221</v>
      </c>
    </row>
    <row r="3141" spans="1:3" x14ac:dyDescent="0.25">
      <c r="A3141" t="s">
        <v>9418</v>
      </c>
      <c r="B3141" t="s">
        <v>9419</v>
      </c>
      <c r="C3141" t="s">
        <v>9417</v>
      </c>
    </row>
    <row r="3142" spans="1:3" x14ac:dyDescent="0.25">
      <c r="A3142" t="s">
        <v>9421</v>
      </c>
      <c r="B3142" t="s">
        <v>9422</v>
      </c>
      <c r="C3142" t="s">
        <v>9420</v>
      </c>
    </row>
    <row r="3143" spans="1:3" x14ac:dyDescent="0.25">
      <c r="A3143" t="s">
        <v>9424</v>
      </c>
      <c r="B3143" t="s">
        <v>9425</v>
      </c>
      <c r="C3143" t="s">
        <v>9423</v>
      </c>
    </row>
    <row r="3144" spans="1:3" x14ac:dyDescent="0.25">
      <c r="A3144" t="s">
        <v>9427</v>
      </c>
      <c r="B3144" t="s">
        <v>9428</v>
      </c>
      <c r="C3144" t="s">
        <v>9426</v>
      </c>
    </row>
    <row r="3145" spans="1:3" x14ac:dyDescent="0.25">
      <c r="A3145" t="s">
        <v>9430</v>
      </c>
      <c r="B3145" t="s">
        <v>9431</v>
      </c>
      <c r="C3145" t="s">
        <v>9429</v>
      </c>
    </row>
    <row r="3146" spans="1:3" x14ac:dyDescent="0.25">
      <c r="A3146" t="s">
        <v>9433</v>
      </c>
      <c r="B3146" t="s">
        <v>9434</v>
      </c>
      <c r="C3146" t="s">
        <v>9432</v>
      </c>
    </row>
    <row r="3147" spans="1:3" x14ac:dyDescent="0.25">
      <c r="A3147" t="s">
        <v>9436</v>
      </c>
      <c r="B3147" t="s">
        <v>9437</v>
      </c>
      <c r="C3147" t="s">
        <v>9435</v>
      </c>
    </row>
    <row r="3148" spans="1:3" x14ac:dyDescent="0.25">
      <c r="A3148" t="s">
        <v>9439</v>
      </c>
      <c r="B3148" t="s">
        <v>9440</v>
      </c>
      <c r="C3148" t="s">
        <v>9438</v>
      </c>
    </row>
    <row r="3149" spans="1:3" x14ac:dyDescent="0.25">
      <c r="A3149" t="s">
        <v>9442</v>
      </c>
      <c r="B3149" t="s">
        <v>9443</v>
      </c>
      <c r="C3149" t="s">
        <v>9441</v>
      </c>
    </row>
    <row r="3150" spans="1:3" x14ac:dyDescent="0.25">
      <c r="A3150" t="s">
        <v>9445</v>
      </c>
      <c r="B3150" t="s">
        <v>9446</v>
      </c>
      <c r="C3150" t="s">
        <v>9444</v>
      </c>
    </row>
    <row r="3151" spans="1:3" x14ac:dyDescent="0.25">
      <c r="A3151" t="s">
        <v>9448</v>
      </c>
      <c r="B3151" t="s">
        <v>9449</v>
      </c>
      <c r="C3151" t="s">
        <v>9447</v>
      </c>
    </row>
    <row r="3152" spans="1:3" x14ac:dyDescent="0.25">
      <c r="A3152" t="s">
        <v>9451</v>
      </c>
      <c r="B3152" t="s">
        <v>9452</v>
      </c>
      <c r="C3152" t="s">
        <v>9450</v>
      </c>
    </row>
    <row r="3153" spans="1:3" x14ac:dyDescent="0.25">
      <c r="A3153" t="s">
        <v>9454</v>
      </c>
      <c r="B3153" t="s">
        <v>9455</v>
      </c>
      <c r="C3153" t="s">
        <v>9453</v>
      </c>
    </row>
    <row r="3154" spans="1:3" x14ac:dyDescent="0.25">
      <c r="A3154" t="s">
        <v>9456</v>
      </c>
      <c r="B3154" t="s">
        <v>9457</v>
      </c>
      <c r="C3154" t="s">
        <v>9221</v>
      </c>
    </row>
    <row r="3155" spans="1:3" x14ac:dyDescent="0.25">
      <c r="A3155" t="s">
        <v>9459</v>
      </c>
      <c r="B3155" t="s">
        <v>9460</v>
      </c>
      <c r="C3155" t="s">
        <v>9458</v>
      </c>
    </row>
    <row r="3156" spans="1:3" x14ac:dyDescent="0.25">
      <c r="A3156" t="s">
        <v>9462</v>
      </c>
      <c r="B3156" t="s">
        <v>9463</v>
      </c>
      <c r="C3156" t="s">
        <v>9461</v>
      </c>
    </row>
    <row r="3157" spans="1:3" x14ac:dyDescent="0.25">
      <c r="A3157" t="s">
        <v>9465</v>
      </c>
      <c r="B3157" t="s">
        <v>9466</v>
      </c>
      <c r="C3157" t="s">
        <v>9464</v>
      </c>
    </row>
    <row r="3158" spans="1:3" x14ac:dyDescent="0.25">
      <c r="A3158" t="s">
        <v>9468</v>
      </c>
      <c r="B3158" t="s">
        <v>9469</v>
      </c>
      <c r="C3158" t="s">
        <v>9467</v>
      </c>
    </row>
    <row r="3159" spans="1:3" x14ac:dyDescent="0.25">
      <c r="A3159" t="s">
        <v>9471</v>
      </c>
      <c r="B3159" t="s">
        <v>9472</v>
      </c>
      <c r="C3159" t="s">
        <v>9470</v>
      </c>
    </row>
    <row r="3160" spans="1:3" x14ac:dyDescent="0.25">
      <c r="A3160" t="s">
        <v>9474</v>
      </c>
      <c r="B3160" t="s">
        <v>9475</v>
      </c>
      <c r="C3160" t="s">
        <v>9473</v>
      </c>
    </row>
    <row r="3161" spans="1:3" x14ac:dyDescent="0.25">
      <c r="A3161" t="s">
        <v>9477</v>
      </c>
      <c r="B3161" t="s">
        <v>9478</v>
      </c>
      <c r="C3161" t="s">
        <v>9476</v>
      </c>
    </row>
    <row r="3162" spans="1:3" x14ac:dyDescent="0.25">
      <c r="A3162" t="s">
        <v>9480</v>
      </c>
      <c r="B3162" t="s">
        <v>9481</v>
      </c>
      <c r="C3162" t="s">
        <v>9479</v>
      </c>
    </row>
    <row r="3163" spans="1:3" x14ac:dyDescent="0.25">
      <c r="A3163" t="s">
        <v>9483</v>
      </c>
      <c r="B3163" t="s">
        <v>9484</v>
      </c>
      <c r="C3163" t="s">
        <v>9482</v>
      </c>
    </row>
    <row r="3164" spans="1:3" x14ac:dyDescent="0.25">
      <c r="A3164" t="s">
        <v>9485</v>
      </c>
      <c r="B3164" t="s">
        <v>9486</v>
      </c>
      <c r="C3164" t="s">
        <v>3403</v>
      </c>
    </row>
    <row r="3165" spans="1:3" x14ac:dyDescent="0.25">
      <c r="A3165" t="s">
        <v>9487</v>
      </c>
      <c r="B3165" t="s">
        <v>9488</v>
      </c>
      <c r="C3165" t="s">
        <v>3403</v>
      </c>
    </row>
    <row r="3166" spans="1:3" x14ac:dyDescent="0.25">
      <c r="A3166" t="s">
        <v>9489</v>
      </c>
      <c r="B3166" t="s">
        <v>9490</v>
      </c>
      <c r="C3166" t="s">
        <v>3403</v>
      </c>
    </row>
    <row r="3167" spans="1:3" x14ac:dyDescent="0.25">
      <c r="A3167" t="s">
        <v>9492</v>
      </c>
      <c r="B3167" t="s">
        <v>9493</v>
      </c>
      <c r="C3167" t="s">
        <v>9491</v>
      </c>
    </row>
    <row r="3168" spans="1:3" x14ac:dyDescent="0.25">
      <c r="A3168" t="s">
        <v>9495</v>
      </c>
      <c r="B3168" t="s">
        <v>9496</v>
      </c>
      <c r="C3168" t="s">
        <v>9494</v>
      </c>
    </row>
    <row r="3169" spans="1:3" x14ac:dyDescent="0.25">
      <c r="A3169" t="s">
        <v>9498</v>
      </c>
      <c r="B3169" t="s">
        <v>9499</v>
      </c>
      <c r="C3169" t="s">
        <v>9497</v>
      </c>
    </row>
    <row r="3170" spans="1:3" x14ac:dyDescent="0.25">
      <c r="A3170" t="s">
        <v>9501</v>
      </c>
      <c r="B3170" t="s">
        <v>9502</v>
      </c>
      <c r="C3170" t="s">
        <v>9500</v>
      </c>
    </row>
    <row r="3171" spans="1:3" x14ac:dyDescent="0.25">
      <c r="A3171" t="s">
        <v>9504</v>
      </c>
      <c r="B3171" t="s">
        <v>9505</v>
      </c>
      <c r="C3171" t="s">
        <v>9503</v>
      </c>
    </row>
    <row r="3172" spans="1:3" x14ac:dyDescent="0.25">
      <c r="A3172" t="s">
        <v>9507</v>
      </c>
      <c r="B3172" t="s">
        <v>9508</v>
      </c>
      <c r="C3172" t="s">
        <v>9506</v>
      </c>
    </row>
    <row r="3173" spans="1:3" x14ac:dyDescent="0.25">
      <c r="A3173" t="s">
        <v>9510</v>
      </c>
      <c r="B3173" t="s">
        <v>9511</v>
      </c>
      <c r="C3173" t="s">
        <v>9509</v>
      </c>
    </row>
    <row r="3174" spans="1:3" x14ac:dyDescent="0.25">
      <c r="A3174" t="s">
        <v>9513</v>
      </c>
      <c r="B3174" t="s">
        <v>9514</v>
      </c>
      <c r="C3174" t="s">
        <v>9512</v>
      </c>
    </row>
    <row r="3175" spans="1:3" x14ac:dyDescent="0.25">
      <c r="A3175" t="s">
        <v>9516</v>
      </c>
      <c r="B3175" t="s">
        <v>9517</v>
      </c>
      <c r="C3175" t="s">
        <v>9515</v>
      </c>
    </row>
    <row r="3176" spans="1:3" x14ac:dyDescent="0.25">
      <c r="A3176" t="s">
        <v>9519</v>
      </c>
      <c r="B3176" t="s">
        <v>9520</v>
      </c>
      <c r="C3176" t="s">
        <v>9518</v>
      </c>
    </row>
    <row r="3177" spans="1:3" x14ac:dyDescent="0.25">
      <c r="A3177" t="s">
        <v>9522</v>
      </c>
      <c r="B3177" t="s">
        <v>9523</v>
      </c>
      <c r="C3177" t="s">
        <v>9521</v>
      </c>
    </row>
    <row r="3178" spans="1:3" x14ac:dyDescent="0.25">
      <c r="A3178" t="s">
        <v>9525</v>
      </c>
      <c r="B3178" t="s">
        <v>9526</v>
      </c>
      <c r="C3178" t="s">
        <v>9524</v>
      </c>
    </row>
    <row r="3179" spans="1:3" x14ac:dyDescent="0.25">
      <c r="A3179" t="s">
        <v>9528</v>
      </c>
      <c r="B3179" t="s">
        <v>9529</v>
      </c>
      <c r="C3179" t="s">
        <v>9527</v>
      </c>
    </row>
    <row r="3180" spans="1:3" x14ac:dyDescent="0.25">
      <c r="A3180" t="s">
        <v>9531</v>
      </c>
      <c r="B3180" t="s">
        <v>9532</v>
      </c>
      <c r="C3180" t="s">
        <v>9530</v>
      </c>
    </row>
    <row r="3181" spans="1:3" x14ac:dyDescent="0.25">
      <c r="A3181" t="s">
        <v>9534</v>
      </c>
      <c r="B3181" t="s">
        <v>9535</v>
      </c>
      <c r="C3181" t="s">
        <v>9533</v>
      </c>
    </row>
    <row r="3182" spans="1:3" x14ac:dyDescent="0.25">
      <c r="A3182" t="s">
        <v>9537</v>
      </c>
      <c r="B3182" t="s">
        <v>9538</v>
      </c>
      <c r="C3182" t="s">
        <v>9536</v>
      </c>
    </row>
    <row r="3183" spans="1:3" x14ac:dyDescent="0.25">
      <c r="A3183" t="s">
        <v>9540</v>
      </c>
      <c r="B3183" t="s">
        <v>9541</v>
      </c>
      <c r="C3183" t="s">
        <v>9539</v>
      </c>
    </row>
    <row r="3184" spans="1:3" x14ac:dyDescent="0.25">
      <c r="A3184" t="s">
        <v>9543</v>
      </c>
      <c r="B3184" t="s">
        <v>9544</v>
      </c>
      <c r="C3184" t="s">
        <v>9542</v>
      </c>
    </row>
    <row r="3185" spans="1:3" x14ac:dyDescent="0.25">
      <c r="A3185" t="s">
        <v>9546</v>
      </c>
      <c r="B3185" t="s">
        <v>9547</v>
      </c>
      <c r="C3185" t="s">
        <v>9545</v>
      </c>
    </row>
    <row r="3186" spans="1:3" x14ac:dyDescent="0.25">
      <c r="A3186" t="s">
        <v>9549</v>
      </c>
      <c r="B3186" t="s">
        <v>9550</v>
      </c>
      <c r="C3186" t="s">
        <v>9548</v>
      </c>
    </row>
    <row r="3187" spans="1:3" x14ac:dyDescent="0.25">
      <c r="A3187" t="s">
        <v>9552</v>
      </c>
      <c r="B3187" t="s">
        <v>9553</v>
      </c>
      <c r="C3187" t="s">
        <v>9551</v>
      </c>
    </row>
    <row r="3188" spans="1:3" x14ac:dyDescent="0.25">
      <c r="A3188" t="s">
        <v>9555</v>
      </c>
      <c r="B3188" t="s">
        <v>9556</v>
      </c>
      <c r="C3188" t="s">
        <v>9554</v>
      </c>
    </row>
    <row r="3189" spans="1:3" x14ac:dyDescent="0.25">
      <c r="A3189" t="s">
        <v>9558</v>
      </c>
      <c r="B3189" t="s">
        <v>9559</v>
      </c>
      <c r="C3189" t="s">
        <v>9557</v>
      </c>
    </row>
    <row r="3190" spans="1:3" x14ac:dyDescent="0.25">
      <c r="A3190" t="s">
        <v>9561</v>
      </c>
      <c r="B3190" t="s">
        <v>9562</v>
      </c>
      <c r="C3190" t="s">
        <v>9560</v>
      </c>
    </row>
    <row r="3191" spans="1:3" x14ac:dyDescent="0.25">
      <c r="A3191" t="s">
        <v>9564</v>
      </c>
      <c r="B3191" t="s">
        <v>9565</v>
      </c>
      <c r="C3191" t="s">
        <v>9563</v>
      </c>
    </row>
    <row r="3192" spans="1:3" x14ac:dyDescent="0.25">
      <c r="A3192" t="s">
        <v>9567</v>
      </c>
      <c r="B3192" t="s">
        <v>9568</v>
      </c>
      <c r="C3192" t="s">
        <v>9566</v>
      </c>
    </row>
    <row r="3193" spans="1:3" x14ac:dyDescent="0.25">
      <c r="A3193" t="s">
        <v>9570</v>
      </c>
      <c r="B3193" t="s">
        <v>9571</v>
      </c>
      <c r="C3193" t="s">
        <v>9569</v>
      </c>
    </row>
    <row r="3194" spans="1:3" x14ac:dyDescent="0.25">
      <c r="A3194" t="s">
        <v>9573</v>
      </c>
      <c r="B3194" t="s">
        <v>9574</v>
      </c>
      <c r="C3194" t="s">
        <v>9572</v>
      </c>
    </row>
    <row r="3195" spans="1:3" x14ac:dyDescent="0.25">
      <c r="A3195" t="s">
        <v>9576</v>
      </c>
      <c r="B3195" t="s">
        <v>9577</v>
      </c>
      <c r="C3195" t="s">
        <v>9575</v>
      </c>
    </row>
    <row r="3196" spans="1:3" x14ac:dyDescent="0.25">
      <c r="A3196" t="s">
        <v>9579</v>
      </c>
      <c r="B3196" t="s">
        <v>9580</v>
      </c>
      <c r="C3196" t="s">
        <v>9578</v>
      </c>
    </row>
    <row r="3197" spans="1:3" x14ac:dyDescent="0.25">
      <c r="A3197" t="s">
        <v>9582</v>
      </c>
      <c r="B3197" t="s">
        <v>9583</v>
      </c>
      <c r="C3197" t="s">
        <v>9581</v>
      </c>
    </row>
    <row r="3198" spans="1:3" x14ac:dyDescent="0.25">
      <c r="A3198" t="s">
        <v>9585</v>
      </c>
      <c r="B3198" t="s">
        <v>9586</v>
      </c>
      <c r="C3198" t="s">
        <v>9584</v>
      </c>
    </row>
    <row r="3199" spans="1:3" x14ac:dyDescent="0.25">
      <c r="A3199" t="s">
        <v>9588</v>
      </c>
      <c r="B3199" t="s">
        <v>9589</v>
      </c>
      <c r="C3199" t="s">
        <v>9587</v>
      </c>
    </row>
    <row r="3200" spans="1:3" x14ac:dyDescent="0.25">
      <c r="A3200" t="s">
        <v>9591</v>
      </c>
      <c r="B3200" t="s">
        <v>9592</v>
      </c>
      <c r="C3200" t="s">
        <v>9590</v>
      </c>
    </row>
    <row r="3201" spans="1:3" x14ac:dyDescent="0.25">
      <c r="A3201" t="s">
        <v>9594</v>
      </c>
      <c r="B3201" t="s">
        <v>9595</v>
      </c>
      <c r="C3201" t="s">
        <v>9593</v>
      </c>
    </row>
    <row r="3202" spans="1:3" x14ac:dyDescent="0.25">
      <c r="A3202" t="s">
        <v>9597</v>
      </c>
      <c r="B3202" t="s">
        <v>9598</v>
      </c>
      <c r="C3202" t="s">
        <v>9596</v>
      </c>
    </row>
    <row r="3203" spans="1:3" x14ac:dyDescent="0.25">
      <c r="A3203" t="s">
        <v>9599</v>
      </c>
      <c r="B3203" t="s">
        <v>9600</v>
      </c>
      <c r="C3203" t="s">
        <v>3403</v>
      </c>
    </row>
    <row r="3204" spans="1:3" x14ac:dyDescent="0.25">
      <c r="A3204" t="s">
        <v>9601</v>
      </c>
      <c r="B3204" t="s">
        <v>9602</v>
      </c>
      <c r="C3204" t="s">
        <v>3403</v>
      </c>
    </row>
    <row r="3205" spans="1:3" x14ac:dyDescent="0.25">
      <c r="A3205" t="s">
        <v>9604</v>
      </c>
      <c r="B3205" t="s">
        <v>9605</v>
      </c>
      <c r="C3205" t="s">
        <v>9603</v>
      </c>
    </row>
    <row r="3206" spans="1:3" x14ac:dyDescent="0.25">
      <c r="A3206" t="s">
        <v>9607</v>
      </c>
      <c r="B3206" t="s">
        <v>9608</v>
      </c>
      <c r="C3206" t="s">
        <v>9606</v>
      </c>
    </row>
    <row r="3207" spans="1:3" x14ac:dyDescent="0.25">
      <c r="A3207" t="s">
        <v>9610</v>
      </c>
      <c r="B3207" t="s">
        <v>9611</v>
      </c>
      <c r="C3207" t="s">
        <v>9609</v>
      </c>
    </row>
    <row r="3208" spans="1:3" x14ac:dyDescent="0.25">
      <c r="A3208" t="s">
        <v>9613</v>
      </c>
      <c r="B3208" t="s">
        <v>9614</v>
      </c>
      <c r="C3208" t="s">
        <v>9612</v>
      </c>
    </row>
    <row r="3209" spans="1:3" x14ac:dyDescent="0.25">
      <c r="A3209" t="s">
        <v>9616</v>
      </c>
      <c r="B3209" t="s">
        <v>9617</v>
      </c>
      <c r="C3209" t="s">
        <v>9615</v>
      </c>
    </row>
    <row r="3210" spans="1:3" x14ac:dyDescent="0.25">
      <c r="A3210" t="s">
        <v>9619</v>
      </c>
      <c r="B3210" t="s">
        <v>9620</v>
      </c>
      <c r="C3210" t="s">
        <v>9618</v>
      </c>
    </row>
    <row r="3211" spans="1:3" x14ac:dyDescent="0.25">
      <c r="A3211" t="s">
        <v>9622</v>
      </c>
      <c r="B3211" t="s">
        <v>9623</v>
      </c>
      <c r="C3211" t="s">
        <v>9621</v>
      </c>
    </row>
    <row r="3212" spans="1:3" x14ac:dyDescent="0.25">
      <c r="A3212" t="s">
        <v>9625</v>
      </c>
      <c r="B3212" t="s">
        <v>9626</v>
      </c>
      <c r="C3212" t="s">
        <v>9624</v>
      </c>
    </row>
    <row r="3213" spans="1:3" x14ac:dyDescent="0.25">
      <c r="A3213" t="s">
        <v>9628</v>
      </c>
      <c r="B3213" t="s">
        <v>9629</v>
      </c>
      <c r="C3213" t="s">
        <v>9627</v>
      </c>
    </row>
    <row r="3214" spans="1:3" x14ac:dyDescent="0.25">
      <c r="A3214" t="s">
        <v>9631</v>
      </c>
      <c r="B3214" t="s">
        <v>9632</v>
      </c>
      <c r="C3214" t="s">
        <v>9630</v>
      </c>
    </row>
    <row r="3215" spans="1:3" x14ac:dyDescent="0.25">
      <c r="A3215" t="s">
        <v>9634</v>
      </c>
      <c r="B3215" t="s">
        <v>9635</v>
      </c>
      <c r="C3215" t="s">
        <v>9633</v>
      </c>
    </row>
    <row r="3216" spans="1:3" x14ac:dyDescent="0.25">
      <c r="A3216" t="s">
        <v>9637</v>
      </c>
      <c r="B3216" t="s">
        <v>9638</v>
      </c>
      <c r="C3216" t="s">
        <v>9636</v>
      </c>
    </row>
    <row r="3217" spans="1:3" x14ac:dyDescent="0.25">
      <c r="A3217" t="s">
        <v>9640</v>
      </c>
      <c r="B3217" t="s">
        <v>9641</v>
      </c>
      <c r="C3217" t="s">
        <v>9639</v>
      </c>
    </row>
    <row r="3218" spans="1:3" x14ac:dyDescent="0.25">
      <c r="A3218" t="s">
        <v>9643</v>
      </c>
      <c r="B3218" t="s">
        <v>9644</v>
      </c>
      <c r="C3218" t="s">
        <v>9642</v>
      </c>
    </row>
    <row r="3219" spans="1:3" x14ac:dyDescent="0.25">
      <c r="A3219" t="s">
        <v>9646</v>
      </c>
      <c r="B3219" t="s">
        <v>9647</v>
      </c>
      <c r="C3219" t="s">
        <v>9645</v>
      </c>
    </row>
    <row r="3220" spans="1:3" x14ac:dyDescent="0.25">
      <c r="A3220" t="s">
        <v>9649</v>
      </c>
      <c r="B3220" t="s">
        <v>9650</v>
      </c>
      <c r="C3220" t="s">
        <v>9648</v>
      </c>
    </row>
    <row r="3221" spans="1:3" x14ac:dyDescent="0.25">
      <c r="A3221" t="s">
        <v>9652</v>
      </c>
      <c r="B3221" t="s">
        <v>9653</v>
      </c>
      <c r="C3221" t="s">
        <v>9651</v>
      </c>
    </row>
    <row r="3222" spans="1:3" x14ac:dyDescent="0.25">
      <c r="A3222" t="s">
        <v>9655</v>
      </c>
      <c r="B3222" t="s">
        <v>9656</v>
      </c>
      <c r="C3222" t="s">
        <v>9654</v>
      </c>
    </row>
    <row r="3223" spans="1:3" x14ac:dyDescent="0.25">
      <c r="A3223" t="s">
        <v>9658</v>
      </c>
      <c r="B3223" t="s">
        <v>9659</v>
      </c>
      <c r="C3223" t="s">
        <v>9657</v>
      </c>
    </row>
    <row r="3224" spans="1:3" x14ac:dyDescent="0.25">
      <c r="A3224" t="s">
        <v>9661</v>
      </c>
      <c r="B3224" t="s">
        <v>9662</v>
      </c>
      <c r="C3224" t="s">
        <v>9660</v>
      </c>
    </row>
    <row r="3225" spans="1:3" x14ac:dyDescent="0.25">
      <c r="A3225" t="s">
        <v>9664</v>
      </c>
      <c r="B3225" t="s">
        <v>9665</v>
      </c>
      <c r="C3225" t="s">
        <v>9663</v>
      </c>
    </row>
    <row r="3226" spans="1:3" x14ac:dyDescent="0.25">
      <c r="A3226" t="s">
        <v>9667</v>
      </c>
      <c r="B3226" t="s">
        <v>9668</v>
      </c>
      <c r="C3226" t="s">
        <v>9666</v>
      </c>
    </row>
    <row r="3227" spans="1:3" x14ac:dyDescent="0.25">
      <c r="A3227" t="s">
        <v>9670</v>
      </c>
      <c r="B3227" t="s">
        <v>9671</v>
      </c>
      <c r="C3227" t="s">
        <v>9669</v>
      </c>
    </row>
    <row r="3228" spans="1:3" x14ac:dyDescent="0.25">
      <c r="A3228" t="s">
        <v>9673</v>
      </c>
      <c r="B3228" t="s">
        <v>9674</v>
      </c>
      <c r="C3228" t="s">
        <v>9672</v>
      </c>
    </row>
    <row r="3229" spans="1:3" x14ac:dyDescent="0.25">
      <c r="A3229" t="s">
        <v>9676</v>
      </c>
      <c r="B3229" t="s">
        <v>9677</v>
      </c>
      <c r="C3229" t="s">
        <v>9675</v>
      </c>
    </row>
    <row r="3230" spans="1:3" x14ac:dyDescent="0.25">
      <c r="A3230" t="s">
        <v>9679</v>
      </c>
      <c r="B3230" t="s">
        <v>9680</v>
      </c>
      <c r="C3230" t="s">
        <v>9678</v>
      </c>
    </row>
    <row r="3231" spans="1:3" x14ac:dyDescent="0.25">
      <c r="A3231" t="s">
        <v>9682</v>
      </c>
      <c r="B3231" t="s">
        <v>9683</v>
      </c>
      <c r="C3231" t="s">
        <v>9681</v>
      </c>
    </row>
    <row r="3232" spans="1:3" x14ac:dyDescent="0.25">
      <c r="A3232" t="s">
        <v>9685</v>
      </c>
      <c r="B3232" t="s">
        <v>9686</v>
      </c>
      <c r="C3232" t="s">
        <v>9684</v>
      </c>
    </row>
    <row r="3233" spans="1:3" x14ac:dyDescent="0.25">
      <c r="A3233" t="s">
        <v>9688</v>
      </c>
      <c r="B3233" t="s">
        <v>9689</v>
      </c>
      <c r="C3233" t="s">
        <v>9687</v>
      </c>
    </row>
    <row r="3234" spans="1:3" x14ac:dyDescent="0.25">
      <c r="A3234" t="s">
        <v>9691</v>
      </c>
      <c r="B3234" t="s">
        <v>9692</v>
      </c>
      <c r="C3234" t="s">
        <v>9690</v>
      </c>
    </row>
    <row r="3235" spans="1:3" x14ac:dyDescent="0.25">
      <c r="A3235" t="s">
        <v>9694</v>
      </c>
      <c r="B3235" t="s">
        <v>9695</v>
      </c>
      <c r="C3235" t="s">
        <v>9693</v>
      </c>
    </row>
    <row r="3236" spans="1:3" x14ac:dyDescent="0.25">
      <c r="A3236" t="s">
        <v>9697</v>
      </c>
      <c r="B3236" t="s">
        <v>9698</v>
      </c>
      <c r="C3236" t="s">
        <v>9696</v>
      </c>
    </row>
    <row r="3237" spans="1:3" x14ac:dyDescent="0.25">
      <c r="A3237" t="s">
        <v>9700</v>
      </c>
      <c r="B3237" t="s">
        <v>9701</v>
      </c>
      <c r="C3237" t="s">
        <v>9699</v>
      </c>
    </row>
    <row r="3238" spans="1:3" x14ac:dyDescent="0.25">
      <c r="A3238" t="s">
        <v>9703</v>
      </c>
      <c r="B3238" t="s">
        <v>9704</v>
      </c>
      <c r="C3238" t="s">
        <v>9702</v>
      </c>
    </row>
    <row r="3239" spans="1:3" x14ac:dyDescent="0.25">
      <c r="A3239" t="s">
        <v>9706</v>
      </c>
      <c r="B3239" t="s">
        <v>9707</v>
      </c>
      <c r="C3239" t="s">
        <v>9705</v>
      </c>
    </row>
    <row r="3240" spans="1:3" x14ac:dyDescent="0.25">
      <c r="A3240" t="s">
        <v>9709</v>
      </c>
      <c r="B3240" t="s">
        <v>9710</v>
      </c>
      <c r="C3240" t="s">
        <v>9708</v>
      </c>
    </row>
    <row r="3241" spans="1:3" x14ac:dyDescent="0.25">
      <c r="A3241" t="s">
        <v>9712</v>
      </c>
      <c r="B3241" t="s">
        <v>9713</v>
      </c>
      <c r="C3241" t="s">
        <v>9711</v>
      </c>
    </row>
    <row r="3242" spans="1:3" x14ac:dyDescent="0.25">
      <c r="A3242" t="s">
        <v>9715</v>
      </c>
      <c r="B3242" t="s">
        <v>9716</v>
      </c>
      <c r="C3242" t="s">
        <v>9714</v>
      </c>
    </row>
    <row r="3243" spans="1:3" x14ac:dyDescent="0.25">
      <c r="A3243" t="s">
        <v>9718</v>
      </c>
      <c r="B3243" t="s">
        <v>9719</v>
      </c>
      <c r="C3243" t="s">
        <v>9717</v>
      </c>
    </row>
    <row r="3244" spans="1:3" x14ac:dyDescent="0.25">
      <c r="A3244" t="s">
        <v>9721</v>
      </c>
      <c r="B3244" t="s">
        <v>9722</v>
      </c>
      <c r="C3244" t="s">
        <v>9720</v>
      </c>
    </row>
    <row r="3245" spans="1:3" x14ac:dyDescent="0.25">
      <c r="A3245" t="s">
        <v>9724</v>
      </c>
      <c r="B3245" t="s">
        <v>9725</v>
      </c>
      <c r="C3245" t="s">
        <v>9723</v>
      </c>
    </row>
    <row r="3246" spans="1:3" x14ac:dyDescent="0.25">
      <c r="A3246" t="s">
        <v>9727</v>
      </c>
      <c r="B3246" t="s">
        <v>9728</v>
      </c>
      <c r="C3246" t="s">
        <v>9726</v>
      </c>
    </row>
    <row r="3247" spans="1:3" x14ac:dyDescent="0.25">
      <c r="A3247" t="s">
        <v>9730</v>
      </c>
      <c r="B3247" t="s">
        <v>9731</v>
      </c>
      <c r="C3247" t="s">
        <v>9729</v>
      </c>
    </row>
    <row r="3248" spans="1:3" x14ac:dyDescent="0.25">
      <c r="A3248" t="s">
        <v>9733</v>
      </c>
      <c r="B3248" t="s">
        <v>9734</v>
      </c>
      <c r="C3248" t="s">
        <v>9732</v>
      </c>
    </row>
    <row r="3249" spans="1:3" x14ac:dyDescent="0.25">
      <c r="A3249" t="s">
        <v>9736</v>
      </c>
      <c r="B3249" t="s">
        <v>9737</v>
      </c>
      <c r="C3249" t="s">
        <v>9735</v>
      </c>
    </row>
    <row r="3250" spans="1:3" x14ac:dyDescent="0.25">
      <c r="A3250" t="s">
        <v>9739</v>
      </c>
      <c r="B3250" t="s">
        <v>9740</v>
      </c>
      <c r="C3250" t="s">
        <v>9738</v>
      </c>
    </row>
    <row r="3251" spans="1:3" x14ac:dyDescent="0.25">
      <c r="A3251" t="s">
        <v>9742</v>
      </c>
      <c r="B3251" t="s">
        <v>9743</v>
      </c>
      <c r="C3251" t="s">
        <v>9741</v>
      </c>
    </row>
    <row r="3252" spans="1:3" x14ac:dyDescent="0.25">
      <c r="A3252" t="s">
        <v>9745</v>
      </c>
      <c r="B3252" t="s">
        <v>9746</v>
      </c>
      <c r="C3252" t="s">
        <v>9744</v>
      </c>
    </row>
    <row r="3253" spans="1:3" x14ac:dyDescent="0.25">
      <c r="A3253" t="s">
        <v>9748</v>
      </c>
      <c r="B3253" t="s">
        <v>9749</v>
      </c>
      <c r="C3253" t="s">
        <v>9747</v>
      </c>
    </row>
    <row r="3254" spans="1:3" x14ac:dyDescent="0.25">
      <c r="A3254" t="s">
        <v>9751</v>
      </c>
      <c r="B3254" t="s">
        <v>9752</v>
      </c>
      <c r="C3254" t="s">
        <v>9750</v>
      </c>
    </row>
    <row r="3255" spans="1:3" x14ac:dyDescent="0.25">
      <c r="A3255" t="s">
        <v>9754</v>
      </c>
      <c r="B3255" t="s">
        <v>9755</v>
      </c>
      <c r="C3255" t="s">
        <v>9753</v>
      </c>
    </row>
    <row r="3256" spans="1:3" x14ac:dyDescent="0.25">
      <c r="A3256" t="s">
        <v>9757</v>
      </c>
      <c r="B3256" t="s">
        <v>9758</v>
      </c>
      <c r="C3256" t="s">
        <v>9756</v>
      </c>
    </row>
    <row r="3257" spans="1:3" x14ac:dyDescent="0.25">
      <c r="A3257" t="s">
        <v>9760</v>
      </c>
      <c r="B3257" t="s">
        <v>9761</v>
      </c>
      <c r="C3257" t="s">
        <v>9759</v>
      </c>
    </row>
    <row r="3258" spans="1:3" x14ac:dyDescent="0.25">
      <c r="A3258" t="s">
        <v>9763</v>
      </c>
      <c r="B3258" t="s">
        <v>9764</v>
      </c>
      <c r="C3258" t="s">
        <v>9762</v>
      </c>
    </row>
    <row r="3259" spans="1:3" x14ac:dyDescent="0.25">
      <c r="A3259" t="s">
        <v>9766</v>
      </c>
      <c r="B3259" t="s">
        <v>9767</v>
      </c>
      <c r="C3259" t="s">
        <v>9765</v>
      </c>
    </row>
    <row r="3260" spans="1:3" x14ac:dyDescent="0.25">
      <c r="A3260" t="s">
        <v>9769</v>
      </c>
      <c r="B3260" t="s">
        <v>9770</v>
      </c>
      <c r="C3260" t="s">
        <v>9768</v>
      </c>
    </row>
    <row r="3261" spans="1:3" x14ac:dyDescent="0.25">
      <c r="A3261" t="s">
        <v>9772</v>
      </c>
      <c r="B3261" t="s">
        <v>9773</v>
      </c>
      <c r="C3261" t="s">
        <v>9771</v>
      </c>
    </row>
    <row r="3262" spans="1:3" x14ac:dyDescent="0.25">
      <c r="A3262" t="s">
        <v>9775</v>
      </c>
      <c r="B3262" t="s">
        <v>9776</v>
      </c>
      <c r="C3262" t="s">
        <v>9774</v>
      </c>
    </row>
    <row r="3263" spans="1:3" x14ac:dyDescent="0.25">
      <c r="A3263" t="s">
        <v>9777</v>
      </c>
      <c r="B3263" t="s">
        <v>9778</v>
      </c>
      <c r="C3263" t="s">
        <v>9774</v>
      </c>
    </row>
    <row r="3264" spans="1:3" x14ac:dyDescent="0.25">
      <c r="A3264" t="s">
        <v>9779</v>
      </c>
      <c r="B3264" t="s">
        <v>9780</v>
      </c>
      <c r="C3264" t="s">
        <v>9774</v>
      </c>
    </row>
    <row r="3265" spans="1:3" x14ac:dyDescent="0.25">
      <c r="A3265" t="s">
        <v>9781</v>
      </c>
      <c r="B3265" t="s">
        <v>9782</v>
      </c>
      <c r="C3265" t="s">
        <v>9774</v>
      </c>
    </row>
    <row r="3266" spans="1:3" x14ac:dyDescent="0.25">
      <c r="A3266" t="s">
        <v>9784</v>
      </c>
      <c r="B3266" t="s">
        <v>9785</v>
      </c>
      <c r="C3266" t="s">
        <v>9783</v>
      </c>
    </row>
    <row r="3267" spans="1:3" x14ac:dyDescent="0.25">
      <c r="A3267" t="s">
        <v>9787</v>
      </c>
      <c r="B3267" t="s">
        <v>9788</v>
      </c>
      <c r="C3267" t="s">
        <v>9786</v>
      </c>
    </row>
    <row r="3268" spans="1:3" x14ac:dyDescent="0.25">
      <c r="A3268" t="s">
        <v>9790</v>
      </c>
      <c r="B3268" t="s">
        <v>9791</v>
      </c>
      <c r="C3268" t="s">
        <v>9789</v>
      </c>
    </row>
    <row r="3269" spans="1:3" x14ac:dyDescent="0.25">
      <c r="A3269" t="s">
        <v>9793</v>
      </c>
      <c r="B3269" t="s">
        <v>9794</v>
      </c>
      <c r="C3269" t="s">
        <v>9792</v>
      </c>
    </row>
    <row r="3270" spans="1:3" x14ac:dyDescent="0.25">
      <c r="A3270" t="s">
        <v>9796</v>
      </c>
      <c r="B3270" t="s">
        <v>9797</v>
      </c>
      <c r="C3270" t="s">
        <v>9795</v>
      </c>
    </row>
    <row r="3271" spans="1:3" x14ac:dyDescent="0.25">
      <c r="A3271" t="s">
        <v>9799</v>
      </c>
      <c r="B3271" t="s">
        <v>9800</v>
      </c>
      <c r="C3271" t="s">
        <v>9798</v>
      </c>
    </row>
    <row r="3272" spans="1:3" x14ac:dyDescent="0.25">
      <c r="A3272" t="s">
        <v>9802</v>
      </c>
      <c r="B3272" t="s">
        <v>9803</v>
      </c>
      <c r="C3272" t="s">
        <v>9801</v>
      </c>
    </row>
    <row r="3273" spans="1:3" x14ac:dyDescent="0.25">
      <c r="A3273" t="s">
        <v>9805</v>
      </c>
      <c r="B3273" t="s">
        <v>9806</v>
      </c>
      <c r="C3273" t="s">
        <v>9804</v>
      </c>
    </row>
    <row r="3274" spans="1:3" x14ac:dyDescent="0.25">
      <c r="A3274" t="s">
        <v>9808</v>
      </c>
      <c r="B3274" t="s">
        <v>9809</v>
      </c>
      <c r="C3274" t="s">
        <v>9807</v>
      </c>
    </row>
    <row r="3275" spans="1:3" x14ac:dyDescent="0.25">
      <c r="A3275" t="s">
        <v>9811</v>
      </c>
      <c r="B3275" t="s">
        <v>9812</v>
      </c>
      <c r="C3275" t="s">
        <v>9810</v>
      </c>
    </row>
    <row r="3276" spans="1:3" x14ac:dyDescent="0.25">
      <c r="A3276" t="s">
        <v>9814</v>
      </c>
      <c r="B3276" t="s">
        <v>9815</v>
      </c>
      <c r="C3276" t="s">
        <v>9813</v>
      </c>
    </row>
    <row r="3277" spans="1:3" x14ac:dyDescent="0.25">
      <c r="A3277" t="s">
        <v>9817</v>
      </c>
      <c r="B3277" t="s">
        <v>9818</v>
      </c>
      <c r="C3277" t="s">
        <v>9816</v>
      </c>
    </row>
    <row r="3278" spans="1:3" x14ac:dyDescent="0.25">
      <c r="A3278" t="s">
        <v>9820</v>
      </c>
      <c r="B3278" t="s">
        <v>9821</v>
      </c>
      <c r="C3278" t="s">
        <v>9819</v>
      </c>
    </row>
    <row r="3279" spans="1:3" x14ac:dyDescent="0.25">
      <c r="A3279" t="s">
        <v>9823</v>
      </c>
      <c r="B3279" t="s">
        <v>9824</v>
      </c>
      <c r="C3279" t="s">
        <v>9822</v>
      </c>
    </row>
    <row r="3280" spans="1:3" x14ac:dyDescent="0.25">
      <c r="A3280" t="s">
        <v>9826</v>
      </c>
      <c r="B3280" t="s">
        <v>9827</v>
      </c>
      <c r="C3280" t="s">
        <v>9825</v>
      </c>
    </row>
    <row r="3281" spans="1:3" x14ac:dyDescent="0.25">
      <c r="A3281" t="s">
        <v>9829</v>
      </c>
      <c r="B3281" t="s">
        <v>9830</v>
      </c>
      <c r="C3281" t="s">
        <v>9828</v>
      </c>
    </row>
    <row r="3282" spans="1:3" x14ac:dyDescent="0.25">
      <c r="A3282" t="s">
        <v>9832</v>
      </c>
      <c r="B3282" t="s">
        <v>9833</v>
      </c>
      <c r="C3282" t="s">
        <v>9831</v>
      </c>
    </row>
    <row r="3283" spans="1:3" x14ac:dyDescent="0.25">
      <c r="A3283" t="s">
        <v>9835</v>
      </c>
      <c r="B3283" t="s">
        <v>9836</v>
      </c>
      <c r="C3283" t="s">
        <v>9834</v>
      </c>
    </row>
    <row r="3284" spans="1:3" x14ac:dyDescent="0.25">
      <c r="A3284" t="s">
        <v>9838</v>
      </c>
      <c r="B3284" t="s">
        <v>9839</v>
      </c>
      <c r="C3284" t="s">
        <v>9837</v>
      </c>
    </row>
    <row r="3285" spans="1:3" x14ac:dyDescent="0.25">
      <c r="A3285" t="s">
        <v>9841</v>
      </c>
      <c r="B3285" t="s">
        <v>9842</v>
      </c>
      <c r="C3285" t="s">
        <v>9840</v>
      </c>
    </row>
    <row r="3286" spans="1:3" x14ac:dyDescent="0.25">
      <c r="A3286" t="s">
        <v>9844</v>
      </c>
      <c r="B3286" t="s">
        <v>9845</v>
      </c>
      <c r="C3286" t="s">
        <v>9843</v>
      </c>
    </row>
    <row r="3287" spans="1:3" x14ac:dyDescent="0.25">
      <c r="A3287" t="s">
        <v>9847</v>
      </c>
      <c r="B3287" t="s">
        <v>9848</v>
      </c>
      <c r="C3287" t="s">
        <v>9846</v>
      </c>
    </row>
    <row r="3288" spans="1:3" x14ac:dyDescent="0.25">
      <c r="A3288" t="s">
        <v>9850</v>
      </c>
      <c r="B3288" t="s">
        <v>9851</v>
      </c>
      <c r="C3288" t="s">
        <v>9849</v>
      </c>
    </row>
    <row r="3289" spans="1:3" x14ac:dyDescent="0.25">
      <c r="A3289" t="s">
        <v>9853</v>
      </c>
      <c r="B3289" t="s">
        <v>9854</v>
      </c>
      <c r="C3289" t="s">
        <v>9852</v>
      </c>
    </row>
    <row r="3290" spans="1:3" x14ac:dyDescent="0.25">
      <c r="A3290" t="s">
        <v>9856</v>
      </c>
      <c r="B3290" t="s">
        <v>9857</v>
      </c>
      <c r="C3290" t="s">
        <v>9855</v>
      </c>
    </row>
    <row r="3291" spans="1:3" x14ac:dyDescent="0.25">
      <c r="A3291" t="s">
        <v>9859</v>
      </c>
      <c r="B3291" t="s">
        <v>9860</v>
      </c>
      <c r="C3291" t="s">
        <v>9858</v>
      </c>
    </row>
    <row r="3292" spans="1:3" x14ac:dyDescent="0.25">
      <c r="A3292" t="s">
        <v>9862</v>
      </c>
      <c r="B3292" t="s">
        <v>9863</v>
      </c>
      <c r="C3292" t="s">
        <v>9861</v>
      </c>
    </row>
    <row r="3293" spans="1:3" x14ac:dyDescent="0.25">
      <c r="A3293" t="s">
        <v>9864</v>
      </c>
      <c r="B3293" t="s">
        <v>9865</v>
      </c>
      <c r="C3293" t="s">
        <v>9221</v>
      </c>
    </row>
    <row r="3294" spans="1:3" x14ac:dyDescent="0.25">
      <c r="A3294" t="s">
        <v>9866</v>
      </c>
      <c r="B3294" t="s">
        <v>9867</v>
      </c>
      <c r="C3294" t="s">
        <v>9221</v>
      </c>
    </row>
    <row r="3295" spans="1:3" x14ac:dyDescent="0.25">
      <c r="A3295" t="s">
        <v>9868</v>
      </c>
      <c r="B3295" t="s">
        <v>9869</v>
      </c>
      <c r="C3295" t="s">
        <v>9221</v>
      </c>
    </row>
    <row r="3296" spans="1:3" x14ac:dyDescent="0.25">
      <c r="A3296" t="s">
        <v>9870</v>
      </c>
      <c r="B3296" t="s">
        <v>9871</v>
      </c>
      <c r="C3296" t="s">
        <v>9221</v>
      </c>
    </row>
    <row r="3297" spans="1:3" x14ac:dyDescent="0.25">
      <c r="A3297" t="s">
        <v>9872</v>
      </c>
      <c r="B3297" t="s">
        <v>9873</v>
      </c>
      <c r="C3297" t="s">
        <v>9221</v>
      </c>
    </row>
    <row r="3298" spans="1:3" x14ac:dyDescent="0.25">
      <c r="A3298" t="s">
        <v>9874</v>
      </c>
      <c r="B3298" t="s">
        <v>9875</v>
      </c>
      <c r="C3298" t="s">
        <v>9221</v>
      </c>
    </row>
    <row r="3299" spans="1:3" x14ac:dyDescent="0.25">
      <c r="A3299" t="s">
        <v>9876</v>
      </c>
      <c r="B3299" t="s">
        <v>9877</v>
      </c>
      <c r="C3299" t="s">
        <v>9221</v>
      </c>
    </row>
    <row r="3300" spans="1:3" x14ac:dyDescent="0.25">
      <c r="A3300" t="s">
        <v>9878</v>
      </c>
      <c r="B3300" t="s">
        <v>9879</v>
      </c>
      <c r="C3300" t="s">
        <v>9221</v>
      </c>
    </row>
    <row r="3301" spans="1:3" x14ac:dyDescent="0.25">
      <c r="A3301" t="s">
        <v>9880</v>
      </c>
      <c r="B3301" t="s">
        <v>9881</v>
      </c>
      <c r="C3301" t="s">
        <v>9221</v>
      </c>
    </row>
    <row r="3302" spans="1:3" x14ac:dyDescent="0.25">
      <c r="A3302" t="s">
        <v>9882</v>
      </c>
      <c r="B3302" t="s">
        <v>9883</v>
      </c>
      <c r="C3302" t="s">
        <v>9221</v>
      </c>
    </row>
    <row r="3303" spans="1:3" x14ac:dyDescent="0.25">
      <c r="A3303" t="s">
        <v>9884</v>
      </c>
      <c r="B3303" t="s">
        <v>9885</v>
      </c>
      <c r="C3303" t="s">
        <v>9221</v>
      </c>
    </row>
    <row r="3304" spans="1:3" x14ac:dyDescent="0.25">
      <c r="A3304" t="s">
        <v>9886</v>
      </c>
      <c r="B3304" t="s">
        <v>9887</v>
      </c>
      <c r="C3304" t="s">
        <v>9221</v>
      </c>
    </row>
    <row r="3305" spans="1:3" x14ac:dyDescent="0.25">
      <c r="A3305" t="s">
        <v>9888</v>
      </c>
      <c r="B3305" t="s">
        <v>9889</v>
      </c>
      <c r="C3305" t="s">
        <v>9221</v>
      </c>
    </row>
    <row r="3306" spans="1:3" x14ac:dyDescent="0.25">
      <c r="A3306" t="s">
        <v>9891</v>
      </c>
      <c r="B3306" t="s">
        <v>4926</v>
      </c>
      <c r="C3306" t="s">
        <v>9890</v>
      </c>
    </row>
    <row r="3307" spans="1:3" x14ac:dyDescent="0.25">
      <c r="A3307" t="s">
        <v>9893</v>
      </c>
      <c r="B3307" t="s">
        <v>4929</v>
      </c>
      <c r="C3307" t="s">
        <v>9892</v>
      </c>
    </row>
    <row r="3308" spans="1:3" x14ac:dyDescent="0.25">
      <c r="A3308" t="s">
        <v>9895</v>
      </c>
      <c r="B3308" t="s">
        <v>4935</v>
      </c>
      <c r="C3308" t="s">
        <v>9894</v>
      </c>
    </row>
    <row r="3309" spans="1:3" x14ac:dyDescent="0.25">
      <c r="A3309" t="s">
        <v>9897</v>
      </c>
      <c r="B3309" t="s">
        <v>4938</v>
      </c>
      <c r="C3309" t="s">
        <v>9896</v>
      </c>
    </row>
    <row r="3310" spans="1:3" x14ac:dyDescent="0.25">
      <c r="A3310" t="s">
        <v>9899</v>
      </c>
      <c r="B3310" t="s">
        <v>4941</v>
      </c>
      <c r="C3310" t="s">
        <v>9898</v>
      </c>
    </row>
    <row r="3311" spans="1:3" x14ac:dyDescent="0.25">
      <c r="A3311" t="s">
        <v>9901</v>
      </c>
      <c r="B3311" t="s">
        <v>9902</v>
      </c>
      <c r="C3311" t="s">
        <v>9900</v>
      </c>
    </row>
    <row r="3312" spans="1:3" x14ac:dyDescent="0.25">
      <c r="A3312" t="s">
        <v>9904</v>
      </c>
      <c r="B3312" t="s">
        <v>4950</v>
      </c>
      <c r="C3312" t="s">
        <v>9903</v>
      </c>
    </row>
    <row r="3313" spans="1:3" x14ac:dyDescent="0.25">
      <c r="A3313" t="s">
        <v>9906</v>
      </c>
      <c r="B3313" t="s">
        <v>9907</v>
      </c>
      <c r="C3313" t="s">
        <v>9905</v>
      </c>
    </row>
    <row r="3314" spans="1:3" x14ac:dyDescent="0.25">
      <c r="A3314" t="s">
        <v>9908</v>
      </c>
      <c r="B3314" t="s">
        <v>9909</v>
      </c>
      <c r="C3314" t="s">
        <v>9905</v>
      </c>
    </row>
    <row r="3315" spans="1:3" x14ac:dyDescent="0.25">
      <c r="A3315" t="s">
        <v>9910</v>
      </c>
      <c r="B3315" t="s">
        <v>9911</v>
      </c>
      <c r="C3315" t="s">
        <v>9905</v>
      </c>
    </row>
    <row r="3316" spans="1:3" x14ac:dyDescent="0.25">
      <c r="A3316" t="s">
        <v>9913</v>
      </c>
      <c r="B3316" t="s">
        <v>9914</v>
      </c>
      <c r="C3316" t="s">
        <v>9912</v>
      </c>
    </row>
    <row r="3317" spans="1:3" x14ac:dyDescent="0.25">
      <c r="A3317" t="s">
        <v>9915</v>
      </c>
      <c r="B3317" t="s">
        <v>9916</v>
      </c>
      <c r="C3317" t="s">
        <v>9912</v>
      </c>
    </row>
    <row r="3318" spans="1:3" x14ac:dyDescent="0.25">
      <c r="A3318" t="s">
        <v>9917</v>
      </c>
      <c r="B3318" t="s">
        <v>9918</v>
      </c>
      <c r="C3318" t="s">
        <v>9912</v>
      </c>
    </row>
    <row r="3319" spans="1:3" x14ac:dyDescent="0.25">
      <c r="A3319" t="s">
        <v>9919</v>
      </c>
      <c r="B3319" t="s">
        <v>9920</v>
      </c>
      <c r="C3319" t="s">
        <v>9912</v>
      </c>
    </row>
    <row r="3320" spans="1:3" x14ac:dyDescent="0.25">
      <c r="A3320" t="s">
        <v>9921</v>
      </c>
      <c r="B3320" t="s">
        <v>9922</v>
      </c>
      <c r="C3320" t="s">
        <v>9912</v>
      </c>
    </row>
    <row r="3321" spans="1:3" x14ac:dyDescent="0.25">
      <c r="A3321" t="s">
        <v>9923</v>
      </c>
      <c r="B3321" t="s">
        <v>9924</v>
      </c>
      <c r="C3321" t="s">
        <v>9912</v>
      </c>
    </row>
    <row r="3322" spans="1:3" x14ac:dyDescent="0.25">
      <c r="A3322" t="s">
        <v>9925</v>
      </c>
      <c r="B3322" t="s">
        <v>9926</v>
      </c>
      <c r="C3322" t="s">
        <v>9912</v>
      </c>
    </row>
    <row r="3323" spans="1:3" x14ac:dyDescent="0.25">
      <c r="A3323" t="s">
        <v>9927</v>
      </c>
      <c r="B3323" t="s">
        <v>9928</v>
      </c>
      <c r="C3323" t="s">
        <v>9912</v>
      </c>
    </row>
    <row r="3324" spans="1:3" x14ac:dyDescent="0.25">
      <c r="A3324" t="s">
        <v>9929</v>
      </c>
      <c r="B3324" t="s">
        <v>9930</v>
      </c>
      <c r="C3324" t="s">
        <v>9912</v>
      </c>
    </row>
    <row r="3325" spans="1:3" x14ac:dyDescent="0.25">
      <c r="A3325" t="s">
        <v>9931</v>
      </c>
      <c r="B3325" t="s">
        <v>9932</v>
      </c>
      <c r="C3325" t="s">
        <v>9912</v>
      </c>
    </row>
    <row r="3326" spans="1:3" x14ac:dyDescent="0.25">
      <c r="A3326" t="s">
        <v>9933</v>
      </c>
      <c r="B3326" t="s">
        <v>9934</v>
      </c>
      <c r="C3326" t="s">
        <v>9912</v>
      </c>
    </row>
    <row r="3327" spans="1:3" x14ac:dyDescent="0.25">
      <c r="A3327" t="s">
        <v>9935</v>
      </c>
      <c r="B3327" t="s">
        <v>9936</v>
      </c>
      <c r="C3327" t="s">
        <v>9912</v>
      </c>
    </row>
    <row r="3328" spans="1:3" x14ac:dyDescent="0.25">
      <c r="A3328" t="s">
        <v>9937</v>
      </c>
      <c r="B3328" t="s">
        <v>9938</v>
      </c>
      <c r="C3328" t="s">
        <v>9912</v>
      </c>
    </row>
    <row r="3329" spans="1:3" x14ac:dyDescent="0.25">
      <c r="A3329" t="s">
        <v>9939</v>
      </c>
      <c r="B3329" t="s">
        <v>9940</v>
      </c>
      <c r="C3329" t="s">
        <v>9912</v>
      </c>
    </row>
    <row r="3330" spans="1:3" x14ac:dyDescent="0.25">
      <c r="A3330" t="s">
        <v>9941</v>
      </c>
      <c r="B3330" t="s">
        <v>9942</v>
      </c>
      <c r="C3330" t="s">
        <v>9912</v>
      </c>
    </row>
    <row r="3331" spans="1:3" x14ac:dyDescent="0.25">
      <c r="A3331" t="s">
        <v>9944</v>
      </c>
      <c r="B3331" t="s">
        <v>9945</v>
      </c>
      <c r="C3331" t="s">
        <v>9943</v>
      </c>
    </row>
    <row r="3332" spans="1:3" x14ac:dyDescent="0.25">
      <c r="A3332" t="s">
        <v>9947</v>
      </c>
      <c r="B3332" t="s">
        <v>9948</v>
      </c>
      <c r="C3332" t="s">
        <v>9946</v>
      </c>
    </row>
    <row r="3333" spans="1:3" x14ac:dyDescent="0.25">
      <c r="A3333" t="s">
        <v>9950</v>
      </c>
      <c r="B3333" t="s">
        <v>9951</v>
      </c>
      <c r="C3333" t="s">
        <v>9949</v>
      </c>
    </row>
    <row r="3334" spans="1:3" x14ac:dyDescent="0.25">
      <c r="A3334" t="s">
        <v>9953</v>
      </c>
      <c r="B3334" t="s">
        <v>9954</v>
      </c>
      <c r="C3334" t="s">
        <v>9952</v>
      </c>
    </row>
    <row r="3335" spans="1:3" x14ac:dyDescent="0.25">
      <c r="A3335" t="s">
        <v>9956</v>
      </c>
      <c r="B3335" t="s">
        <v>9957</v>
      </c>
      <c r="C3335" t="s">
        <v>9955</v>
      </c>
    </row>
    <row r="3336" spans="1:3" x14ac:dyDescent="0.25">
      <c r="A3336" t="s">
        <v>9959</v>
      </c>
      <c r="B3336" t="s">
        <v>9960</v>
      </c>
      <c r="C3336" t="s">
        <v>9958</v>
      </c>
    </row>
    <row r="3337" spans="1:3" x14ac:dyDescent="0.25">
      <c r="A3337" t="s">
        <v>9961</v>
      </c>
      <c r="B3337" t="s">
        <v>9962</v>
      </c>
      <c r="C3337" t="s">
        <v>9905</v>
      </c>
    </row>
    <row r="3338" spans="1:3" x14ac:dyDescent="0.25">
      <c r="A3338" t="s">
        <v>9963</v>
      </c>
      <c r="B3338" t="s">
        <v>9964</v>
      </c>
      <c r="C3338" t="s">
        <v>9905</v>
      </c>
    </row>
    <row r="3339" spans="1:3" x14ac:dyDescent="0.25">
      <c r="A3339" t="s">
        <v>9965</v>
      </c>
      <c r="B3339" t="s">
        <v>9966</v>
      </c>
      <c r="C3339" t="s">
        <v>9905</v>
      </c>
    </row>
    <row r="3340" spans="1:3" x14ac:dyDescent="0.25">
      <c r="A3340" t="s">
        <v>9967</v>
      </c>
      <c r="B3340" t="s">
        <v>9968</v>
      </c>
      <c r="C3340" t="s">
        <v>9905</v>
      </c>
    </row>
    <row r="3341" spans="1:3" x14ac:dyDescent="0.25">
      <c r="A3341" t="s">
        <v>9969</v>
      </c>
      <c r="B3341" t="s">
        <v>9970</v>
      </c>
      <c r="C3341" t="s">
        <v>9905</v>
      </c>
    </row>
    <row r="3342" spans="1:3" x14ac:dyDescent="0.25">
      <c r="A3342" t="s">
        <v>9971</v>
      </c>
      <c r="B3342" t="s">
        <v>9972</v>
      </c>
      <c r="C3342" t="s">
        <v>9905</v>
      </c>
    </row>
    <row r="3343" spans="1:3" x14ac:dyDescent="0.25">
      <c r="A3343" t="s">
        <v>9974</v>
      </c>
      <c r="B3343" t="s">
        <v>9975</v>
      </c>
      <c r="C3343" t="s">
        <v>9973</v>
      </c>
    </row>
    <row r="3344" spans="1:3" x14ac:dyDescent="0.25">
      <c r="A3344" t="s">
        <v>9977</v>
      </c>
      <c r="B3344" t="s">
        <v>9978</v>
      </c>
      <c r="C3344" t="s">
        <v>9976</v>
      </c>
    </row>
    <row r="3345" spans="1:3" x14ac:dyDescent="0.25">
      <c r="A3345" t="s">
        <v>9980</v>
      </c>
      <c r="B3345" t="s">
        <v>9981</v>
      </c>
      <c r="C3345" t="s">
        <v>9979</v>
      </c>
    </row>
    <row r="3346" spans="1:3" x14ac:dyDescent="0.25">
      <c r="A3346" t="s">
        <v>9983</v>
      </c>
      <c r="B3346" t="s">
        <v>9984</v>
      </c>
      <c r="C3346" t="s">
        <v>9982</v>
      </c>
    </row>
    <row r="3347" spans="1:3" x14ac:dyDescent="0.25">
      <c r="A3347" t="s">
        <v>9986</v>
      </c>
      <c r="B3347" t="s">
        <v>9987</v>
      </c>
      <c r="C3347" t="s">
        <v>9985</v>
      </c>
    </row>
    <row r="3348" spans="1:3" x14ac:dyDescent="0.25">
      <c r="A3348" t="s">
        <v>9989</v>
      </c>
      <c r="B3348" t="s">
        <v>9990</v>
      </c>
      <c r="C3348" t="s">
        <v>9988</v>
      </c>
    </row>
    <row r="3349" spans="1:3" x14ac:dyDescent="0.25">
      <c r="A3349" t="s">
        <v>9992</v>
      </c>
      <c r="B3349" t="s">
        <v>9993</v>
      </c>
      <c r="C3349" t="s">
        <v>9991</v>
      </c>
    </row>
    <row r="3350" spans="1:3" x14ac:dyDescent="0.25">
      <c r="A3350" t="s">
        <v>9995</v>
      </c>
      <c r="B3350" t="s">
        <v>9996</v>
      </c>
      <c r="C3350" t="s">
        <v>9994</v>
      </c>
    </row>
    <row r="3351" spans="1:3" x14ac:dyDescent="0.25">
      <c r="A3351" t="s">
        <v>9998</v>
      </c>
      <c r="B3351" t="s">
        <v>9999</v>
      </c>
      <c r="C3351" t="s">
        <v>9997</v>
      </c>
    </row>
    <row r="3352" spans="1:3" x14ac:dyDescent="0.25">
      <c r="A3352" t="s">
        <v>10001</v>
      </c>
      <c r="B3352" t="s">
        <v>10002</v>
      </c>
      <c r="C3352" t="s">
        <v>10000</v>
      </c>
    </row>
    <row r="3353" spans="1:3" x14ac:dyDescent="0.25">
      <c r="A3353" t="s">
        <v>10004</v>
      </c>
      <c r="B3353" t="s">
        <v>10005</v>
      </c>
      <c r="C3353" t="s">
        <v>10003</v>
      </c>
    </row>
    <row r="3354" spans="1:3" x14ac:dyDescent="0.25">
      <c r="A3354" t="s">
        <v>10007</v>
      </c>
      <c r="B3354" t="s">
        <v>10008</v>
      </c>
      <c r="C3354" t="s">
        <v>10006</v>
      </c>
    </row>
    <row r="3355" spans="1:3" x14ac:dyDescent="0.25">
      <c r="A3355" t="s">
        <v>10010</v>
      </c>
      <c r="B3355" t="s">
        <v>10011</v>
      </c>
      <c r="C3355" t="s">
        <v>10009</v>
      </c>
    </row>
    <row r="3356" spans="1:3" x14ac:dyDescent="0.25">
      <c r="A3356" t="s">
        <v>10013</v>
      </c>
      <c r="B3356" t="s">
        <v>10014</v>
      </c>
      <c r="C3356" t="s">
        <v>10012</v>
      </c>
    </row>
    <row r="3357" spans="1:3" x14ac:dyDescent="0.25">
      <c r="A3357" t="s">
        <v>10016</v>
      </c>
      <c r="B3357" t="s">
        <v>10017</v>
      </c>
      <c r="C3357" t="s">
        <v>10015</v>
      </c>
    </row>
    <row r="3358" spans="1:3" x14ac:dyDescent="0.25">
      <c r="A3358" t="s">
        <v>10019</v>
      </c>
      <c r="B3358" t="s">
        <v>10020</v>
      </c>
      <c r="C3358" t="s">
        <v>10018</v>
      </c>
    </row>
    <row r="3359" spans="1:3" x14ac:dyDescent="0.25">
      <c r="A3359" t="s">
        <v>10022</v>
      </c>
      <c r="B3359" t="s">
        <v>10023</v>
      </c>
      <c r="C3359" t="s">
        <v>10021</v>
      </c>
    </row>
    <row r="3360" spans="1:3" x14ac:dyDescent="0.25">
      <c r="A3360" t="s">
        <v>10025</v>
      </c>
      <c r="B3360" t="s">
        <v>10026</v>
      </c>
      <c r="C3360" t="s">
        <v>10024</v>
      </c>
    </row>
    <row r="3361" spans="1:3" x14ac:dyDescent="0.25">
      <c r="A3361" t="s">
        <v>10028</v>
      </c>
      <c r="B3361" t="s">
        <v>10029</v>
      </c>
      <c r="C3361" t="s">
        <v>10027</v>
      </c>
    </row>
    <row r="3362" spans="1:3" x14ac:dyDescent="0.25">
      <c r="A3362" t="s">
        <v>10031</v>
      </c>
      <c r="B3362" t="s">
        <v>10032</v>
      </c>
      <c r="C3362" t="s">
        <v>10030</v>
      </c>
    </row>
    <row r="3363" spans="1:3" x14ac:dyDescent="0.25">
      <c r="A3363" t="s">
        <v>10034</v>
      </c>
      <c r="B3363" t="s">
        <v>10035</v>
      </c>
      <c r="C3363" t="s">
        <v>10033</v>
      </c>
    </row>
    <row r="3364" spans="1:3" x14ac:dyDescent="0.25">
      <c r="A3364" t="s">
        <v>10037</v>
      </c>
      <c r="B3364" t="s">
        <v>10038</v>
      </c>
      <c r="C3364" t="s">
        <v>10036</v>
      </c>
    </row>
    <row r="3365" spans="1:3" x14ac:dyDescent="0.25">
      <c r="A3365" t="s">
        <v>10040</v>
      </c>
      <c r="B3365" t="s">
        <v>10041</v>
      </c>
      <c r="C3365" t="s">
        <v>10039</v>
      </c>
    </row>
    <row r="3366" spans="1:3" x14ac:dyDescent="0.25">
      <c r="A3366" t="s">
        <v>10043</v>
      </c>
      <c r="B3366" t="s">
        <v>10044</v>
      </c>
      <c r="C3366" t="s">
        <v>10042</v>
      </c>
    </row>
    <row r="3367" spans="1:3" x14ac:dyDescent="0.25">
      <c r="A3367" t="s">
        <v>10046</v>
      </c>
      <c r="B3367" t="s">
        <v>10047</v>
      </c>
      <c r="C3367" t="s">
        <v>10045</v>
      </c>
    </row>
    <row r="3368" spans="1:3" x14ac:dyDescent="0.25">
      <c r="A3368" t="s">
        <v>10049</v>
      </c>
      <c r="B3368" t="s">
        <v>10050</v>
      </c>
      <c r="C3368" t="s">
        <v>10048</v>
      </c>
    </row>
    <row r="3369" spans="1:3" x14ac:dyDescent="0.25">
      <c r="A3369" t="s">
        <v>10052</v>
      </c>
      <c r="B3369" t="s">
        <v>10053</v>
      </c>
      <c r="C3369" t="s">
        <v>10051</v>
      </c>
    </row>
    <row r="3370" spans="1:3" x14ac:dyDescent="0.25">
      <c r="A3370" t="s">
        <v>10055</v>
      </c>
      <c r="B3370" t="s">
        <v>10056</v>
      </c>
      <c r="C3370" t="s">
        <v>10054</v>
      </c>
    </row>
    <row r="3371" spans="1:3" x14ac:dyDescent="0.25">
      <c r="A3371" t="s">
        <v>10058</v>
      </c>
      <c r="B3371" t="s">
        <v>10059</v>
      </c>
      <c r="C3371" t="s">
        <v>10057</v>
      </c>
    </row>
    <row r="3372" spans="1:3" x14ac:dyDescent="0.25">
      <c r="A3372" t="s">
        <v>10061</v>
      </c>
      <c r="B3372" t="s">
        <v>10062</v>
      </c>
      <c r="C3372" t="s">
        <v>10060</v>
      </c>
    </row>
    <row r="3373" spans="1:3" x14ac:dyDescent="0.25">
      <c r="A3373" t="s">
        <v>10064</v>
      </c>
      <c r="B3373" t="s">
        <v>10065</v>
      </c>
      <c r="C3373" t="s">
        <v>10063</v>
      </c>
    </row>
    <row r="3374" spans="1:3" x14ac:dyDescent="0.25">
      <c r="A3374" t="s">
        <v>10067</v>
      </c>
      <c r="B3374" t="s">
        <v>10068</v>
      </c>
      <c r="C3374" t="s">
        <v>10066</v>
      </c>
    </row>
    <row r="3375" spans="1:3" x14ac:dyDescent="0.25">
      <c r="A3375" t="s">
        <v>10070</v>
      </c>
      <c r="B3375" t="s">
        <v>10071</v>
      </c>
      <c r="C3375" t="s">
        <v>10069</v>
      </c>
    </row>
    <row r="3376" spans="1:3" x14ac:dyDescent="0.25">
      <c r="A3376" t="s">
        <v>10073</v>
      </c>
      <c r="B3376" t="s">
        <v>10074</v>
      </c>
      <c r="C3376" t="s">
        <v>10072</v>
      </c>
    </row>
    <row r="3377" spans="1:3" x14ac:dyDescent="0.25">
      <c r="A3377" t="s">
        <v>10076</v>
      </c>
      <c r="B3377" t="s">
        <v>10077</v>
      </c>
      <c r="C3377" t="s">
        <v>10075</v>
      </c>
    </row>
    <row r="3378" spans="1:3" x14ac:dyDescent="0.25">
      <c r="A3378" t="s">
        <v>10079</v>
      </c>
      <c r="B3378" t="s">
        <v>10080</v>
      </c>
      <c r="C3378" t="s">
        <v>10078</v>
      </c>
    </row>
    <row r="3379" spans="1:3" x14ac:dyDescent="0.25">
      <c r="A3379" t="s">
        <v>10082</v>
      </c>
      <c r="B3379" t="s">
        <v>10083</v>
      </c>
      <c r="C3379" t="s">
        <v>10081</v>
      </c>
    </row>
    <row r="3380" spans="1:3" x14ac:dyDescent="0.25">
      <c r="A3380" t="s">
        <v>10085</v>
      </c>
      <c r="B3380" t="s">
        <v>10086</v>
      </c>
      <c r="C3380" t="s">
        <v>10084</v>
      </c>
    </row>
    <row r="3381" spans="1:3" x14ac:dyDescent="0.25">
      <c r="A3381" t="s">
        <v>10088</v>
      </c>
      <c r="B3381" t="s">
        <v>10089</v>
      </c>
      <c r="C3381" t="s">
        <v>10087</v>
      </c>
    </row>
    <row r="3382" spans="1:3" x14ac:dyDescent="0.25">
      <c r="A3382" t="s">
        <v>10091</v>
      </c>
      <c r="B3382" t="s">
        <v>10092</v>
      </c>
      <c r="C3382" t="s">
        <v>10090</v>
      </c>
    </row>
    <row r="3383" spans="1:3" x14ac:dyDescent="0.25">
      <c r="A3383" t="s">
        <v>10094</v>
      </c>
      <c r="B3383" t="s">
        <v>10095</v>
      </c>
      <c r="C3383" t="s">
        <v>10093</v>
      </c>
    </row>
    <row r="3384" spans="1:3" x14ac:dyDescent="0.25">
      <c r="A3384" t="s">
        <v>10097</v>
      </c>
      <c r="B3384" t="s">
        <v>10098</v>
      </c>
      <c r="C3384" t="s">
        <v>10096</v>
      </c>
    </row>
    <row r="3385" spans="1:3" x14ac:dyDescent="0.25">
      <c r="A3385" t="s">
        <v>10100</v>
      </c>
      <c r="B3385" t="s">
        <v>10101</v>
      </c>
      <c r="C3385" t="s">
        <v>10099</v>
      </c>
    </row>
    <row r="3386" spans="1:3" x14ac:dyDescent="0.25">
      <c r="A3386" t="s">
        <v>10103</v>
      </c>
      <c r="B3386" t="s">
        <v>10101</v>
      </c>
      <c r="C3386" t="s">
        <v>10102</v>
      </c>
    </row>
    <row r="3387" spans="1:3" x14ac:dyDescent="0.25">
      <c r="A3387" t="s">
        <v>10105</v>
      </c>
      <c r="B3387" t="s">
        <v>10101</v>
      </c>
      <c r="C3387" t="s">
        <v>10104</v>
      </c>
    </row>
    <row r="3388" spans="1:3" x14ac:dyDescent="0.25">
      <c r="A3388" t="s">
        <v>10107</v>
      </c>
      <c r="B3388" t="s">
        <v>10108</v>
      </c>
      <c r="C3388" t="s">
        <v>10106</v>
      </c>
    </row>
    <row r="3389" spans="1:3" x14ac:dyDescent="0.25">
      <c r="A3389" t="s">
        <v>10110</v>
      </c>
      <c r="B3389" t="s">
        <v>10111</v>
      </c>
      <c r="C3389" t="s">
        <v>10109</v>
      </c>
    </row>
    <row r="3390" spans="1:3" x14ac:dyDescent="0.25">
      <c r="A3390" t="s">
        <v>10113</v>
      </c>
      <c r="B3390" t="s">
        <v>10114</v>
      </c>
      <c r="C3390" t="s">
        <v>10112</v>
      </c>
    </row>
    <row r="3391" spans="1:3" x14ac:dyDescent="0.25">
      <c r="A3391" t="s">
        <v>10115</v>
      </c>
      <c r="B3391" t="s">
        <v>10116</v>
      </c>
      <c r="C3391" t="s">
        <v>10112</v>
      </c>
    </row>
    <row r="3392" spans="1:3" x14ac:dyDescent="0.25">
      <c r="A3392" t="s">
        <v>10117</v>
      </c>
      <c r="B3392" t="s">
        <v>10118</v>
      </c>
      <c r="C3392" t="s">
        <v>10112</v>
      </c>
    </row>
    <row r="3393" spans="1:3" x14ac:dyDescent="0.25">
      <c r="A3393" t="s">
        <v>10119</v>
      </c>
      <c r="B3393" t="s">
        <v>10120</v>
      </c>
      <c r="C3393" t="s">
        <v>10112</v>
      </c>
    </row>
    <row r="3394" spans="1:3" x14ac:dyDescent="0.25">
      <c r="A3394" t="s">
        <v>10121</v>
      </c>
      <c r="B3394" t="s">
        <v>10122</v>
      </c>
      <c r="C3394" t="s">
        <v>10112</v>
      </c>
    </row>
    <row r="3395" spans="1:3" x14ac:dyDescent="0.25">
      <c r="A3395" t="s">
        <v>10124</v>
      </c>
      <c r="B3395" t="s">
        <v>10125</v>
      </c>
      <c r="C3395" t="s">
        <v>10123</v>
      </c>
    </row>
    <row r="3396" spans="1:3" x14ac:dyDescent="0.25">
      <c r="A3396" t="s">
        <v>10127</v>
      </c>
      <c r="B3396" t="s">
        <v>10128</v>
      </c>
      <c r="C3396" t="s">
        <v>10126</v>
      </c>
    </row>
    <row r="3397" spans="1:3" x14ac:dyDescent="0.25">
      <c r="A3397" t="s">
        <v>10130</v>
      </c>
      <c r="B3397" t="s">
        <v>10131</v>
      </c>
      <c r="C3397" t="s">
        <v>10129</v>
      </c>
    </row>
    <row r="3398" spans="1:3" x14ac:dyDescent="0.25">
      <c r="A3398" t="s">
        <v>10133</v>
      </c>
      <c r="B3398" t="s">
        <v>10134</v>
      </c>
      <c r="C3398" t="s">
        <v>10132</v>
      </c>
    </row>
    <row r="3399" spans="1:3" x14ac:dyDescent="0.25">
      <c r="A3399" t="s">
        <v>10136</v>
      </c>
      <c r="B3399" t="s">
        <v>10137</v>
      </c>
      <c r="C3399" t="s">
        <v>10135</v>
      </c>
    </row>
    <row r="3400" spans="1:3" x14ac:dyDescent="0.25">
      <c r="A3400" t="s">
        <v>10139</v>
      </c>
      <c r="B3400" t="s">
        <v>10140</v>
      </c>
      <c r="C3400" t="s">
        <v>10138</v>
      </c>
    </row>
    <row r="3401" spans="1:3" x14ac:dyDescent="0.25">
      <c r="A3401" t="s">
        <v>10142</v>
      </c>
      <c r="B3401" t="s">
        <v>8366</v>
      </c>
      <c r="C3401" t="s">
        <v>10141</v>
      </c>
    </row>
    <row r="3402" spans="1:3" x14ac:dyDescent="0.25">
      <c r="A3402" t="s">
        <v>10144</v>
      </c>
      <c r="B3402" t="s">
        <v>10145</v>
      </c>
      <c r="C3402" t="s">
        <v>10143</v>
      </c>
    </row>
    <row r="3403" spans="1:3" x14ac:dyDescent="0.25">
      <c r="A3403" t="s">
        <v>10147</v>
      </c>
      <c r="B3403" t="s">
        <v>10148</v>
      </c>
      <c r="C3403" t="s">
        <v>10146</v>
      </c>
    </row>
    <row r="3404" spans="1:3" x14ac:dyDescent="0.25">
      <c r="A3404" t="s">
        <v>10149</v>
      </c>
      <c r="B3404" t="s">
        <v>10148</v>
      </c>
      <c r="C3404" t="s">
        <v>996</v>
      </c>
    </row>
    <row r="3405" spans="1:3" x14ac:dyDescent="0.25">
      <c r="A3405" t="s">
        <v>10151</v>
      </c>
      <c r="B3405" t="s">
        <v>10152</v>
      </c>
      <c r="C3405" t="s">
        <v>10150</v>
      </c>
    </row>
    <row r="3406" spans="1:3" x14ac:dyDescent="0.25">
      <c r="A3406" t="s">
        <v>10154</v>
      </c>
      <c r="B3406" t="s">
        <v>10155</v>
      </c>
      <c r="C3406" t="s">
        <v>10153</v>
      </c>
    </row>
    <row r="3407" spans="1:3" x14ac:dyDescent="0.25">
      <c r="A3407" t="s">
        <v>10157</v>
      </c>
      <c r="B3407" t="s">
        <v>10158</v>
      </c>
      <c r="C3407" t="s">
        <v>10156</v>
      </c>
    </row>
    <row r="3408" spans="1:3" x14ac:dyDescent="0.25">
      <c r="A3408" t="s">
        <v>10160</v>
      </c>
      <c r="B3408" t="s">
        <v>10161</v>
      </c>
      <c r="C3408" t="s">
        <v>10159</v>
      </c>
    </row>
    <row r="3409" spans="1:3" x14ac:dyDescent="0.25">
      <c r="A3409" t="s">
        <v>10163</v>
      </c>
      <c r="B3409" t="s">
        <v>10164</v>
      </c>
      <c r="C3409" t="s">
        <v>10162</v>
      </c>
    </row>
    <row r="3410" spans="1:3" x14ac:dyDescent="0.25">
      <c r="A3410" t="s">
        <v>10166</v>
      </c>
      <c r="B3410" t="s">
        <v>10167</v>
      </c>
      <c r="C3410" t="s">
        <v>10165</v>
      </c>
    </row>
    <row r="3411" spans="1:3" x14ac:dyDescent="0.25">
      <c r="A3411" t="s">
        <v>10169</v>
      </c>
      <c r="B3411" t="s">
        <v>10170</v>
      </c>
      <c r="C3411" t="s">
        <v>10168</v>
      </c>
    </row>
    <row r="3412" spans="1:3" x14ac:dyDescent="0.25">
      <c r="A3412" t="s">
        <v>10172</v>
      </c>
      <c r="B3412" t="s">
        <v>10173</v>
      </c>
      <c r="C3412" t="s">
        <v>10171</v>
      </c>
    </row>
    <row r="3413" spans="1:3" x14ac:dyDescent="0.25">
      <c r="A3413" t="s">
        <v>10175</v>
      </c>
      <c r="B3413" t="s">
        <v>10176</v>
      </c>
      <c r="C3413" t="s">
        <v>10174</v>
      </c>
    </row>
    <row r="3414" spans="1:3" x14ac:dyDescent="0.25">
      <c r="A3414" t="s">
        <v>10178</v>
      </c>
      <c r="B3414" t="s">
        <v>10179</v>
      </c>
      <c r="C3414" t="s">
        <v>10177</v>
      </c>
    </row>
    <row r="3415" spans="1:3" x14ac:dyDescent="0.25">
      <c r="A3415" t="s">
        <v>10181</v>
      </c>
      <c r="B3415" t="s">
        <v>10182</v>
      </c>
      <c r="C3415" t="s">
        <v>10180</v>
      </c>
    </row>
    <row r="3416" spans="1:3" x14ac:dyDescent="0.25">
      <c r="A3416" t="s">
        <v>10184</v>
      </c>
      <c r="B3416" t="s">
        <v>10185</v>
      </c>
      <c r="C3416" t="s">
        <v>10183</v>
      </c>
    </row>
    <row r="3417" spans="1:3" x14ac:dyDescent="0.25">
      <c r="A3417" t="s">
        <v>10187</v>
      </c>
      <c r="B3417" t="s">
        <v>10188</v>
      </c>
      <c r="C3417" t="s">
        <v>10186</v>
      </c>
    </row>
    <row r="3418" spans="1:3" x14ac:dyDescent="0.25">
      <c r="A3418" t="s">
        <v>10190</v>
      </c>
      <c r="B3418" t="s">
        <v>10191</v>
      </c>
      <c r="C3418" t="s">
        <v>10189</v>
      </c>
    </row>
    <row r="3419" spans="1:3" x14ac:dyDescent="0.25">
      <c r="A3419" t="s">
        <v>10193</v>
      </c>
      <c r="B3419" t="s">
        <v>10194</v>
      </c>
      <c r="C3419" t="s">
        <v>10192</v>
      </c>
    </row>
    <row r="3420" spans="1:3" x14ac:dyDescent="0.25">
      <c r="A3420" t="s">
        <v>10196</v>
      </c>
      <c r="B3420" t="s">
        <v>10197</v>
      </c>
      <c r="C3420" t="s">
        <v>10195</v>
      </c>
    </row>
    <row r="3421" spans="1:3" x14ac:dyDescent="0.25">
      <c r="A3421" t="s">
        <v>10199</v>
      </c>
      <c r="B3421" t="s">
        <v>10200</v>
      </c>
      <c r="C3421" t="s">
        <v>10198</v>
      </c>
    </row>
    <row r="3422" spans="1:3" x14ac:dyDescent="0.25">
      <c r="A3422" t="s">
        <v>10202</v>
      </c>
      <c r="B3422" t="s">
        <v>10176</v>
      </c>
      <c r="C3422" t="s">
        <v>10201</v>
      </c>
    </row>
    <row r="3423" spans="1:3" x14ac:dyDescent="0.25">
      <c r="A3423" t="s">
        <v>10203</v>
      </c>
      <c r="B3423" t="s">
        <v>10204</v>
      </c>
      <c r="C3423" t="s">
        <v>5054</v>
      </c>
    </row>
    <row r="3424" spans="1:3" x14ac:dyDescent="0.25">
      <c r="A3424" t="s">
        <v>10206</v>
      </c>
      <c r="B3424" t="s">
        <v>10207</v>
      </c>
      <c r="C3424" t="s">
        <v>10205</v>
      </c>
    </row>
    <row r="3425" spans="1:3" x14ac:dyDescent="0.25">
      <c r="A3425" t="s">
        <v>10209</v>
      </c>
      <c r="B3425" t="s">
        <v>10210</v>
      </c>
      <c r="C3425" t="s">
        <v>10208</v>
      </c>
    </row>
    <row r="3426" spans="1:3" x14ac:dyDescent="0.25">
      <c r="A3426" t="s">
        <v>10212</v>
      </c>
      <c r="B3426" t="s">
        <v>10213</v>
      </c>
      <c r="C3426" t="s">
        <v>10211</v>
      </c>
    </row>
    <row r="3427" spans="1:3" x14ac:dyDescent="0.25">
      <c r="A3427" t="s">
        <v>10215</v>
      </c>
      <c r="B3427" t="s">
        <v>10216</v>
      </c>
      <c r="C3427" t="s">
        <v>10214</v>
      </c>
    </row>
    <row r="3428" spans="1:3" x14ac:dyDescent="0.25">
      <c r="A3428" t="s">
        <v>10218</v>
      </c>
      <c r="B3428" t="s">
        <v>10219</v>
      </c>
      <c r="C3428" t="s">
        <v>10217</v>
      </c>
    </row>
    <row r="3429" spans="1:3" x14ac:dyDescent="0.25">
      <c r="A3429" t="s">
        <v>10221</v>
      </c>
      <c r="B3429" t="s">
        <v>10222</v>
      </c>
      <c r="C3429" t="s">
        <v>10220</v>
      </c>
    </row>
    <row r="3430" spans="1:3" x14ac:dyDescent="0.25">
      <c r="A3430" t="s">
        <v>10224</v>
      </c>
      <c r="B3430" t="s">
        <v>10225</v>
      </c>
      <c r="C3430" t="s">
        <v>10223</v>
      </c>
    </row>
    <row r="3431" spans="1:3" x14ac:dyDescent="0.25">
      <c r="A3431" t="s">
        <v>10227</v>
      </c>
      <c r="B3431" t="s">
        <v>10228</v>
      </c>
      <c r="C3431" t="s">
        <v>10226</v>
      </c>
    </row>
    <row r="3432" spans="1:3" x14ac:dyDescent="0.25">
      <c r="A3432" t="s">
        <v>10230</v>
      </c>
      <c r="B3432" t="s">
        <v>10231</v>
      </c>
      <c r="C3432" t="s">
        <v>10229</v>
      </c>
    </row>
    <row r="3433" spans="1:3" x14ac:dyDescent="0.25">
      <c r="A3433" t="s">
        <v>10233</v>
      </c>
      <c r="B3433" t="s">
        <v>10234</v>
      </c>
      <c r="C3433" t="s">
        <v>10232</v>
      </c>
    </row>
    <row r="3434" spans="1:3" x14ac:dyDescent="0.25">
      <c r="A3434" t="s">
        <v>10236</v>
      </c>
      <c r="B3434" t="s">
        <v>10237</v>
      </c>
      <c r="C3434" t="s">
        <v>10235</v>
      </c>
    </row>
    <row r="3435" spans="1:3" x14ac:dyDescent="0.25">
      <c r="A3435" t="s">
        <v>10239</v>
      </c>
      <c r="B3435" t="s">
        <v>10240</v>
      </c>
      <c r="C3435" t="s">
        <v>10238</v>
      </c>
    </row>
    <row r="3436" spans="1:3" x14ac:dyDescent="0.25">
      <c r="A3436" t="s">
        <v>10242</v>
      </c>
      <c r="B3436" t="s">
        <v>10243</v>
      </c>
      <c r="C3436" t="s">
        <v>10241</v>
      </c>
    </row>
    <row r="3437" spans="1:3" x14ac:dyDescent="0.25">
      <c r="A3437" t="s">
        <v>10245</v>
      </c>
      <c r="B3437" t="s">
        <v>10246</v>
      </c>
      <c r="C3437" t="s">
        <v>10244</v>
      </c>
    </row>
    <row r="3438" spans="1:3" x14ac:dyDescent="0.25">
      <c r="A3438" t="s">
        <v>10248</v>
      </c>
      <c r="B3438" t="s">
        <v>10249</v>
      </c>
      <c r="C3438" t="s">
        <v>10247</v>
      </c>
    </row>
    <row r="3439" spans="1:3" x14ac:dyDescent="0.25">
      <c r="A3439" t="s">
        <v>10251</v>
      </c>
      <c r="B3439" t="s">
        <v>10252</v>
      </c>
      <c r="C3439" t="s">
        <v>10250</v>
      </c>
    </row>
    <row r="3440" spans="1:3" x14ac:dyDescent="0.25">
      <c r="A3440" t="s">
        <v>10254</v>
      </c>
      <c r="B3440" t="s">
        <v>10255</v>
      </c>
      <c r="C3440" t="s">
        <v>10253</v>
      </c>
    </row>
    <row r="3441" spans="1:3" x14ac:dyDescent="0.25">
      <c r="A3441" t="s">
        <v>10257</v>
      </c>
      <c r="B3441" t="s">
        <v>10258</v>
      </c>
      <c r="C3441" t="s">
        <v>10256</v>
      </c>
    </row>
    <row r="3442" spans="1:3" x14ac:dyDescent="0.25">
      <c r="A3442" t="s">
        <v>10260</v>
      </c>
      <c r="B3442" t="s">
        <v>10261</v>
      </c>
      <c r="C3442" t="s">
        <v>10259</v>
      </c>
    </row>
    <row r="3443" spans="1:3" x14ac:dyDescent="0.25">
      <c r="A3443" t="s">
        <v>10263</v>
      </c>
      <c r="B3443" t="s">
        <v>10264</v>
      </c>
      <c r="C3443" t="s">
        <v>10262</v>
      </c>
    </row>
    <row r="3444" spans="1:3" x14ac:dyDescent="0.25">
      <c r="A3444" t="s">
        <v>10266</v>
      </c>
      <c r="B3444" t="s">
        <v>10267</v>
      </c>
      <c r="C3444" t="s">
        <v>10265</v>
      </c>
    </row>
    <row r="3445" spans="1:3" x14ac:dyDescent="0.25">
      <c r="A3445" t="s">
        <v>10269</v>
      </c>
      <c r="B3445" t="s">
        <v>10270</v>
      </c>
      <c r="C3445" t="s">
        <v>10268</v>
      </c>
    </row>
    <row r="3446" spans="1:3" x14ac:dyDescent="0.25">
      <c r="A3446" t="s">
        <v>10272</v>
      </c>
      <c r="B3446" t="s">
        <v>10273</v>
      </c>
      <c r="C3446" t="s">
        <v>10271</v>
      </c>
    </row>
    <row r="3447" spans="1:3" x14ac:dyDescent="0.25">
      <c r="A3447" t="s">
        <v>10275</v>
      </c>
      <c r="B3447" t="s">
        <v>10276</v>
      </c>
      <c r="C3447" t="s">
        <v>10274</v>
      </c>
    </row>
    <row r="3448" spans="1:3" x14ac:dyDescent="0.25">
      <c r="A3448" t="s">
        <v>10278</v>
      </c>
      <c r="B3448" t="s">
        <v>10279</v>
      </c>
      <c r="C3448" t="s">
        <v>10277</v>
      </c>
    </row>
    <row r="3449" spans="1:3" x14ac:dyDescent="0.25">
      <c r="A3449" t="s">
        <v>10281</v>
      </c>
      <c r="B3449" t="s">
        <v>10282</v>
      </c>
      <c r="C3449" t="s">
        <v>10280</v>
      </c>
    </row>
    <row r="3450" spans="1:3" x14ac:dyDescent="0.25">
      <c r="A3450" t="s">
        <v>10284</v>
      </c>
      <c r="B3450" t="s">
        <v>10285</v>
      </c>
      <c r="C3450" t="s">
        <v>10283</v>
      </c>
    </row>
    <row r="3451" spans="1:3" x14ac:dyDescent="0.25">
      <c r="A3451" t="s">
        <v>10287</v>
      </c>
      <c r="B3451" t="s">
        <v>10288</v>
      </c>
      <c r="C3451" t="s">
        <v>10286</v>
      </c>
    </row>
    <row r="3452" spans="1:3" x14ac:dyDescent="0.25">
      <c r="A3452" t="s">
        <v>10290</v>
      </c>
      <c r="B3452" t="s">
        <v>10291</v>
      </c>
      <c r="C3452" t="s">
        <v>10289</v>
      </c>
    </row>
    <row r="3453" spans="1:3" x14ac:dyDescent="0.25">
      <c r="A3453" t="s">
        <v>10293</v>
      </c>
      <c r="B3453" t="s">
        <v>10294</v>
      </c>
      <c r="C3453" t="s">
        <v>10292</v>
      </c>
    </row>
    <row r="3454" spans="1:3" x14ac:dyDescent="0.25">
      <c r="A3454" t="s">
        <v>10296</v>
      </c>
      <c r="B3454" t="s">
        <v>10297</v>
      </c>
      <c r="C3454" t="s">
        <v>10295</v>
      </c>
    </row>
    <row r="3455" spans="1:3" x14ac:dyDescent="0.25">
      <c r="A3455" t="s">
        <v>10299</v>
      </c>
      <c r="B3455" t="s">
        <v>10300</v>
      </c>
      <c r="C3455" t="s">
        <v>10298</v>
      </c>
    </row>
    <row r="3456" spans="1:3" x14ac:dyDescent="0.25">
      <c r="A3456" t="s">
        <v>10302</v>
      </c>
      <c r="B3456" t="s">
        <v>10303</v>
      </c>
      <c r="C3456" t="s">
        <v>10301</v>
      </c>
    </row>
    <row r="3457" spans="1:3" x14ac:dyDescent="0.25">
      <c r="A3457" t="s">
        <v>10305</v>
      </c>
      <c r="B3457" t="s">
        <v>10306</v>
      </c>
      <c r="C3457" t="s">
        <v>10304</v>
      </c>
    </row>
    <row r="3458" spans="1:3" x14ac:dyDescent="0.25">
      <c r="A3458" t="s">
        <v>10308</v>
      </c>
      <c r="B3458" t="s">
        <v>10309</v>
      </c>
      <c r="C3458" t="s">
        <v>10307</v>
      </c>
    </row>
    <row r="3459" spans="1:3" x14ac:dyDescent="0.25">
      <c r="A3459" t="s">
        <v>10311</v>
      </c>
      <c r="B3459" t="s">
        <v>10312</v>
      </c>
      <c r="C3459" t="s">
        <v>10310</v>
      </c>
    </row>
    <row r="3460" spans="1:3" x14ac:dyDescent="0.25">
      <c r="A3460" t="s">
        <v>10314</v>
      </c>
      <c r="B3460" t="s">
        <v>10315</v>
      </c>
      <c r="C3460" t="s">
        <v>10313</v>
      </c>
    </row>
    <row r="3461" spans="1:3" x14ac:dyDescent="0.25">
      <c r="A3461" t="s">
        <v>10317</v>
      </c>
      <c r="B3461" t="s">
        <v>10318</v>
      </c>
      <c r="C3461" t="s">
        <v>10316</v>
      </c>
    </row>
    <row r="3462" spans="1:3" x14ac:dyDescent="0.25">
      <c r="A3462" t="s">
        <v>10320</v>
      </c>
      <c r="B3462" t="s">
        <v>10321</v>
      </c>
      <c r="C3462" t="s">
        <v>10319</v>
      </c>
    </row>
    <row r="3463" spans="1:3" x14ac:dyDescent="0.25">
      <c r="A3463" t="s">
        <v>10323</v>
      </c>
      <c r="B3463" t="s">
        <v>10324</v>
      </c>
      <c r="C3463" t="s">
        <v>10322</v>
      </c>
    </row>
    <row r="3464" spans="1:3" x14ac:dyDescent="0.25">
      <c r="A3464" t="s">
        <v>10326</v>
      </c>
      <c r="B3464" t="s">
        <v>10327</v>
      </c>
      <c r="C3464" t="s">
        <v>10325</v>
      </c>
    </row>
    <row r="3465" spans="1:3" x14ac:dyDescent="0.25">
      <c r="A3465" t="s">
        <v>10329</v>
      </c>
      <c r="B3465" t="s">
        <v>10330</v>
      </c>
      <c r="C3465" t="s">
        <v>10328</v>
      </c>
    </row>
    <row r="3466" spans="1:3" x14ac:dyDescent="0.25">
      <c r="A3466" t="s">
        <v>10332</v>
      </c>
      <c r="B3466" t="s">
        <v>10333</v>
      </c>
      <c r="C3466" t="s">
        <v>10331</v>
      </c>
    </row>
    <row r="3467" spans="1:3" x14ac:dyDescent="0.25">
      <c r="A3467" t="s">
        <v>10335</v>
      </c>
      <c r="B3467" t="s">
        <v>10336</v>
      </c>
      <c r="C3467" t="s">
        <v>10334</v>
      </c>
    </row>
    <row r="3468" spans="1:3" x14ac:dyDescent="0.25">
      <c r="A3468" t="s">
        <v>10338</v>
      </c>
      <c r="B3468" t="s">
        <v>10339</v>
      </c>
      <c r="C3468" t="s">
        <v>10337</v>
      </c>
    </row>
    <row r="3469" spans="1:3" x14ac:dyDescent="0.25">
      <c r="A3469" t="s">
        <v>10341</v>
      </c>
      <c r="B3469" t="s">
        <v>10342</v>
      </c>
      <c r="C3469" t="s">
        <v>10340</v>
      </c>
    </row>
    <row r="3470" spans="1:3" x14ac:dyDescent="0.25">
      <c r="A3470" t="s">
        <v>10344</v>
      </c>
      <c r="B3470" t="s">
        <v>10345</v>
      </c>
      <c r="C3470" t="s">
        <v>10343</v>
      </c>
    </row>
    <row r="3471" spans="1:3" x14ac:dyDescent="0.25">
      <c r="A3471" t="s">
        <v>10347</v>
      </c>
      <c r="B3471" t="s">
        <v>10348</v>
      </c>
      <c r="C3471" t="s">
        <v>10346</v>
      </c>
    </row>
    <row r="3472" spans="1:3" x14ac:dyDescent="0.25">
      <c r="A3472" t="s">
        <v>10350</v>
      </c>
      <c r="B3472" t="s">
        <v>10351</v>
      </c>
      <c r="C3472" t="s">
        <v>10349</v>
      </c>
    </row>
    <row r="3473" spans="1:3" x14ac:dyDescent="0.25">
      <c r="A3473" t="s">
        <v>10353</v>
      </c>
      <c r="B3473" t="s">
        <v>10354</v>
      </c>
      <c r="C3473" t="s">
        <v>10352</v>
      </c>
    </row>
    <row r="3474" spans="1:3" x14ac:dyDescent="0.25">
      <c r="A3474" t="s">
        <v>10356</v>
      </c>
      <c r="B3474" t="s">
        <v>10357</v>
      </c>
      <c r="C3474" t="s">
        <v>10355</v>
      </c>
    </row>
    <row r="3475" spans="1:3" x14ac:dyDescent="0.25">
      <c r="A3475" t="s">
        <v>10359</v>
      </c>
      <c r="B3475" t="s">
        <v>10360</v>
      </c>
      <c r="C3475" t="s">
        <v>10358</v>
      </c>
    </row>
    <row r="3476" spans="1:3" x14ac:dyDescent="0.25">
      <c r="A3476" t="s">
        <v>10362</v>
      </c>
      <c r="B3476" t="s">
        <v>10363</v>
      </c>
      <c r="C3476" t="s">
        <v>10361</v>
      </c>
    </row>
    <row r="3477" spans="1:3" x14ac:dyDescent="0.25">
      <c r="A3477" t="s">
        <v>10365</v>
      </c>
      <c r="B3477" t="s">
        <v>10366</v>
      </c>
      <c r="C3477" t="s">
        <v>10364</v>
      </c>
    </row>
    <row r="3478" spans="1:3" x14ac:dyDescent="0.25">
      <c r="A3478" t="s">
        <v>10368</v>
      </c>
      <c r="B3478" t="s">
        <v>10369</v>
      </c>
      <c r="C3478" t="s">
        <v>10367</v>
      </c>
    </row>
    <row r="3479" spans="1:3" x14ac:dyDescent="0.25">
      <c r="A3479" t="s">
        <v>10371</v>
      </c>
      <c r="B3479" t="s">
        <v>10372</v>
      </c>
      <c r="C3479" t="s">
        <v>10370</v>
      </c>
    </row>
    <row r="3480" spans="1:3" x14ac:dyDescent="0.25">
      <c r="A3480" t="s">
        <v>10374</v>
      </c>
      <c r="B3480" t="s">
        <v>10375</v>
      </c>
      <c r="C3480" t="s">
        <v>10373</v>
      </c>
    </row>
    <row r="3481" spans="1:3" x14ac:dyDescent="0.25">
      <c r="A3481" t="s">
        <v>10377</v>
      </c>
      <c r="B3481" t="s">
        <v>10378</v>
      </c>
      <c r="C3481" t="s">
        <v>10376</v>
      </c>
    </row>
    <row r="3482" spans="1:3" x14ac:dyDescent="0.25">
      <c r="A3482" t="s">
        <v>10380</v>
      </c>
      <c r="B3482" t="s">
        <v>10381</v>
      </c>
      <c r="C3482" t="s">
        <v>10379</v>
      </c>
    </row>
    <row r="3483" spans="1:3" x14ac:dyDescent="0.25">
      <c r="A3483" t="s">
        <v>10383</v>
      </c>
      <c r="B3483" t="s">
        <v>10384</v>
      </c>
      <c r="C3483" t="s">
        <v>10382</v>
      </c>
    </row>
    <row r="3484" spans="1:3" x14ac:dyDescent="0.25">
      <c r="A3484" t="s">
        <v>10386</v>
      </c>
      <c r="B3484" t="s">
        <v>10387</v>
      </c>
      <c r="C3484" t="s">
        <v>10385</v>
      </c>
    </row>
    <row r="3485" spans="1:3" x14ac:dyDescent="0.25">
      <c r="A3485" t="s">
        <v>10389</v>
      </c>
      <c r="B3485" t="s">
        <v>10390</v>
      </c>
      <c r="C3485" t="s">
        <v>10388</v>
      </c>
    </row>
    <row r="3486" spans="1:3" x14ac:dyDescent="0.25">
      <c r="A3486" t="s">
        <v>10392</v>
      </c>
      <c r="B3486" t="s">
        <v>10393</v>
      </c>
      <c r="C3486" t="s">
        <v>10391</v>
      </c>
    </row>
    <row r="3487" spans="1:3" x14ac:dyDescent="0.25">
      <c r="A3487" t="s">
        <v>10395</v>
      </c>
      <c r="B3487" t="s">
        <v>2270</v>
      </c>
      <c r="C3487" t="s">
        <v>10394</v>
      </c>
    </row>
    <row r="3488" spans="1:3" x14ac:dyDescent="0.25">
      <c r="A3488" t="s">
        <v>10397</v>
      </c>
      <c r="B3488" t="s">
        <v>10398</v>
      </c>
      <c r="C3488" t="s">
        <v>10396</v>
      </c>
    </row>
    <row r="3489" spans="1:3" x14ac:dyDescent="0.25">
      <c r="A3489" t="s">
        <v>10400</v>
      </c>
      <c r="B3489" t="s">
        <v>10401</v>
      </c>
      <c r="C3489" t="s">
        <v>10399</v>
      </c>
    </row>
    <row r="3490" spans="1:3" x14ac:dyDescent="0.25">
      <c r="A3490" t="s">
        <v>10403</v>
      </c>
      <c r="B3490" t="s">
        <v>10404</v>
      </c>
      <c r="C3490" t="s">
        <v>10402</v>
      </c>
    </row>
    <row r="3491" spans="1:3" x14ac:dyDescent="0.25">
      <c r="A3491" t="s">
        <v>10406</v>
      </c>
      <c r="B3491" t="s">
        <v>10407</v>
      </c>
      <c r="C3491" t="s">
        <v>10405</v>
      </c>
    </row>
    <row r="3492" spans="1:3" x14ac:dyDescent="0.25">
      <c r="A3492" t="s">
        <v>10409</v>
      </c>
      <c r="B3492" t="s">
        <v>10410</v>
      </c>
      <c r="C3492" t="s">
        <v>10408</v>
      </c>
    </row>
    <row r="3493" spans="1:3" x14ac:dyDescent="0.25">
      <c r="A3493" t="s">
        <v>10412</v>
      </c>
      <c r="B3493" t="s">
        <v>10413</v>
      </c>
      <c r="C3493" t="s">
        <v>10411</v>
      </c>
    </row>
    <row r="3494" spans="1:3" x14ac:dyDescent="0.25">
      <c r="A3494" t="s">
        <v>10415</v>
      </c>
      <c r="B3494" t="s">
        <v>10416</v>
      </c>
      <c r="C3494" t="s">
        <v>10414</v>
      </c>
    </row>
    <row r="3495" spans="1:3" x14ac:dyDescent="0.25">
      <c r="A3495" t="s">
        <v>10418</v>
      </c>
      <c r="B3495" t="s">
        <v>10419</v>
      </c>
      <c r="C3495" t="s">
        <v>10417</v>
      </c>
    </row>
    <row r="3496" spans="1:3" x14ac:dyDescent="0.25">
      <c r="A3496" t="s">
        <v>10421</v>
      </c>
      <c r="B3496" t="s">
        <v>10422</v>
      </c>
      <c r="C3496" t="s">
        <v>10420</v>
      </c>
    </row>
    <row r="3497" spans="1:3" x14ac:dyDescent="0.25">
      <c r="A3497" t="s">
        <v>10424</v>
      </c>
      <c r="B3497" t="s">
        <v>10425</v>
      </c>
      <c r="C3497" t="s">
        <v>10423</v>
      </c>
    </row>
    <row r="3498" spans="1:3" x14ac:dyDescent="0.25">
      <c r="A3498" t="s">
        <v>10427</v>
      </c>
      <c r="B3498" t="s">
        <v>10428</v>
      </c>
      <c r="C3498" t="s">
        <v>10426</v>
      </c>
    </row>
    <row r="3499" spans="1:3" x14ac:dyDescent="0.25">
      <c r="A3499" t="s">
        <v>10430</v>
      </c>
      <c r="B3499" t="s">
        <v>10431</v>
      </c>
      <c r="C3499" t="s">
        <v>10429</v>
      </c>
    </row>
    <row r="3500" spans="1:3" x14ac:dyDescent="0.25">
      <c r="A3500" t="s">
        <v>10433</v>
      </c>
      <c r="B3500" t="s">
        <v>10434</v>
      </c>
      <c r="C3500" t="s">
        <v>10432</v>
      </c>
    </row>
    <row r="3501" spans="1:3" x14ac:dyDescent="0.25">
      <c r="A3501" t="s">
        <v>10436</v>
      </c>
      <c r="B3501" t="s">
        <v>10437</v>
      </c>
      <c r="C3501" t="s">
        <v>10435</v>
      </c>
    </row>
    <row r="3502" spans="1:3" x14ac:dyDescent="0.25">
      <c r="A3502" t="s">
        <v>10439</v>
      </c>
      <c r="B3502" t="s">
        <v>10440</v>
      </c>
      <c r="C3502" t="s">
        <v>10438</v>
      </c>
    </row>
    <row r="3503" spans="1:3" x14ac:dyDescent="0.25">
      <c r="A3503" t="s">
        <v>10442</v>
      </c>
      <c r="B3503" t="s">
        <v>10443</v>
      </c>
      <c r="C3503" t="s">
        <v>10441</v>
      </c>
    </row>
    <row r="3504" spans="1:3" x14ac:dyDescent="0.25">
      <c r="A3504" t="s">
        <v>10445</v>
      </c>
      <c r="B3504" t="s">
        <v>10446</v>
      </c>
      <c r="C3504" t="s">
        <v>10444</v>
      </c>
    </row>
    <row r="3505" spans="1:3" x14ac:dyDescent="0.25">
      <c r="A3505" t="s">
        <v>10448</v>
      </c>
      <c r="B3505" t="s">
        <v>10449</v>
      </c>
      <c r="C3505" t="s">
        <v>10447</v>
      </c>
    </row>
    <row r="3506" spans="1:3" x14ac:dyDescent="0.25">
      <c r="A3506" t="s">
        <v>10451</v>
      </c>
      <c r="B3506" t="s">
        <v>10452</v>
      </c>
      <c r="C3506" t="s">
        <v>10450</v>
      </c>
    </row>
    <row r="3507" spans="1:3" x14ac:dyDescent="0.25">
      <c r="A3507" t="s">
        <v>10454</v>
      </c>
      <c r="B3507" t="s">
        <v>10455</v>
      </c>
      <c r="C3507" t="s">
        <v>10453</v>
      </c>
    </row>
    <row r="3508" spans="1:3" x14ac:dyDescent="0.25">
      <c r="A3508" t="s">
        <v>10457</v>
      </c>
      <c r="B3508" t="s">
        <v>10437</v>
      </c>
      <c r="C3508" t="s">
        <v>10456</v>
      </c>
    </row>
    <row r="3509" spans="1:3" x14ac:dyDescent="0.25">
      <c r="A3509" t="s">
        <v>10459</v>
      </c>
      <c r="B3509" t="s">
        <v>10460</v>
      </c>
      <c r="C3509" t="s">
        <v>10458</v>
      </c>
    </row>
    <row r="3510" spans="1:3" x14ac:dyDescent="0.25">
      <c r="A3510" t="s">
        <v>10462</v>
      </c>
      <c r="B3510" t="s">
        <v>10463</v>
      </c>
      <c r="C3510" t="s">
        <v>10461</v>
      </c>
    </row>
    <row r="3511" spans="1:3" x14ac:dyDescent="0.25">
      <c r="A3511" t="s">
        <v>10465</v>
      </c>
      <c r="B3511" t="s">
        <v>10466</v>
      </c>
      <c r="C3511" t="s">
        <v>10464</v>
      </c>
    </row>
    <row r="3512" spans="1:3" x14ac:dyDescent="0.25">
      <c r="A3512" t="s">
        <v>10468</v>
      </c>
      <c r="B3512" t="s">
        <v>10469</v>
      </c>
      <c r="C3512" t="s">
        <v>10467</v>
      </c>
    </row>
    <row r="3513" spans="1:3" x14ac:dyDescent="0.25">
      <c r="A3513" t="s">
        <v>10470</v>
      </c>
      <c r="B3513" t="s">
        <v>10471</v>
      </c>
      <c r="C3513" t="s">
        <v>8247</v>
      </c>
    </row>
    <row r="3514" spans="1:3" x14ac:dyDescent="0.25">
      <c r="A3514" t="s">
        <v>10473</v>
      </c>
      <c r="B3514" t="s">
        <v>10474</v>
      </c>
      <c r="C3514" t="s">
        <v>10472</v>
      </c>
    </row>
    <row r="3515" spans="1:3" x14ac:dyDescent="0.25">
      <c r="A3515" t="s">
        <v>10476</v>
      </c>
      <c r="B3515" t="s">
        <v>10477</v>
      </c>
      <c r="C3515" t="s">
        <v>10475</v>
      </c>
    </row>
    <row r="3516" spans="1:3" x14ac:dyDescent="0.25">
      <c r="A3516" t="s">
        <v>10479</v>
      </c>
      <c r="B3516" t="s">
        <v>10480</v>
      </c>
      <c r="C3516" t="s">
        <v>10478</v>
      </c>
    </row>
    <row r="3517" spans="1:3" x14ac:dyDescent="0.25">
      <c r="A3517" t="s">
        <v>10482</v>
      </c>
      <c r="B3517" t="s">
        <v>10483</v>
      </c>
      <c r="C3517" t="s">
        <v>10481</v>
      </c>
    </row>
    <row r="3518" spans="1:3" x14ac:dyDescent="0.25">
      <c r="A3518" t="s">
        <v>10485</v>
      </c>
      <c r="B3518" t="s">
        <v>10486</v>
      </c>
      <c r="C3518" t="s">
        <v>10484</v>
      </c>
    </row>
    <row r="3519" spans="1:3" x14ac:dyDescent="0.25">
      <c r="A3519" t="s">
        <v>10488</v>
      </c>
      <c r="B3519" t="s">
        <v>10489</v>
      </c>
      <c r="C3519" t="s">
        <v>10487</v>
      </c>
    </row>
    <row r="3520" spans="1:3" x14ac:dyDescent="0.25">
      <c r="A3520" t="s">
        <v>10491</v>
      </c>
      <c r="B3520" t="s">
        <v>10492</v>
      </c>
      <c r="C3520" t="s">
        <v>10490</v>
      </c>
    </row>
    <row r="3521" spans="1:3" x14ac:dyDescent="0.25">
      <c r="A3521" t="s">
        <v>10494</v>
      </c>
      <c r="B3521" t="s">
        <v>10495</v>
      </c>
      <c r="C3521" t="s">
        <v>10493</v>
      </c>
    </row>
    <row r="3522" spans="1:3" x14ac:dyDescent="0.25">
      <c r="A3522" t="s">
        <v>10497</v>
      </c>
      <c r="B3522" t="s">
        <v>10498</v>
      </c>
      <c r="C3522" t="s">
        <v>10496</v>
      </c>
    </row>
    <row r="3523" spans="1:3" x14ac:dyDescent="0.25">
      <c r="A3523" t="s">
        <v>10500</v>
      </c>
      <c r="B3523" t="s">
        <v>10501</v>
      </c>
      <c r="C3523" t="s">
        <v>10499</v>
      </c>
    </row>
    <row r="3524" spans="1:3" x14ac:dyDescent="0.25">
      <c r="A3524" t="s">
        <v>10503</v>
      </c>
      <c r="B3524" t="s">
        <v>10504</v>
      </c>
      <c r="C3524" t="s">
        <v>10502</v>
      </c>
    </row>
    <row r="3525" spans="1:3" x14ac:dyDescent="0.25">
      <c r="A3525" t="s">
        <v>10506</v>
      </c>
      <c r="B3525" t="s">
        <v>10507</v>
      </c>
      <c r="C3525" t="s">
        <v>10505</v>
      </c>
    </row>
    <row r="3526" spans="1:3" x14ac:dyDescent="0.25">
      <c r="A3526" t="s">
        <v>10509</v>
      </c>
      <c r="B3526" t="s">
        <v>10510</v>
      </c>
      <c r="C3526" t="s">
        <v>10508</v>
      </c>
    </row>
    <row r="3527" spans="1:3" x14ac:dyDescent="0.25">
      <c r="A3527" t="s">
        <v>10512</v>
      </c>
      <c r="B3527" t="s">
        <v>10513</v>
      </c>
      <c r="C3527" t="s">
        <v>10511</v>
      </c>
    </row>
    <row r="3528" spans="1:3" x14ac:dyDescent="0.25">
      <c r="A3528" t="s">
        <v>10515</v>
      </c>
      <c r="B3528" t="s">
        <v>10516</v>
      </c>
      <c r="C3528" t="s">
        <v>10514</v>
      </c>
    </row>
    <row r="3529" spans="1:3" x14ac:dyDescent="0.25">
      <c r="A3529" t="s">
        <v>10518</v>
      </c>
      <c r="B3529" t="s">
        <v>10519</v>
      </c>
      <c r="C3529" t="s">
        <v>10517</v>
      </c>
    </row>
    <row r="3530" spans="1:3" x14ac:dyDescent="0.25">
      <c r="A3530" t="s">
        <v>10521</v>
      </c>
      <c r="B3530" t="s">
        <v>10522</v>
      </c>
      <c r="C3530" t="s">
        <v>10520</v>
      </c>
    </row>
    <row r="3531" spans="1:3" x14ac:dyDescent="0.25">
      <c r="A3531" t="s">
        <v>10524</v>
      </c>
      <c r="B3531" t="s">
        <v>10525</v>
      </c>
      <c r="C3531" t="s">
        <v>10523</v>
      </c>
    </row>
    <row r="3532" spans="1:3" x14ac:dyDescent="0.25">
      <c r="A3532" t="s">
        <v>10527</v>
      </c>
      <c r="B3532" t="s">
        <v>10528</v>
      </c>
      <c r="C3532" t="s">
        <v>10526</v>
      </c>
    </row>
    <row r="3533" spans="1:3" x14ac:dyDescent="0.25">
      <c r="A3533" t="s">
        <v>10530</v>
      </c>
      <c r="B3533" t="s">
        <v>10531</v>
      </c>
      <c r="C3533" t="s">
        <v>10529</v>
      </c>
    </row>
    <row r="3534" spans="1:3" x14ac:dyDescent="0.25">
      <c r="A3534" t="s">
        <v>10533</v>
      </c>
      <c r="B3534" t="s">
        <v>10534</v>
      </c>
      <c r="C3534" t="s">
        <v>10532</v>
      </c>
    </row>
    <row r="3535" spans="1:3" x14ac:dyDescent="0.25">
      <c r="A3535" t="s">
        <v>10536</v>
      </c>
      <c r="B3535" t="s">
        <v>10537</v>
      </c>
      <c r="C3535" t="s">
        <v>10535</v>
      </c>
    </row>
    <row r="3536" spans="1:3" x14ac:dyDescent="0.25">
      <c r="A3536" t="s">
        <v>10539</v>
      </c>
      <c r="B3536" t="s">
        <v>10540</v>
      </c>
      <c r="C3536" t="s">
        <v>10538</v>
      </c>
    </row>
    <row r="3537" spans="1:3" x14ac:dyDescent="0.25">
      <c r="A3537" t="s">
        <v>10542</v>
      </c>
      <c r="B3537" t="s">
        <v>10543</v>
      </c>
      <c r="C3537" t="s">
        <v>10541</v>
      </c>
    </row>
    <row r="3538" spans="1:3" x14ac:dyDescent="0.25">
      <c r="A3538" t="s">
        <v>10545</v>
      </c>
      <c r="B3538" t="s">
        <v>10546</v>
      </c>
      <c r="C3538" t="s">
        <v>10544</v>
      </c>
    </row>
    <row r="3539" spans="1:3" x14ac:dyDescent="0.25">
      <c r="A3539" t="s">
        <v>10548</v>
      </c>
      <c r="B3539" t="s">
        <v>10549</v>
      </c>
      <c r="C3539" t="s">
        <v>10547</v>
      </c>
    </row>
    <row r="3540" spans="1:3" x14ac:dyDescent="0.25">
      <c r="A3540" t="s">
        <v>10551</v>
      </c>
      <c r="B3540" t="s">
        <v>10552</v>
      </c>
      <c r="C3540" t="s">
        <v>10550</v>
      </c>
    </row>
    <row r="3541" spans="1:3" x14ac:dyDescent="0.25">
      <c r="A3541" t="s">
        <v>10554</v>
      </c>
      <c r="B3541" t="s">
        <v>10555</v>
      </c>
      <c r="C3541" t="s">
        <v>10553</v>
      </c>
    </row>
    <row r="3542" spans="1:3" x14ac:dyDescent="0.25">
      <c r="A3542" t="s">
        <v>10557</v>
      </c>
      <c r="B3542" t="s">
        <v>10558</v>
      </c>
      <c r="C3542" t="s">
        <v>10556</v>
      </c>
    </row>
    <row r="3543" spans="1:3" x14ac:dyDescent="0.25">
      <c r="A3543" t="s">
        <v>10560</v>
      </c>
      <c r="B3543" t="s">
        <v>10561</v>
      </c>
      <c r="C3543" t="s">
        <v>10559</v>
      </c>
    </row>
    <row r="3544" spans="1:3" x14ac:dyDescent="0.25">
      <c r="A3544" t="s">
        <v>10563</v>
      </c>
      <c r="B3544" t="s">
        <v>10564</v>
      </c>
      <c r="C3544" t="s">
        <v>10562</v>
      </c>
    </row>
    <row r="3545" spans="1:3" x14ac:dyDescent="0.25">
      <c r="A3545" t="s">
        <v>10566</v>
      </c>
      <c r="B3545" t="s">
        <v>10567</v>
      </c>
      <c r="C3545" t="s">
        <v>10565</v>
      </c>
    </row>
    <row r="3546" spans="1:3" x14ac:dyDescent="0.25">
      <c r="A3546" t="s">
        <v>10569</v>
      </c>
      <c r="B3546" t="s">
        <v>10570</v>
      </c>
      <c r="C3546" t="s">
        <v>10568</v>
      </c>
    </row>
    <row r="3547" spans="1:3" x14ac:dyDescent="0.25">
      <c r="A3547" t="s">
        <v>10572</v>
      </c>
      <c r="B3547" t="s">
        <v>10573</v>
      </c>
      <c r="C3547" t="s">
        <v>10571</v>
      </c>
    </row>
    <row r="3548" spans="1:3" x14ac:dyDescent="0.25">
      <c r="A3548" t="s">
        <v>10575</v>
      </c>
      <c r="B3548" t="s">
        <v>10576</v>
      </c>
      <c r="C3548" t="s">
        <v>10574</v>
      </c>
    </row>
    <row r="3549" spans="1:3" x14ac:dyDescent="0.25">
      <c r="A3549" t="s">
        <v>10578</v>
      </c>
      <c r="B3549" t="s">
        <v>10579</v>
      </c>
      <c r="C3549" t="s">
        <v>10577</v>
      </c>
    </row>
    <row r="3550" spans="1:3" x14ac:dyDescent="0.25">
      <c r="A3550" t="s">
        <v>10581</v>
      </c>
      <c r="B3550" t="s">
        <v>10582</v>
      </c>
      <c r="C3550" t="s">
        <v>10580</v>
      </c>
    </row>
    <row r="3551" spans="1:3" x14ac:dyDescent="0.25">
      <c r="A3551" t="s">
        <v>10584</v>
      </c>
      <c r="B3551" t="s">
        <v>10585</v>
      </c>
      <c r="C3551" t="s">
        <v>10583</v>
      </c>
    </row>
    <row r="3552" spans="1:3" x14ac:dyDescent="0.25">
      <c r="A3552" t="s">
        <v>10587</v>
      </c>
      <c r="B3552" t="s">
        <v>10588</v>
      </c>
      <c r="C3552" t="s">
        <v>10586</v>
      </c>
    </row>
    <row r="3553" spans="1:3" x14ac:dyDescent="0.25">
      <c r="A3553" t="s">
        <v>10590</v>
      </c>
      <c r="B3553" t="s">
        <v>10591</v>
      </c>
      <c r="C3553" t="s">
        <v>10589</v>
      </c>
    </row>
    <row r="3554" spans="1:3" x14ac:dyDescent="0.25">
      <c r="A3554" t="s">
        <v>10593</v>
      </c>
      <c r="B3554" t="s">
        <v>10594</v>
      </c>
      <c r="C3554" t="s">
        <v>10592</v>
      </c>
    </row>
    <row r="3555" spans="1:3" x14ac:dyDescent="0.25">
      <c r="A3555" t="s">
        <v>10596</v>
      </c>
      <c r="B3555" t="s">
        <v>10597</v>
      </c>
      <c r="C3555" t="s">
        <v>10595</v>
      </c>
    </row>
    <row r="3556" spans="1:3" x14ac:dyDescent="0.25">
      <c r="A3556" t="s">
        <v>10599</v>
      </c>
      <c r="B3556" t="s">
        <v>10600</v>
      </c>
      <c r="C3556" t="s">
        <v>10598</v>
      </c>
    </row>
    <row r="3557" spans="1:3" x14ac:dyDescent="0.25">
      <c r="A3557" t="s">
        <v>10602</v>
      </c>
      <c r="B3557" t="s">
        <v>10603</v>
      </c>
      <c r="C3557" t="s">
        <v>10601</v>
      </c>
    </row>
    <row r="3558" spans="1:3" x14ac:dyDescent="0.25">
      <c r="A3558" t="s">
        <v>10604</v>
      </c>
      <c r="B3558" t="s">
        <v>10605</v>
      </c>
      <c r="C3558" t="s">
        <v>5060</v>
      </c>
    </row>
    <row r="3559" spans="1:3" x14ac:dyDescent="0.25">
      <c r="A3559" t="s">
        <v>10607</v>
      </c>
      <c r="B3559" t="s">
        <v>10608</v>
      </c>
      <c r="C3559" t="s">
        <v>10606</v>
      </c>
    </row>
    <row r="3560" spans="1:3" x14ac:dyDescent="0.25">
      <c r="A3560" t="s">
        <v>10610</v>
      </c>
      <c r="B3560" t="s">
        <v>10611</v>
      </c>
      <c r="C3560" t="s">
        <v>10609</v>
      </c>
    </row>
    <row r="3561" spans="1:3" x14ac:dyDescent="0.25">
      <c r="A3561" t="s">
        <v>10613</v>
      </c>
      <c r="B3561" t="s">
        <v>10614</v>
      </c>
      <c r="C3561" t="s">
        <v>10612</v>
      </c>
    </row>
    <row r="3562" spans="1:3" x14ac:dyDescent="0.25">
      <c r="A3562" t="s">
        <v>10616</v>
      </c>
      <c r="B3562" t="s">
        <v>10617</v>
      </c>
      <c r="C3562" t="s">
        <v>10615</v>
      </c>
    </row>
    <row r="3563" spans="1:3" x14ac:dyDescent="0.25">
      <c r="A3563" t="s">
        <v>10619</v>
      </c>
      <c r="B3563" t="s">
        <v>10620</v>
      </c>
      <c r="C3563" t="s">
        <v>10618</v>
      </c>
    </row>
    <row r="3564" spans="1:3" x14ac:dyDescent="0.25">
      <c r="A3564" t="s">
        <v>10622</v>
      </c>
      <c r="B3564" t="s">
        <v>10623</v>
      </c>
      <c r="C3564" t="s">
        <v>10621</v>
      </c>
    </row>
    <row r="3565" spans="1:3" x14ac:dyDescent="0.25">
      <c r="A3565" t="s">
        <v>10625</v>
      </c>
      <c r="B3565" t="s">
        <v>10626</v>
      </c>
      <c r="C3565" t="s">
        <v>10624</v>
      </c>
    </row>
    <row r="3566" spans="1:3" x14ac:dyDescent="0.25">
      <c r="A3566" t="s">
        <v>10628</v>
      </c>
      <c r="B3566" t="s">
        <v>10629</v>
      </c>
      <c r="C3566" t="s">
        <v>10627</v>
      </c>
    </row>
    <row r="3567" spans="1:3" x14ac:dyDescent="0.25">
      <c r="A3567" t="s">
        <v>10631</v>
      </c>
      <c r="B3567" t="s">
        <v>10632</v>
      </c>
      <c r="C3567" t="s">
        <v>10630</v>
      </c>
    </row>
    <row r="3568" spans="1:3" x14ac:dyDescent="0.25">
      <c r="A3568" t="s">
        <v>10634</v>
      </c>
      <c r="B3568" t="s">
        <v>10635</v>
      </c>
      <c r="C3568" t="s">
        <v>10633</v>
      </c>
    </row>
    <row r="3569" spans="1:3" x14ac:dyDescent="0.25">
      <c r="A3569" t="s">
        <v>10637</v>
      </c>
      <c r="B3569" t="s">
        <v>10638</v>
      </c>
      <c r="C3569" t="s">
        <v>10636</v>
      </c>
    </row>
    <row r="3570" spans="1:3" x14ac:dyDescent="0.25">
      <c r="A3570" t="s">
        <v>10640</v>
      </c>
      <c r="B3570" t="s">
        <v>10641</v>
      </c>
      <c r="C3570" t="s">
        <v>10639</v>
      </c>
    </row>
    <row r="3571" spans="1:3" x14ac:dyDescent="0.25">
      <c r="A3571" t="s">
        <v>10643</v>
      </c>
      <c r="B3571" t="s">
        <v>10644</v>
      </c>
      <c r="C3571" t="s">
        <v>10642</v>
      </c>
    </row>
    <row r="3572" spans="1:3" x14ac:dyDescent="0.25">
      <c r="A3572" t="s">
        <v>10646</v>
      </c>
      <c r="B3572" t="s">
        <v>4527</v>
      </c>
      <c r="C3572" t="s">
        <v>10645</v>
      </c>
    </row>
    <row r="3573" spans="1:3" x14ac:dyDescent="0.25">
      <c r="A3573" t="s">
        <v>10648</v>
      </c>
      <c r="B3573" t="s">
        <v>4527</v>
      </c>
      <c r="C3573" t="s">
        <v>10647</v>
      </c>
    </row>
    <row r="3574" spans="1:3" x14ac:dyDescent="0.25">
      <c r="A3574" t="s">
        <v>10650</v>
      </c>
      <c r="B3574" t="s">
        <v>10651</v>
      </c>
      <c r="C3574" t="s">
        <v>10649</v>
      </c>
    </row>
    <row r="3575" spans="1:3" x14ac:dyDescent="0.25">
      <c r="A3575" t="s">
        <v>10653</v>
      </c>
      <c r="B3575" t="s">
        <v>10654</v>
      </c>
      <c r="C3575" t="s">
        <v>10652</v>
      </c>
    </row>
    <row r="3576" spans="1:3" x14ac:dyDescent="0.25">
      <c r="A3576" t="s">
        <v>10656</v>
      </c>
      <c r="B3576" t="s">
        <v>10657</v>
      </c>
      <c r="C3576" t="s">
        <v>10655</v>
      </c>
    </row>
    <row r="3577" spans="1:3" x14ac:dyDescent="0.25">
      <c r="A3577" t="s">
        <v>10659</v>
      </c>
      <c r="B3577" t="s">
        <v>10660</v>
      </c>
      <c r="C3577" t="s">
        <v>10658</v>
      </c>
    </row>
    <row r="3578" spans="1:3" x14ac:dyDescent="0.25">
      <c r="A3578" t="s">
        <v>10662</v>
      </c>
      <c r="B3578" t="s">
        <v>10663</v>
      </c>
      <c r="C3578" t="s">
        <v>10661</v>
      </c>
    </row>
    <row r="3579" spans="1:3" x14ac:dyDescent="0.25">
      <c r="A3579" t="s">
        <v>10665</v>
      </c>
      <c r="B3579" t="s">
        <v>4527</v>
      </c>
      <c r="C3579" t="s">
        <v>10664</v>
      </c>
    </row>
    <row r="3580" spans="1:3" x14ac:dyDescent="0.25">
      <c r="A3580" t="s">
        <v>10667</v>
      </c>
      <c r="B3580" t="s">
        <v>10668</v>
      </c>
      <c r="C3580" t="s">
        <v>10666</v>
      </c>
    </row>
    <row r="3581" spans="1:3" x14ac:dyDescent="0.25">
      <c r="A3581" t="s">
        <v>10670</v>
      </c>
      <c r="B3581" t="s">
        <v>10671</v>
      </c>
      <c r="C3581" t="s">
        <v>10669</v>
      </c>
    </row>
    <row r="3582" spans="1:3" x14ac:dyDescent="0.25">
      <c r="A3582" t="s">
        <v>10673</v>
      </c>
      <c r="B3582" t="s">
        <v>10674</v>
      </c>
      <c r="C3582" t="s">
        <v>10672</v>
      </c>
    </row>
    <row r="3583" spans="1:3" x14ac:dyDescent="0.25">
      <c r="A3583" t="s">
        <v>10676</v>
      </c>
      <c r="B3583" t="s">
        <v>10677</v>
      </c>
      <c r="C3583" t="s">
        <v>10675</v>
      </c>
    </row>
    <row r="3584" spans="1:3" x14ac:dyDescent="0.25">
      <c r="A3584" t="s">
        <v>10679</v>
      </c>
      <c r="B3584" t="s">
        <v>10680</v>
      </c>
      <c r="C3584" t="s">
        <v>10678</v>
      </c>
    </row>
    <row r="3585" spans="1:3" x14ac:dyDescent="0.25">
      <c r="A3585" t="s">
        <v>10682</v>
      </c>
      <c r="B3585" t="s">
        <v>10683</v>
      </c>
      <c r="C3585" t="s">
        <v>10681</v>
      </c>
    </row>
    <row r="3586" spans="1:3" x14ac:dyDescent="0.25">
      <c r="A3586" t="s">
        <v>10685</v>
      </c>
      <c r="B3586" t="s">
        <v>10686</v>
      </c>
      <c r="C3586" t="s">
        <v>10684</v>
      </c>
    </row>
    <row r="3587" spans="1:3" x14ac:dyDescent="0.25">
      <c r="A3587" t="s">
        <v>10688</v>
      </c>
      <c r="B3587" t="s">
        <v>10689</v>
      </c>
      <c r="C3587" t="s">
        <v>10687</v>
      </c>
    </row>
    <row r="3588" spans="1:3" x14ac:dyDescent="0.25">
      <c r="A3588" t="s">
        <v>10691</v>
      </c>
      <c r="B3588" t="s">
        <v>10692</v>
      </c>
      <c r="C3588" t="s">
        <v>10690</v>
      </c>
    </row>
    <row r="3589" spans="1:3" x14ac:dyDescent="0.25">
      <c r="A3589" t="s">
        <v>10694</v>
      </c>
      <c r="B3589" t="s">
        <v>10695</v>
      </c>
      <c r="C3589" t="s">
        <v>10693</v>
      </c>
    </row>
    <row r="3590" spans="1:3" x14ac:dyDescent="0.25">
      <c r="A3590" t="s">
        <v>10697</v>
      </c>
      <c r="B3590" t="s">
        <v>10698</v>
      </c>
      <c r="C3590" t="s">
        <v>10696</v>
      </c>
    </row>
    <row r="3591" spans="1:3" x14ac:dyDescent="0.25">
      <c r="A3591" t="s">
        <v>10700</v>
      </c>
      <c r="B3591" t="s">
        <v>10701</v>
      </c>
      <c r="C3591" t="s">
        <v>10699</v>
      </c>
    </row>
    <row r="3592" spans="1:3" x14ac:dyDescent="0.25">
      <c r="A3592" t="s">
        <v>10703</v>
      </c>
      <c r="B3592" t="s">
        <v>10704</v>
      </c>
      <c r="C3592" t="s">
        <v>10702</v>
      </c>
    </row>
    <row r="3593" spans="1:3" x14ac:dyDescent="0.25">
      <c r="A3593" t="s">
        <v>10706</v>
      </c>
      <c r="B3593" t="s">
        <v>10707</v>
      </c>
      <c r="C3593" t="s">
        <v>10705</v>
      </c>
    </row>
    <row r="3594" spans="1:3" x14ac:dyDescent="0.25">
      <c r="A3594" t="s">
        <v>10709</v>
      </c>
      <c r="B3594" t="s">
        <v>10710</v>
      </c>
      <c r="C3594" t="s">
        <v>10708</v>
      </c>
    </row>
    <row r="3595" spans="1:3" x14ac:dyDescent="0.25">
      <c r="A3595" t="s">
        <v>10712</v>
      </c>
      <c r="B3595" t="s">
        <v>10713</v>
      </c>
      <c r="C3595" t="s">
        <v>10711</v>
      </c>
    </row>
    <row r="3596" spans="1:3" x14ac:dyDescent="0.25">
      <c r="A3596" t="s">
        <v>10715</v>
      </c>
      <c r="B3596" t="s">
        <v>10716</v>
      </c>
      <c r="C3596" t="s">
        <v>10714</v>
      </c>
    </row>
    <row r="3597" spans="1:3" x14ac:dyDescent="0.25">
      <c r="A3597" t="s">
        <v>10718</v>
      </c>
      <c r="B3597" t="s">
        <v>10719</v>
      </c>
      <c r="C3597" t="s">
        <v>10717</v>
      </c>
    </row>
    <row r="3598" spans="1:3" x14ac:dyDescent="0.25">
      <c r="A3598" t="s">
        <v>10721</v>
      </c>
      <c r="B3598" t="s">
        <v>10722</v>
      </c>
      <c r="C3598" t="s">
        <v>10720</v>
      </c>
    </row>
    <row r="3599" spans="1:3" x14ac:dyDescent="0.25">
      <c r="A3599" t="s">
        <v>10724</v>
      </c>
      <c r="B3599" t="s">
        <v>10725</v>
      </c>
      <c r="C3599" t="s">
        <v>10723</v>
      </c>
    </row>
    <row r="3600" spans="1:3" x14ac:dyDescent="0.25">
      <c r="A3600" t="s">
        <v>10727</v>
      </c>
      <c r="B3600" t="s">
        <v>10728</v>
      </c>
      <c r="C3600" t="s">
        <v>10726</v>
      </c>
    </row>
    <row r="3601" spans="1:3" x14ac:dyDescent="0.25">
      <c r="A3601" t="s">
        <v>10730</v>
      </c>
      <c r="B3601" t="s">
        <v>10731</v>
      </c>
      <c r="C3601" t="s">
        <v>10729</v>
      </c>
    </row>
    <row r="3602" spans="1:3" x14ac:dyDescent="0.25">
      <c r="A3602" t="s">
        <v>10733</v>
      </c>
      <c r="B3602" t="s">
        <v>10734</v>
      </c>
      <c r="C3602" t="s">
        <v>10732</v>
      </c>
    </row>
    <row r="3603" spans="1:3" x14ac:dyDescent="0.25">
      <c r="A3603" t="s">
        <v>10736</v>
      </c>
      <c r="B3603" t="s">
        <v>10737</v>
      </c>
      <c r="C3603" t="s">
        <v>10735</v>
      </c>
    </row>
    <row r="3604" spans="1:3" x14ac:dyDescent="0.25">
      <c r="A3604" t="s">
        <v>10739</v>
      </c>
      <c r="B3604" t="s">
        <v>10737</v>
      </c>
      <c r="C3604" t="s">
        <v>10738</v>
      </c>
    </row>
    <row r="3605" spans="1:3" x14ac:dyDescent="0.25">
      <c r="A3605" t="s">
        <v>10741</v>
      </c>
      <c r="B3605" t="s">
        <v>10742</v>
      </c>
      <c r="C3605" t="s">
        <v>10740</v>
      </c>
    </row>
    <row r="3606" spans="1:3" x14ac:dyDescent="0.25">
      <c r="A3606" t="s">
        <v>10744</v>
      </c>
      <c r="B3606" t="s">
        <v>10745</v>
      </c>
      <c r="C3606" t="s">
        <v>10743</v>
      </c>
    </row>
    <row r="3607" spans="1:3" x14ac:dyDescent="0.25">
      <c r="A3607" t="s">
        <v>10747</v>
      </c>
      <c r="B3607" t="s">
        <v>10748</v>
      </c>
      <c r="C3607" t="s">
        <v>10746</v>
      </c>
    </row>
    <row r="3608" spans="1:3" x14ac:dyDescent="0.25">
      <c r="A3608" t="s">
        <v>10750</v>
      </c>
      <c r="B3608" t="s">
        <v>10751</v>
      </c>
      <c r="C3608" t="s">
        <v>10749</v>
      </c>
    </row>
    <row r="3609" spans="1:3" x14ac:dyDescent="0.25">
      <c r="A3609" t="s">
        <v>10753</v>
      </c>
      <c r="B3609" t="s">
        <v>10754</v>
      </c>
      <c r="C3609" t="s">
        <v>10752</v>
      </c>
    </row>
    <row r="3610" spans="1:3" x14ac:dyDescent="0.25">
      <c r="A3610" t="s">
        <v>10756</v>
      </c>
      <c r="B3610" t="s">
        <v>10757</v>
      </c>
      <c r="C3610" t="s">
        <v>10755</v>
      </c>
    </row>
    <row r="3611" spans="1:3" x14ac:dyDescent="0.25">
      <c r="A3611" t="s">
        <v>10759</v>
      </c>
      <c r="B3611" t="s">
        <v>10760</v>
      </c>
      <c r="C3611" t="s">
        <v>10758</v>
      </c>
    </row>
    <row r="3612" spans="1:3" x14ac:dyDescent="0.25">
      <c r="A3612" t="s">
        <v>10762</v>
      </c>
      <c r="B3612" t="s">
        <v>10763</v>
      </c>
      <c r="C3612" t="s">
        <v>10761</v>
      </c>
    </row>
    <row r="3613" spans="1:3" x14ac:dyDescent="0.25">
      <c r="A3613" t="s">
        <v>10765</v>
      </c>
      <c r="B3613" t="s">
        <v>10766</v>
      </c>
      <c r="C3613" t="s">
        <v>10764</v>
      </c>
    </row>
    <row r="3614" spans="1:3" x14ac:dyDescent="0.25">
      <c r="A3614" t="s">
        <v>10768</v>
      </c>
      <c r="B3614" t="s">
        <v>10769</v>
      </c>
      <c r="C3614" t="s">
        <v>10767</v>
      </c>
    </row>
    <row r="3615" spans="1:3" x14ac:dyDescent="0.25">
      <c r="A3615" t="s">
        <v>10771</v>
      </c>
      <c r="B3615" t="s">
        <v>10772</v>
      </c>
      <c r="C3615" t="s">
        <v>10770</v>
      </c>
    </row>
    <row r="3616" spans="1:3" x14ac:dyDescent="0.25">
      <c r="A3616" t="s">
        <v>10774</v>
      </c>
      <c r="B3616" t="s">
        <v>10775</v>
      </c>
      <c r="C3616" t="s">
        <v>10773</v>
      </c>
    </row>
    <row r="3617" spans="1:3" x14ac:dyDescent="0.25">
      <c r="A3617" t="s">
        <v>10777</v>
      </c>
      <c r="B3617" t="s">
        <v>10778</v>
      </c>
      <c r="C3617" t="s">
        <v>10776</v>
      </c>
    </row>
    <row r="3618" spans="1:3" x14ac:dyDescent="0.25">
      <c r="A3618" t="s">
        <v>10780</v>
      </c>
      <c r="B3618" t="s">
        <v>10781</v>
      </c>
      <c r="C3618" t="s">
        <v>10779</v>
      </c>
    </row>
    <row r="3619" spans="1:3" x14ac:dyDescent="0.25">
      <c r="A3619" t="s">
        <v>10783</v>
      </c>
      <c r="B3619" t="s">
        <v>10784</v>
      </c>
      <c r="C3619" t="s">
        <v>10782</v>
      </c>
    </row>
    <row r="3620" spans="1:3" x14ac:dyDescent="0.25">
      <c r="A3620" t="s">
        <v>10786</v>
      </c>
      <c r="B3620" t="s">
        <v>10787</v>
      </c>
      <c r="C3620" t="s">
        <v>10785</v>
      </c>
    </row>
    <row r="3621" spans="1:3" x14ac:dyDescent="0.25">
      <c r="A3621" t="s">
        <v>10789</v>
      </c>
      <c r="B3621" t="s">
        <v>10790</v>
      </c>
      <c r="C3621" t="s">
        <v>10788</v>
      </c>
    </row>
    <row r="3622" spans="1:3" x14ac:dyDescent="0.25">
      <c r="A3622" t="s">
        <v>10792</v>
      </c>
      <c r="B3622" t="s">
        <v>10793</v>
      </c>
      <c r="C3622" t="s">
        <v>10791</v>
      </c>
    </row>
    <row r="3623" spans="1:3" x14ac:dyDescent="0.25">
      <c r="A3623" t="s">
        <v>10795</v>
      </c>
      <c r="B3623" t="s">
        <v>10796</v>
      </c>
      <c r="C3623" t="s">
        <v>10794</v>
      </c>
    </row>
    <row r="3624" spans="1:3" x14ac:dyDescent="0.25">
      <c r="A3624" t="s">
        <v>10798</v>
      </c>
      <c r="B3624" t="s">
        <v>10799</v>
      </c>
      <c r="C3624" t="s">
        <v>10797</v>
      </c>
    </row>
    <row r="3625" spans="1:3" x14ac:dyDescent="0.25">
      <c r="A3625" t="s">
        <v>10801</v>
      </c>
      <c r="B3625" t="s">
        <v>10802</v>
      </c>
      <c r="C3625" t="s">
        <v>10800</v>
      </c>
    </row>
    <row r="3626" spans="1:3" x14ac:dyDescent="0.25">
      <c r="A3626" t="s">
        <v>199</v>
      </c>
      <c r="B3626" t="s">
        <v>10804</v>
      </c>
      <c r="C3626" t="s">
        <v>10803</v>
      </c>
    </row>
    <row r="3627" spans="1:3" x14ac:dyDescent="0.25">
      <c r="A3627" t="s">
        <v>10806</v>
      </c>
      <c r="B3627" t="s">
        <v>10807</v>
      </c>
      <c r="C3627" t="s">
        <v>10805</v>
      </c>
    </row>
    <row r="3628" spans="1:3" x14ac:dyDescent="0.25">
      <c r="A3628" t="s">
        <v>10809</v>
      </c>
      <c r="B3628" t="s">
        <v>10810</v>
      </c>
      <c r="C3628" t="s">
        <v>10808</v>
      </c>
    </row>
    <row r="3629" spans="1:3" x14ac:dyDescent="0.25">
      <c r="A3629" t="s">
        <v>10812</v>
      </c>
      <c r="B3629" t="s">
        <v>10813</v>
      </c>
      <c r="C3629" t="s">
        <v>10811</v>
      </c>
    </row>
    <row r="3630" spans="1:3" x14ac:dyDescent="0.25">
      <c r="A3630" t="s">
        <v>10815</v>
      </c>
      <c r="B3630" t="s">
        <v>10816</v>
      </c>
      <c r="C3630" t="s">
        <v>10814</v>
      </c>
    </row>
    <row r="3631" spans="1:3" x14ac:dyDescent="0.25">
      <c r="A3631" t="s">
        <v>10818</v>
      </c>
      <c r="B3631" t="s">
        <v>10819</v>
      </c>
      <c r="C3631" t="s">
        <v>10817</v>
      </c>
    </row>
    <row r="3632" spans="1:3" x14ac:dyDescent="0.25">
      <c r="A3632" t="s">
        <v>10821</v>
      </c>
      <c r="B3632" t="s">
        <v>10822</v>
      </c>
      <c r="C3632" t="s">
        <v>10820</v>
      </c>
    </row>
    <row r="3633" spans="1:3" x14ac:dyDescent="0.25">
      <c r="A3633" t="s">
        <v>10824</v>
      </c>
      <c r="B3633" t="s">
        <v>10825</v>
      </c>
      <c r="C3633" t="s">
        <v>10823</v>
      </c>
    </row>
    <row r="3634" spans="1:3" x14ac:dyDescent="0.25">
      <c r="A3634" t="s">
        <v>10827</v>
      </c>
      <c r="B3634" t="s">
        <v>10828</v>
      </c>
      <c r="C3634" t="s">
        <v>10826</v>
      </c>
    </row>
    <row r="3635" spans="1:3" x14ac:dyDescent="0.25">
      <c r="A3635" t="s">
        <v>10830</v>
      </c>
      <c r="B3635" t="s">
        <v>10831</v>
      </c>
      <c r="C3635" t="s">
        <v>10829</v>
      </c>
    </row>
    <row r="3636" spans="1:3" x14ac:dyDescent="0.25">
      <c r="A3636" t="s">
        <v>10833</v>
      </c>
      <c r="B3636" t="s">
        <v>10834</v>
      </c>
      <c r="C3636" t="s">
        <v>10832</v>
      </c>
    </row>
    <row r="3637" spans="1:3" x14ac:dyDescent="0.25">
      <c r="A3637" t="s">
        <v>10835</v>
      </c>
      <c r="B3637" t="s">
        <v>10834</v>
      </c>
      <c r="C3637" t="s">
        <v>3072</v>
      </c>
    </row>
    <row r="3638" spans="1:3" x14ac:dyDescent="0.25">
      <c r="A3638" t="s">
        <v>10837</v>
      </c>
      <c r="B3638" t="s">
        <v>10838</v>
      </c>
      <c r="C3638" t="s">
        <v>10836</v>
      </c>
    </row>
    <row r="3639" spans="1:3" x14ac:dyDescent="0.25">
      <c r="A3639" t="s">
        <v>10840</v>
      </c>
      <c r="B3639" t="s">
        <v>10841</v>
      </c>
      <c r="C3639" t="s">
        <v>10839</v>
      </c>
    </row>
    <row r="3640" spans="1:3" x14ac:dyDescent="0.25">
      <c r="A3640" t="s">
        <v>10843</v>
      </c>
      <c r="B3640" t="s">
        <v>10844</v>
      </c>
      <c r="C3640" t="s">
        <v>10842</v>
      </c>
    </row>
    <row r="3641" spans="1:3" x14ac:dyDescent="0.25">
      <c r="A3641" t="s">
        <v>10846</v>
      </c>
      <c r="B3641" t="s">
        <v>10847</v>
      </c>
      <c r="C3641" t="s">
        <v>10845</v>
      </c>
    </row>
    <row r="3642" spans="1:3" x14ac:dyDescent="0.25">
      <c r="A3642" t="s">
        <v>10849</v>
      </c>
      <c r="B3642" t="s">
        <v>10850</v>
      </c>
      <c r="C3642" t="s">
        <v>10848</v>
      </c>
    </row>
    <row r="3643" spans="1:3" x14ac:dyDescent="0.25">
      <c r="A3643" t="s">
        <v>10852</v>
      </c>
      <c r="B3643" t="s">
        <v>10853</v>
      </c>
      <c r="C3643" t="s">
        <v>10851</v>
      </c>
    </row>
    <row r="3644" spans="1:3" x14ac:dyDescent="0.25">
      <c r="A3644" t="s">
        <v>10855</v>
      </c>
      <c r="B3644" t="s">
        <v>10856</v>
      </c>
      <c r="C3644" t="s">
        <v>10854</v>
      </c>
    </row>
    <row r="3645" spans="1:3" x14ac:dyDescent="0.25">
      <c r="A3645" t="s">
        <v>10858</v>
      </c>
      <c r="B3645" t="s">
        <v>10859</v>
      </c>
      <c r="C3645" t="s">
        <v>10857</v>
      </c>
    </row>
    <row r="3646" spans="1:3" x14ac:dyDescent="0.25">
      <c r="A3646" t="s">
        <v>10861</v>
      </c>
      <c r="B3646" t="s">
        <v>10862</v>
      </c>
      <c r="C3646" t="s">
        <v>10860</v>
      </c>
    </row>
    <row r="3647" spans="1:3" x14ac:dyDescent="0.25">
      <c r="A3647" t="s">
        <v>10864</v>
      </c>
      <c r="B3647" t="s">
        <v>10865</v>
      </c>
      <c r="C3647" t="s">
        <v>10863</v>
      </c>
    </row>
    <row r="3648" spans="1:3" x14ac:dyDescent="0.25">
      <c r="A3648" t="s">
        <v>10867</v>
      </c>
      <c r="B3648" t="s">
        <v>10868</v>
      </c>
      <c r="C3648" t="s">
        <v>10866</v>
      </c>
    </row>
    <row r="3649" spans="1:3" x14ac:dyDescent="0.25">
      <c r="A3649" t="s">
        <v>10870</v>
      </c>
      <c r="B3649" t="s">
        <v>10871</v>
      </c>
      <c r="C3649" t="s">
        <v>10869</v>
      </c>
    </row>
    <row r="3650" spans="1:3" x14ac:dyDescent="0.25">
      <c r="A3650" t="s">
        <v>10873</v>
      </c>
      <c r="B3650" t="s">
        <v>10874</v>
      </c>
      <c r="C3650" t="s">
        <v>10872</v>
      </c>
    </row>
    <row r="3651" spans="1:3" x14ac:dyDescent="0.25">
      <c r="A3651" t="s">
        <v>10876</v>
      </c>
      <c r="B3651" t="s">
        <v>10877</v>
      </c>
      <c r="C3651" t="s">
        <v>10875</v>
      </c>
    </row>
    <row r="3652" spans="1:3" x14ac:dyDescent="0.25">
      <c r="A3652" t="s">
        <v>10879</v>
      </c>
      <c r="B3652" t="s">
        <v>9143</v>
      </c>
      <c r="C3652" t="s">
        <v>10878</v>
      </c>
    </row>
    <row r="3653" spans="1:3" x14ac:dyDescent="0.25">
      <c r="A3653" t="s">
        <v>10881</v>
      </c>
      <c r="B3653" t="s">
        <v>10882</v>
      </c>
      <c r="C3653" t="s">
        <v>10880</v>
      </c>
    </row>
    <row r="3654" spans="1:3" x14ac:dyDescent="0.25">
      <c r="A3654" t="s">
        <v>10884</v>
      </c>
      <c r="B3654" t="s">
        <v>10885</v>
      </c>
      <c r="C3654" t="s">
        <v>10883</v>
      </c>
    </row>
    <row r="3655" spans="1:3" x14ac:dyDescent="0.25">
      <c r="A3655" t="s">
        <v>10887</v>
      </c>
      <c r="B3655" t="s">
        <v>10888</v>
      </c>
      <c r="C3655" t="s">
        <v>10886</v>
      </c>
    </row>
    <row r="3656" spans="1:3" x14ac:dyDescent="0.25">
      <c r="A3656" t="s">
        <v>10890</v>
      </c>
      <c r="B3656" t="s">
        <v>10891</v>
      </c>
      <c r="C3656" t="s">
        <v>10889</v>
      </c>
    </row>
    <row r="3657" spans="1:3" x14ac:dyDescent="0.25">
      <c r="A3657" t="s">
        <v>10893</v>
      </c>
      <c r="B3657" t="s">
        <v>10894</v>
      </c>
      <c r="C3657" t="s">
        <v>10892</v>
      </c>
    </row>
    <row r="3658" spans="1:3" x14ac:dyDescent="0.25">
      <c r="A3658" t="s">
        <v>10896</v>
      </c>
      <c r="B3658" t="s">
        <v>10897</v>
      </c>
      <c r="C3658" t="s">
        <v>10895</v>
      </c>
    </row>
    <row r="3659" spans="1:3" x14ac:dyDescent="0.25">
      <c r="A3659" t="s">
        <v>10899</v>
      </c>
      <c r="B3659" t="s">
        <v>10900</v>
      </c>
      <c r="C3659" t="s">
        <v>10898</v>
      </c>
    </row>
    <row r="3660" spans="1:3" x14ac:dyDescent="0.25">
      <c r="A3660" t="s">
        <v>10902</v>
      </c>
      <c r="B3660" t="s">
        <v>10903</v>
      </c>
      <c r="C3660" t="s">
        <v>10901</v>
      </c>
    </row>
    <row r="3661" spans="1:3" x14ac:dyDescent="0.25">
      <c r="A3661" t="s">
        <v>10905</v>
      </c>
      <c r="B3661" t="s">
        <v>10906</v>
      </c>
      <c r="C3661" t="s">
        <v>10904</v>
      </c>
    </row>
    <row r="3662" spans="1:3" x14ac:dyDescent="0.25">
      <c r="A3662" t="s">
        <v>10908</v>
      </c>
      <c r="B3662" t="s">
        <v>10909</v>
      </c>
      <c r="C3662" t="s">
        <v>10907</v>
      </c>
    </row>
    <row r="3663" spans="1:3" x14ac:dyDescent="0.25">
      <c r="A3663" t="s">
        <v>10911</v>
      </c>
      <c r="B3663" t="s">
        <v>10912</v>
      </c>
      <c r="C3663" t="s">
        <v>10910</v>
      </c>
    </row>
    <row r="3664" spans="1:3" x14ac:dyDescent="0.25">
      <c r="A3664" t="s">
        <v>10914</v>
      </c>
      <c r="B3664" t="s">
        <v>10915</v>
      </c>
      <c r="C3664" t="s">
        <v>10913</v>
      </c>
    </row>
    <row r="3665" spans="1:3" x14ac:dyDescent="0.25">
      <c r="A3665" t="s">
        <v>10917</v>
      </c>
      <c r="B3665" t="s">
        <v>10918</v>
      </c>
      <c r="C3665" t="s">
        <v>10916</v>
      </c>
    </row>
    <row r="3666" spans="1:3" x14ac:dyDescent="0.25">
      <c r="A3666" t="s">
        <v>10920</v>
      </c>
      <c r="B3666" t="s">
        <v>10921</v>
      </c>
      <c r="C3666" t="s">
        <v>10919</v>
      </c>
    </row>
    <row r="3667" spans="1:3" x14ac:dyDescent="0.25">
      <c r="A3667" t="s">
        <v>10923</v>
      </c>
      <c r="B3667" t="s">
        <v>10924</v>
      </c>
      <c r="C3667" t="s">
        <v>10922</v>
      </c>
    </row>
    <row r="3668" spans="1:3" x14ac:dyDescent="0.25">
      <c r="A3668" t="s">
        <v>10926</v>
      </c>
      <c r="B3668" t="s">
        <v>10927</v>
      </c>
      <c r="C3668" t="s">
        <v>10925</v>
      </c>
    </row>
    <row r="3669" spans="1:3" x14ac:dyDescent="0.25">
      <c r="A3669" t="s">
        <v>10929</v>
      </c>
      <c r="B3669" t="s">
        <v>10930</v>
      </c>
      <c r="C3669" t="s">
        <v>10928</v>
      </c>
    </row>
    <row r="3670" spans="1:3" x14ac:dyDescent="0.25">
      <c r="A3670" t="s">
        <v>10932</v>
      </c>
      <c r="B3670" t="s">
        <v>10933</v>
      </c>
      <c r="C3670" t="s">
        <v>10931</v>
      </c>
    </row>
    <row r="3671" spans="1:3" x14ac:dyDescent="0.25">
      <c r="A3671" t="s">
        <v>10935</v>
      </c>
      <c r="B3671" t="s">
        <v>7649</v>
      </c>
      <c r="C3671" t="s">
        <v>10934</v>
      </c>
    </row>
    <row r="3672" spans="1:3" x14ac:dyDescent="0.25">
      <c r="A3672" t="s">
        <v>10937</v>
      </c>
      <c r="B3672" t="s">
        <v>10938</v>
      </c>
      <c r="C3672" t="s">
        <v>10936</v>
      </c>
    </row>
    <row r="3673" spans="1:3" x14ac:dyDescent="0.25">
      <c r="A3673" t="s">
        <v>10940</v>
      </c>
      <c r="B3673" t="s">
        <v>10941</v>
      </c>
      <c r="C3673" t="s">
        <v>10939</v>
      </c>
    </row>
    <row r="3674" spans="1:3" x14ac:dyDescent="0.25">
      <c r="A3674" t="s">
        <v>10943</v>
      </c>
      <c r="B3674" t="s">
        <v>10944</v>
      </c>
      <c r="C3674" t="s">
        <v>10942</v>
      </c>
    </row>
    <row r="3675" spans="1:3" x14ac:dyDescent="0.25">
      <c r="A3675" t="s">
        <v>10946</v>
      </c>
      <c r="B3675" t="s">
        <v>10947</v>
      </c>
      <c r="C3675" t="s">
        <v>10945</v>
      </c>
    </row>
    <row r="3676" spans="1:3" x14ac:dyDescent="0.25">
      <c r="A3676" t="s">
        <v>10949</v>
      </c>
      <c r="B3676" t="s">
        <v>10950</v>
      </c>
      <c r="C3676" t="s">
        <v>10948</v>
      </c>
    </row>
    <row r="3677" spans="1:3" x14ac:dyDescent="0.25">
      <c r="A3677" t="s">
        <v>10952</v>
      </c>
      <c r="B3677" t="s">
        <v>10953</v>
      </c>
      <c r="C3677" t="s">
        <v>10951</v>
      </c>
    </row>
    <row r="3678" spans="1:3" x14ac:dyDescent="0.25">
      <c r="A3678" t="s">
        <v>10955</v>
      </c>
      <c r="B3678" t="s">
        <v>10956</v>
      </c>
      <c r="C3678" t="s">
        <v>10954</v>
      </c>
    </row>
    <row r="3679" spans="1:3" x14ac:dyDescent="0.25">
      <c r="A3679" t="s">
        <v>10958</v>
      </c>
      <c r="B3679" t="s">
        <v>10959</v>
      </c>
      <c r="C3679" t="s">
        <v>10957</v>
      </c>
    </row>
    <row r="3680" spans="1:3" x14ac:dyDescent="0.25">
      <c r="A3680" t="s">
        <v>10961</v>
      </c>
      <c r="B3680" t="s">
        <v>10962</v>
      </c>
      <c r="C3680" t="s">
        <v>10960</v>
      </c>
    </row>
    <row r="3681" spans="1:3" x14ac:dyDescent="0.25">
      <c r="A3681" t="s">
        <v>10964</v>
      </c>
      <c r="B3681" t="s">
        <v>10965</v>
      </c>
      <c r="C3681" t="s">
        <v>10963</v>
      </c>
    </row>
    <row r="3682" spans="1:3" x14ac:dyDescent="0.25">
      <c r="A3682" t="s">
        <v>10967</v>
      </c>
      <c r="B3682" t="s">
        <v>10968</v>
      </c>
      <c r="C3682" t="s">
        <v>10966</v>
      </c>
    </row>
    <row r="3683" spans="1:3" x14ac:dyDescent="0.25">
      <c r="A3683" t="s">
        <v>10970</v>
      </c>
      <c r="B3683" t="s">
        <v>10971</v>
      </c>
      <c r="C3683" t="s">
        <v>10969</v>
      </c>
    </row>
    <row r="3684" spans="1:3" x14ac:dyDescent="0.25">
      <c r="A3684" t="s">
        <v>10973</v>
      </c>
      <c r="B3684" t="s">
        <v>10974</v>
      </c>
      <c r="C3684" t="s">
        <v>10972</v>
      </c>
    </row>
    <row r="3685" spans="1:3" x14ac:dyDescent="0.25">
      <c r="A3685" t="s">
        <v>10976</v>
      </c>
      <c r="B3685" t="s">
        <v>10977</v>
      </c>
      <c r="C3685" t="s">
        <v>10975</v>
      </c>
    </row>
    <row r="3686" spans="1:3" x14ac:dyDescent="0.25">
      <c r="A3686" t="s">
        <v>10979</v>
      </c>
      <c r="B3686" t="s">
        <v>10980</v>
      </c>
      <c r="C3686" t="s">
        <v>10978</v>
      </c>
    </row>
    <row r="3687" spans="1:3" x14ac:dyDescent="0.25">
      <c r="A3687" t="s">
        <v>10982</v>
      </c>
      <c r="B3687" t="s">
        <v>10983</v>
      </c>
      <c r="C3687" t="s">
        <v>10981</v>
      </c>
    </row>
    <row r="3688" spans="1:3" x14ac:dyDescent="0.25">
      <c r="A3688" t="s">
        <v>10985</v>
      </c>
      <c r="B3688" t="s">
        <v>10986</v>
      </c>
      <c r="C3688" t="s">
        <v>10984</v>
      </c>
    </row>
    <row r="3689" spans="1:3" x14ac:dyDescent="0.25">
      <c r="A3689" t="s">
        <v>10988</v>
      </c>
      <c r="B3689" t="s">
        <v>10989</v>
      </c>
      <c r="C3689" t="s">
        <v>10987</v>
      </c>
    </row>
    <row r="3690" spans="1:3" x14ac:dyDescent="0.25">
      <c r="A3690" t="s">
        <v>10991</v>
      </c>
      <c r="B3690" t="s">
        <v>10992</v>
      </c>
      <c r="C3690" t="s">
        <v>10990</v>
      </c>
    </row>
    <row r="3691" spans="1:3" x14ac:dyDescent="0.25">
      <c r="A3691" t="s">
        <v>10994</v>
      </c>
      <c r="B3691" t="s">
        <v>10995</v>
      </c>
      <c r="C3691" t="s">
        <v>10993</v>
      </c>
    </row>
    <row r="3692" spans="1:3" x14ac:dyDescent="0.25">
      <c r="A3692" t="s">
        <v>10997</v>
      </c>
      <c r="B3692" t="s">
        <v>10998</v>
      </c>
      <c r="C3692" t="s">
        <v>10996</v>
      </c>
    </row>
    <row r="3693" spans="1:3" x14ac:dyDescent="0.25">
      <c r="A3693" t="s">
        <v>11000</v>
      </c>
      <c r="B3693" t="s">
        <v>11001</v>
      </c>
      <c r="C3693" t="s">
        <v>10999</v>
      </c>
    </row>
    <row r="3694" spans="1:3" x14ac:dyDescent="0.25">
      <c r="A3694" t="s">
        <v>11003</v>
      </c>
      <c r="B3694" t="s">
        <v>11004</v>
      </c>
      <c r="C3694" t="s">
        <v>11002</v>
      </c>
    </row>
    <row r="3695" spans="1:3" x14ac:dyDescent="0.25">
      <c r="A3695" t="s">
        <v>11006</v>
      </c>
      <c r="B3695" t="s">
        <v>11007</v>
      </c>
      <c r="C3695" t="s">
        <v>11005</v>
      </c>
    </row>
    <row r="3696" spans="1:3" x14ac:dyDescent="0.25">
      <c r="A3696" t="s">
        <v>11009</v>
      </c>
      <c r="B3696" t="s">
        <v>11010</v>
      </c>
      <c r="C3696" t="s">
        <v>11008</v>
      </c>
    </row>
    <row r="3697" spans="1:3" x14ac:dyDescent="0.25">
      <c r="A3697" t="s">
        <v>11012</v>
      </c>
      <c r="B3697" t="s">
        <v>11013</v>
      </c>
      <c r="C3697" t="s">
        <v>11011</v>
      </c>
    </row>
    <row r="3698" spans="1:3" x14ac:dyDescent="0.25">
      <c r="A3698" t="s">
        <v>11015</v>
      </c>
      <c r="B3698" t="s">
        <v>11016</v>
      </c>
      <c r="C3698" t="s">
        <v>11014</v>
      </c>
    </row>
    <row r="3699" spans="1:3" x14ac:dyDescent="0.25">
      <c r="A3699" t="s">
        <v>11018</v>
      </c>
      <c r="B3699" t="s">
        <v>11019</v>
      </c>
      <c r="C3699" t="s">
        <v>11017</v>
      </c>
    </row>
    <row r="3700" spans="1:3" x14ac:dyDescent="0.25">
      <c r="A3700" t="s">
        <v>11021</v>
      </c>
      <c r="B3700" t="s">
        <v>11022</v>
      </c>
      <c r="C3700" t="s">
        <v>11020</v>
      </c>
    </row>
    <row r="3701" spans="1:3" x14ac:dyDescent="0.25">
      <c r="A3701" t="s">
        <v>11024</v>
      </c>
      <c r="B3701" t="s">
        <v>11025</v>
      </c>
      <c r="C3701" t="s">
        <v>11023</v>
      </c>
    </row>
    <row r="3702" spans="1:3" x14ac:dyDescent="0.25">
      <c r="A3702" t="s">
        <v>11027</v>
      </c>
      <c r="B3702" t="s">
        <v>11028</v>
      </c>
      <c r="C3702" t="s">
        <v>11026</v>
      </c>
    </row>
    <row r="3703" spans="1:3" x14ac:dyDescent="0.25">
      <c r="A3703" t="s">
        <v>11030</v>
      </c>
      <c r="B3703" t="s">
        <v>11031</v>
      </c>
      <c r="C3703" t="s">
        <v>11029</v>
      </c>
    </row>
    <row r="3704" spans="1:3" x14ac:dyDescent="0.25">
      <c r="A3704" t="s">
        <v>11033</v>
      </c>
      <c r="B3704" t="s">
        <v>11034</v>
      </c>
      <c r="C3704" t="s">
        <v>11032</v>
      </c>
    </row>
    <row r="3705" spans="1:3" x14ac:dyDescent="0.25">
      <c r="A3705" t="s">
        <v>11036</v>
      </c>
      <c r="B3705" t="s">
        <v>11037</v>
      </c>
      <c r="C3705" t="s">
        <v>11035</v>
      </c>
    </row>
    <row r="3706" spans="1:3" x14ac:dyDescent="0.25">
      <c r="A3706" t="s">
        <v>11039</v>
      </c>
      <c r="B3706" t="s">
        <v>11040</v>
      </c>
      <c r="C3706" t="s">
        <v>11038</v>
      </c>
    </row>
    <row r="3707" spans="1:3" x14ac:dyDescent="0.25">
      <c r="A3707" t="s">
        <v>11042</v>
      </c>
      <c r="B3707" t="s">
        <v>11043</v>
      </c>
      <c r="C3707" t="s">
        <v>11041</v>
      </c>
    </row>
    <row r="3708" spans="1:3" x14ac:dyDescent="0.25">
      <c r="A3708" t="s">
        <v>11045</v>
      </c>
      <c r="B3708" t="s">
        <v>11046</v>
      </c>
      <c r="C3708" t="s">
        <v>11044</v>
      </c>
    </row>
    <row r="3709" spans="1:3" x14ac:dyDescent="0.25">
      <c r="A3709" t="s">
        <v>11048</v>
      </c>
      <c r="B3709" t="s">
        <v>11049</v>
      </c>
      <c r="C3709" t="s">
        <v>11047</v>
      </c>
    </row>
    <row r="3710" spans="1:3" x14ac:dyDescent="0.25">
      <c r="A3710" t="s">
        <v>11051</v>
      </c>
      <c r="B3710" t="s">
        <v>11052</v>
      </c>
      <c r="C3710" t="s">
        <v>11050</v>
      </c>
    </row>
    <row r="3711" spans="1:3" x14ac:dyDescent="0.25">
      <c r="A3711" t="s">
        <v>11054</v>
      </c>
      <c r="B3711" t="s">
        <v>11055</v>
      </c>
      <c r="C3711" t="s">
        <v>11053</v>
      </c>
    </row>
    <row r="3712" spans="1:3" x14ac:dyDescent="0.25">
      <c r="A3712" t="s">
        <v>11057</v>
      </c>
      <c r="B3712" t="s">
        <v>11058</v>
      </c>
      <c r="C3712" t="s">
        <v>11056</v>
      </c>
    </row>
    <row r="3713" spans="1:3" x14ac:dyDescent="0.25">
      <c r="A3713" t="s">
        <v>11060</v>
      </c>
      <c r="B3713" t="s">
        <v>11061</v>
      </c>
      <c r="C3713" t="s">
        <v>11059</v>
      </c>
    </row>
    <row r="3714" spans="1:3" x14ac:dyDescent="0.25">
      <c r="A3714" t="s">
        <v>11063</v>
      </c>
      <c r="B3714" t="s">
        <v>11064</v>
      </c>
      <c r="C3714" t="s">
        <v>11062</v>
      </c>
    </row>
    <row r="3715" spans="1:3" x14ac:dyDescent="0.25">
      <c r="A3715" t="s">
        <v>11066</v>
      </c>
      <c r="B3715" t="s">
        <v>11067</v>
      </c>
      <c r="C3715" t="s">
        <v>11065</v>
      </c>
    </row>
    <row r="3716" spans="1:3" x14ac:dyDescent="0.25">
      <c r="A3716" t="s">
        <v>11069</v>
      </c>
      <c r="B3716" t="s">
        <v>11070</v>
      </c>
      <c r="C3716" t="s">
        <v>11068</v>
      </c>
    </row>
    <row r="3717" spans="1:3" x14ac:dyDescent="0.25">
      <c r="A3717" t="s">
        <v>11072</v>
      </c>
      <c r="B3717" t="s">
        <v>11073</v>
      </c>
      <c r="C3717" t="s">
        <v>11071</v>
      </c>
    </row>
    <row r="3718" spans="1:3" x14ac:dyDescent="0.25">
      <c r="A3718" t="s">
        <v>11075</v>
      </c>
      <c r="B3718" t="s">
        <v>11076</v>
      </c>
      <c r="C3718" t="s">
        <v>11074</v>
      </c>
    </row>
    <row r="3719" spans="1:3" x14ac:dyDescent="0.25">
      <c r="A3719" t="s">
        <v>11078</v>
      </c>
      <c r="B3719" t="s">
        <v>11079</v>
      </c>
      <c r="C3719" t="s">
        <v>11077</v>
      </c>
    </row>
    <row r="3720" spans="1:3" x14ac:dyDescent="0.25">
      <c r="A3720" t="s">
        <v>11081</v>
      </c>
      <c r="B3720" t="s">
        <v>11082</v>
      </c>
      <c r="C3720" t="s">
        <v>11080</v>
      </c>
    </row>
    <row r="3721" spans="1:3" x14ac:dyDescent="0.25">
      <c r="A3721" t="s">
        <v>11084</v>
      </c>
      <c r="B3721" t="s">
        <v>11085</v>
      </c>
      <c r="C3721" t="s">
        <v>11083</v>
      </c>
    </row>
    <row r="3722" spans="1:3" x14ac:dyDescent="0.25">
      <c r="A3722" t="s">
        <v>11087</v>
      </c>
      <c r="B3722" t="s">
        <v>11088</v>
      </c>
      <c r="C3722" t="s">
        <v>11086</v>
      </c>
    </row>
    <row r="3723" spans="1:3" x14ac:dyDescent="0.25">
      <c r="A3723" t="s">
        <v>11090</v>
      </c>
      <c r="B3723" t="s">
        <v>11091</v>
      </c>
      <c r="C3723" t="s">
        <v>11089</v>
      </c>
    </row>
    <row r="3724" spans="1:3" x14ac:dyDescent="0.25">
      <c r="A3724" t="s">
        <v>11093</v>
      </c>
      <c r="B3724" t="s">
        <v>11094</v>
      </c>
      <c r="C3724" t="s">
        <v>11092</v>
      </c>
    </row>
    <row r="3725" spans="1:3" x14ac:dyDescent="0.25">
      <c r="A3725" t="s">
        <v>11096</v>
      </c>
      <c r="B3725" t="s">
        <v>11097</v>
      </c>
      <c r="C3725" t="s">
        <v>11095</v>
      </c>
    </row>
    <row r="3726" spans="1:3" x14ac:dyDescent="0.25">
      <c r="A3726" t="s">
        <v>11099</v>
      </c>
      <c r="B3726" t="s">
        <v>11100</v>
      </c>
      <c r="C3726" t="s">
        <v>11098</v>
      </c>
    </row>
    <row r="3727" spans="1:3" x14ac:dyDescent="0.25">
      <c r="A3727" t="s">
        <v>11102</v>
      </c>
      <c r="B3727" t="s">
        <v>11103</v>
      </c>
      <c r="C3727" t="s">
        <v>11101</v>
      </c>
    </row>
    <row r="3728" spans="1:3" x14ac:dyDescent="0.25">
      <c r="A3728" t="s">
        <v>11105</v>
      </c>
      <c r="B3728" t="s">
        <v>11106</v>
      </c>
      <c r="C3728" t="s">
        <v>11104</v>
      </c>
    </row>
    <row r="3729" spans="1:3" x14ac:dyDescent="0.25">
      <c r="A3729" t="s">
        <v>11108</v>
      </c>
      <c r="B3729" t="s">
        <v>11109</v>
      </c>
      <c r="C3729" t="s">
        <v>11107</v>
      </c>
    </row>
    <row r="3730" spans="1:3" x14ac:dyDescent="0.25">
      <c r="A3730" t="s">
        <v>11111</v>
      </c>
      <c r="B3730" t="s">
        <v>11112</v>
      </c>
      <c r="C3730" t="s">
        <v>11110</v>
      </c>
    </row>
    <row r="3731" spans="1:3" x14ac:dyDescent="0.25">
      <c r="A3731" t="s">
        <v>11114</v>
      </c>
      <c r="B3731" t="s">
        <v>11115</v>
      </c>
      <c r="C3731" t="s">
        <v>11113</v>
      </c>
    </row>
    <row r="3732" spans="1:3" x14ac:dyDescent="0.25">
      <c r="A3732" t="s">
        <v>11117</v>
      </c>
      <c r="B3732" t="s">
        <v>11118</v>
      </c>
      <c r="C3732" t="s">
        <v>11116</v>
      </c>
    </row>
    <row r="3733" spans="1:3" x14ac:dyDescent="0.25">
      <c r="A3733" t="s">
        <v>11120</v>
      </c>
      <c r="B3733" t="s">
        <v>11121</v>
      </c>
      <c r="C3733" t="s">
        <v>11119</v>
      </c>
    </row>
    <row r="3734" spans="1:3" x14ac:dyDescent="0.25">
      <c r="A3734" t="s">
        <v>11123</v>
      </c>
      <c r="B3734" t="s">
        <v>11124</v>
      </c>
      <c r="C3734" t="s">
        <v>11122</v>
      </c>
    </row>
    <row r="3735" spans="1:3" x14ac:dyDescent="0.25">
      <c r="A3735" t="s">
        <v>11126</v>
      </c>
      <c r="B3735" t="s">
        <v>11127</v>
      </c>
      <c r="C3735" t="s">
        <v>11125</v>
      </c>
    </row>
    <row r="3736" spans="1:3" x14ac:dyDescent="0.25">
      <c r="A3736" t="s">
        <v>11129</v>
      </c>
      <c r="B3736" t="s">
        <v>11130</v>
      </c>
      <c r="C3736" t="s">
        <v>11128</v>
      </c>
    </row>
    <row r="3737" spans="1:3" x14ac:dyDescent="0.25">
      <c r="A3737" t="s">
        <v>11132</v>
      </c>
      <c r="B3737" t="s">
        <v>11133</v>
      </c>
      <c r="C3737" t="s">
        <v>11131</v>
      </c>
    </row>
    <row r="3738" spans="1:3" x14ac:dyDescent="0.25">
      <c r="A3738" t="s">
        <v>11135</v>
      </c>
      <c r="B3738" t="s">
        <v>11136</v>
      </c>
      <c r="C3738" t="s">
        <v>11134</v>
      </c>
    </row>
    <row r="3739" spans="1:3" x14ac:dyDescent="0.25">
      <c r="A3739" t="s">
        <v>11138</v>
      </c>
      <c r="B3739" t="s">
        <v>11139</v>
      </c>
      <c r="C3739" t="s">
        <v>11137</v>
      </c>
    </row>
    <row r="3740" spans="1:3" x14ac:dyDescent="0.25">
      <c r="A3740" t="s">
        <v>11141</v>
      </c>
      <c r="B3740" t="s">
        <v>11142</v>
      </c>
      <c r="C3740" t="s">
        <v>11140</v>
      </c>
    </row>
    <row r="3741" spans="1:3" x14ac:dyDescent="0.25">
      <c r="A3741" t="s">
        <v>11144</v>
      </c>
      <c r="B3741" t="s">
        <v>9845</v>
      </c>
      <c r="C3741" t="s">
        <v>11143</v>
      </c>
    </row>
    <row r="3742" spans="1:3" x14ac:dyDescent="0.25">
      <c r="A3742" t="s">
        <v>11146</v>
      </c>
      <c r="B3742" t="s">
        <v>9848</v>
      </c>
      <c r="C3742" t="s">
        <v>11145</v>
      </c>
    </row>
    <row r="3743" spans="1:3" x14ac:dyDescent="0.25">
      <c r="A3743" t="s">
        <v>11148</v>
      </c>
      <c r="B3743" t="s">
        <v>9851</v>
      </c>
      <c r="C3743" t="s">
        <v>11147</v>
      </c>
    </row>
    <row r="3744" spans="1:3" x14ac:dyDescent="0.25">
      <c r="A3744" t="s">
        <v>11150</v>
      </c>
      <c r="B3744" t="s">
        <v>11151</v>
      </c>
      <c r="C3744" t="s">
        <v>11149</v>
      </c>
    </row>
    <row r="3745" spans="1:3" x14ac:dyDescent="0.25">
      <c r="A3745" t="s">
        <v>11153</v>
      </c>
      <c r="B3745" t="s">
        <v>11154</v>
      </c>
      <c r="C3745" t="s">
        <v>11152</v>
      </c>
    </row>
    <row r="3746" spans="1:3" x14ac:dyDescent="0.25">
      <c r="A3746" t="s">
        <v>11156</v>
      </c>
      <c r="B3746" t="s">
        <v>11157</v>
      </c>
      <c r="C3746" t="s">
        <v>11155</v>
      </c>
    </row>
    <row r="3747" spans="1:3" x14ac:dyDescent="0.25">
      <c r="A3747" t="s">
        <v>11159</v>
      </c>
      <c r="B3747" t="s">
        <v>11160</v>
      </c>
      <c r="C3747" t="s">
        <v>11158</v>
      </c>
    </row>
    <row r="3748" spans="1:3" x14ac:dyDescent="0.25">
      <c r="A3748" t="s">
        <v>11162</v>
      </c>
      <c r="B3748" t="s">
        <v>11163</v>
      </c>
      <c r="C3748" t="s">
        <v>11161</v>
      </c>
    </row>
    <row r="3749" spans="1:3" x14ac:dyDescent="0.25">
      <c r="A3749" t="s">
        <v>11165</v>
      </c>
      <c r="B3749" t="s">
        <v>11166</v>
      </c>
      <c r="C3749" t="s">
        <v>11164</v>
      </c>
    </row>
    <row r="3750" spans="1:3" x14ac:dyDescent="0.25">
      <c r="A3750" t="s">
        <v>11168</v>
      </c>
      <c r="B3750" t="s">
        <v>11169</v>
      </c>
      <c r="C3750" t="s">
        <v>11167</v>
      </c>
    </row>
    <row r="3751" spans="1:3" x14ac:dyDescent="0.25">
      <c r="A3751" t="s">
        <v>11171</v>
      </c>
      <c r="B3751" t="s">
        <v>11172</v>
      </c>
      <c r="C3751" t="s">
        <v>11170</v>
      </c>
    </row>
    <row r="3752" spans="1:3" x14ac:dyDescent="0.25">
      <c r="A3752" t="s">
        <v>11174</v>
      </c>
      <c r="B3752" t="s">
        <v>11175</v>
      </c>
      <c r="C3752" t="s">
        <v>11173</v>
      </c>
    </row>
    <row r="3753" spans="1:3" x14ac:dyDescent="0.25">
      <c r="A3753" t="s">
        <v>11177</v>
      </c>
      <c r="B3753" t="s">
        <v>11178</v>
      </c>
      <c r="C3753" t="s">
        <v>11176</v>
      </c>
    </row>
    <row r="3754" spans="1:3" x14ac:dyDescent="0.25">
      <c r="A3754" t="s">
        <v>11180</v>
      </c>
      <c r="B3754" t="s">
        <v>11181</v>
      </c>
      <c r="C3754" t="s">
        <v>11179</v>
      </c>
    </row>
    <row r="3755" spans="1:3" x14ac:dyDescent="0.25">
      <c r="A3755" t="s">
        <v>11183</v>
      </c>
      <c r="B3755" t="s">
        <v>11184</v>
      </c>
      <c r="C3755" t="s">
        <v>11182</v>
      </c>
    </row>
    <row r="3756" spans="1:3" x14ac:dyDescent="0.25">
      <c r="A3756" t="s">
        <v>11186</v>
      </c>
      <c r="B3756" t="s">
        <v>11187</v>
      </c>
      <c r="C3756" t="s">
        <v>11185</v>
      </c>
    </row>
    <row r="3757" spans="1:3" x14ac:dyDescent="0.25">
      <c r="A3757" t="s">
        <v>11189</v>
      </c>
      <c r="B3757" t="s">
        <v>11190</v>
      </c>
      <c r="C3757" t="s">
        <v>11188</v>
      </c>
    </row>
    <row r="3758" spans="1:3" x14ac:dyDescent="0.25">
      <c r="A3758" t="s">
        <v>11192</v>
      </c>
      <c r="B3758" t="s">
        <v>11193</v>
      </c>
      <c r="C3758" t="s">
        <v>11191</v>
      </c>
    </row>
    <row r="3759" spans="1:3" x14ac:dyDescent="0.25">
      <c r="A3759" t="s">
        <v>11195</v>
      </c>
      <c r="B3759" t="s">
        <v>11196</v>
      </c>
      <c r="C3759" t="s">
        <v>11194</v>
      </c>
    </row>
    <row r="3760" spans="1:3" x14ac:dyDescent="0.25">
      <c r="A3760" t="s">
        <v>11198</v>
      </c>
      <c r="B3760" t="s">
        <v>11199</v>
      </c>
      <c r="C3760" t="s">
        <v>11197</v>
      </c>
    </row>
    <row r="3761" spans="1:3" x14ac:dyDescent="0.25">
      <c r="A3761" t="s">
        <v>11201</v>
      </c>
      <c r="B3761" t="s">
        <v>11202</v>
      </c>
      <c r="C3761" t="s">
        <v>11200</v>
      </c>
    </row>
    <row r="3762" spans="1:3" x14ac:dyDescent="0.25">
      <c r="A3762" t="s">
        <v>11204</v>
      </c>
      <c r="B3762" t="s">
        <v>11205</v>
      </c>
      <c r="C3762" t="s">
        <v>11203</v>
      </c>
    </row>
    <row r="3763" spans="1:3" x14ac:dyDescent="0.25">
      <c r="A3763" t="s">
        <v>11207</v>
      </c>
      <c r="B3763" t="s">
        <v>11208</v>
      </c>
      <c r="C3763" t="s">
        <v>11206</v>
      </c>
    </row>
    <row r="3764" spans="1:3" x14ac:dyDescent="0.25">
      <c r="A3764" t="s">
        <v>11210</v>
      </c>
      <c r="B3764" t="s">
        <v>11211</v>
      </c>
      <c r="C3764" t="s">
        <v>11209</v>
      </c>
    </row>
    <row r="3765" spans="1:3" x14ac:dyDescent="0.25">
      <c r="A3765" t="s">
        <v>11213</v>
      </c>
      <c r="B3765" t="s">
        <v>11214</v>
      </c>
      <c r="C3765" t="s">
        <v>11212</v>
      </c>
    </row>
    <row r="3766" spans="1:3" x14ac:dyDescent="0.25">
      <c r="A3766" t="s">
        <v>11216</v>
      </c>
      <c r="B3766" t="s">
        <v>11217</v>
      </c>
      <c r="C3766" t="s">
        <v>11215</v>
      </c>
    </row>
    <row r="3767" spans="1:3" x14ac:dyDescent="0.25">
      <c r="A3767" t="s">
        <v>11219</v>
      </c>
      <c r="B3767" t="s">
        <v>11220</v>
      </c>
      <c r="C3767" t="s">
        <v>11218</v>
      </c>
    </row>
    <row r="3768" spans="1:3" x14ac:dyDescent="0.25">
      <c r="A3768" t="s">
        <v>11222</v>
      </c>
      <c r="B3768" t="s">
        <v>11223</v>
      </c>
      <c r="C3768" t="s">
        <v>11221</v>
      </c>
    </row>
    <row r="3769" spans="1:3" x14ac:dyDescent="0.25">
      <c r="A3769" t="s">
        <v>11225</v>
      </c>
      <c r="B3769" t="s">
        <v>11226</v>
      </c>
      <c r="C3769" t="s">
        <v>11224</v>
      </c>
    </row>
    <row r="3770" spans="1:3" x14ac:dyDescent="0.25">
      <c r="A3770" t="s">
        <v>11228</v>
      </c>
      <c r="B3770" t="s">
        <v>11229</v>
      </c>
      <c r="C3770" t="s">
        <v>11227</v>
      </c>
    </row>
    <row r="3771" spans="1:3" x14ac:dyDescent="0.25">
      <c r="A3771" t="s">
        <v>11231</v>
      </c>
      <c r="B3771" t="s">
        <v>11232</v>
      </c>
      <c r="C3771" t="s">
        <v>11230</v>
      </c>
    </row>
    <row r="3772" spans="1:3" x14ac:dyDescent="0.25">
      <c r="A3772" t="s">
        <v>11234</v>
      </c>
      <c r="B3772" t="s">
        <v>11235</v>
      </c>
      <c r="C3772" t="s">
        <v>11233</v>
      </c>
    </row>
    <row r="3773" spans="1:3" x14ac:dyDescent="0.25">
      <c r="A3773" t="s">
        <v>11237</v>
      </c>
      <c r="B3773" t="s">
        <v>11238</v>
      </c>
      <c r="C3773" t="s">
        <v>11236</v>
      </c>
    </row>
    <row r="3774" spans="1:3" x14ac:dyDescent="0.25">
      <c r="A3774" t="s">
        <v>11240</v>
      </c>
      <c r="B3774" t="s">
        <v>11241</v>
      </c>
      <c r="C3774" t="s">
        <v>11239</v>
      </c>
    </row>
    <row r="3775" spans="1:3" x14ac:dyDescent="0.25">
      <c r="A3775" t="s">
        <v>11243</v>
      </c>
      <c r="B3775" t="s">
        <v>10822</v>
      </c>
      <c r="C3775" t="s">
        <v>11242</v>
      </c>
    </row>
    <row r="3776" spans="1:3" x14ac:dyDescent="0.25">
      <c r="A3776" t="s">
        <v>11245</v>
      </c>
      <c r="B3776" t="s">
        <v>11246</v>
      </c>
      <c r="C3776" t="s">
        <v>11244</v>
      </c>
    </row>
    <row r="3777" spans="1:3" x14ac:dyDescent="0.25">
      <c r="A3777" t="s">
        <v>11248</v>
      </c>
      <c r="B3777" t="s">
        <v>11249</v>
      </c>
      <c r="C3777" t="s">
        <v>11247</v>
      </c>
    </row>
    <row r="3778" spans="1:3" x14ac:dyDescent="0.25">
      <c r="A3778" t="s">
        <v>11251</v>
      </c>
      <c r="B3778" t="s">
        <v>11252</v>
      </c>
      <c r="C3778" t="s">
        <v>11250</v>
      </c>
    </row>
    <row r="3779" spans="1:3" x14ac:dyDescent="0.25">
      <c r="A3779" t="s">
        <v>11254</v>
      </c>
      <c r="B3779" t="s">
        <v>11255</v>
      </c>
      <c r="C3779" t="s">
        <v>11253</v>
      </c>
    </row>
    <row r="3780" spans="1:3" x14ac:dyDescent="0.25">
      <c r="A3780" t="s">
        <v>11257</v>
      </c>
      <c r="B3780" t="s">
        <v>11258</v>
      </c>
      <c r="C3780" t="s">
        <v>11256</v>
      </c>
    </row>
    <row r="3781" spans="1:3" x14ac:dyDescent="0.25">
      <c r="A3781" t="s">
        <v>11260</v>
      </c>
      <c r="B3781" t="s">
        <v>11261</v>
      </c>
      <c r="C3781" t="s">
        <v>11259</v>
      </c>
    </row>
    <row r="3782" spans="1:3" x14ac:dyDescent="0.25">
      <c r="A3782" t="s">
        <v>11263</v>
      </c>
      <c r="B3782" t="s">
        <v>11264</v>
      </c>
      <c r="C3782" t="s">
        <v>11262</v>
      </c>
    </row>
    <row r="3783" spans="1:3" x14ac:dyDescent="0.25">
      <c r="A3783" t="s">
        <v>11266</v>
      </c>
      <c r="B3783" t="s">
        <v>11267</v>
      </c>
      <c r="C3783" t="s">
        <v>11265</v>
      </c>
    </row>
    <row r="3784" spans="1:3" x14ac:dyDescent="0.25">
      <c r="A3784" t="s">
        <v>11269</v>
      </c>
      <c r="B3784" t="s">
        <v>11270</v>
      </c>
      <c r="C3784" t="s">
        <v>11268</v>
      </c>
    </row>
    <row r="3785" spans="1:3" x14ac:dyDescent="0.25">
      <c r="A3785" t="s">
        <v>11272</v>
      </c>
      <c r="B3785" t="s">
        <v>11273</v>
      </c>
      <c r="C3785" t="s">
        <v>11271</v>
      </c>
    </row>
    <row r="3786" spans="1:3" x14ac:dyDescent="0.25">
      <c r="A3786" t="s">
        <v>11275</v>
      </c>
      <c r="B3786" t="s">
        <v>11276</v>
      </c>
      <c r="C3786" t="s">
        <v>11274</v>
      </c>
    </row>
    <row r="3787" spans="1:3" x14ac:dyDescent="0.25">
      <c r="A3787" t="s">
        <v>11278</v>
      </c>
      <c r="B3787" t="s">
        <v>11279</v>
      </c>
      <c r="C3787" t="s">
        <v>11277</v>
      </c>
    </row>
    <row r="3788" spans="1:3" x14ac:dyDescent="0.25">
      <c r="A3788" t="s">
        <v>11281</v>
      </c>
      <c r="B3788" t="s">
        <v>11282</v>
      </c>
      <c r="C3788" t="s">
        <v>11280</v>
      </c>
    </row>
    <row r="3789" spans="1:3" x14ac:dyDescent="0.25">
      <c r="A3789" t="s">
        <v>11284</v>
      </c>
      <c r="B3789" t="s">
        <v>11285</v>
      </c>
      <c r="C3789" t="s">
        <v>11283</v>
      </c>
    </row>
    <row r="3790" spans="1:3" x14ac:dyDescent="0.25">
      <c r="A3790" t="s">
        <v>11287</v>
      </c>
      <c r="B3790" t="s">
        <v>11288</v>
      </c>
      <c r="C3790" t="s">
        <v>11286</v>
      </c>
    </row>
    <row r="3791" spans="1:3" x14ac:dyDescent="0.25">
      <c r="A3791" t="s">
        <v>11290</v>
      </c>
      <c r="B3791" t="s">
        <v>11291</v>
      </c>
      <c r="C3791" t="s">
        <v>11289</v>
      </c>
    </row>
    <row r="3792" spans="1:3" x14ac:dyDescent="0.25">
      <c r="A3792" t="s">
        <v>11293</v>
      </c>
      <c r="B3792" t="s">
        <v>11294</v>
      </c>
      <c r="C3792" t="s">
        <v>11292</v>
      </c>
    </row>
    <row r="3793" spans="1:3" x14ac:dyDescent="0.25">
      <c r="A3793" t="s">
        <v>11296</v>
      </c>
      <c r="B3793" t="s">
        <v>11297</v>
      </c>
      <c r="C3793" t="s">
        <v>11295</v>
      </c>
    </row>
    <row r="3794" spans="1:3" x14ac:dyDescent="0.25">
      <c r="A3794" t="s">
        <v>11299</v>
      </c>
      <c r="B3794" t="s">
        <v>11300</v>
      </c>
      <c r="C3794" t="s">
        <v>11298</v>
      </c>
    </row>
    <row r="3795" spans="1:3" x14ac:dyDescent="0.25">
      <c r="A3795" t="s">
        <v>11302</v>
      </c>
      <c r="B3795" t="s">
        <v>11303</v>
      </c>
      <c r="C3795" t="s">
        <v>11301</v>
      </c>
    </row>
    <row r="3796" spans="1:3" x14ac:dyDescent="0.25">
      <c r="A3796" t="s">
        <v>11305</v>
      </c>
      <c r="B3796" t="s">
        <v>11306</v>
      </c>
      <c r="C3796" t="s">
        <v>11304</v>
      </c>
    </row>
    <row r="3797" spans="1:3" x14ac:dyDescent="0.25">
      <c r="A3797" t="s">
        <v>11308</v>
      </c>
      <c r="B3797" t="s">
        <v>11309</v>
      </c>
      <c r="C3797" t="s">
        <v>11307</v>
      </c>
    </row>
    <row r="3798" spans="1:3" x14ac:dyDescent="0.25">
      <c r="A3798" t="s">
        <v>11311</v>
      </c>
      <c r="B3798" t="s">
        <v>11312</v>
      </c>
      <c r="C3798" t="s">
        <v>11310</v>
      </c>
    </row>
    <row r="3799" spans="1:3" x14ac:dyDescent="0.25">
      <c r="A3799" t="s">
        <v>11314</v>
      </c>
      <c r="B3799" t="s">
        <v>11315</v>
      </c>
      <c r="C3799" t="s">
        <v>11313</v>
      </c>
    </row>
    <row r="3800" spans="1:3" x14ac:dyDescent="0.25">
      <c r="A3800" t="s">
        <v>11317</v>
      </c>
      <c r="B3800" t="s">
        <v>11318</v>
      </c>
      <c r="C3800" t="s">
        <v>11316</v>
      </c>
    </row>
    <row r="3801" spans="1:3" x14ac:dyDescent="0.25">
      <c r="A3801" t="s">
        <v>11320</v>
      </c>
      <c r="B3801" t="s">
        <v>11321</v>
      </c>
      <c r="C3801" t="s">
        <v>11319</v>
      </c>
    </row>
    <row r="3802" spans="1:3" x14ac:dyDescent="0.25">
      <c r="A3802" t="s">
        <v>11323</v>
      </c>
      <c r="B3802" t="s">
        <v>11324</v>
      </c>
      <c r="C3802" t="s">
        <v>11322</v>
      </c>
    </row>
    <row r="3803" spans="1:3" x14ac:dyDescent="0.25">
      <c r="A3803" t="s">
        <v>11326</v>
      </c>
      <c r="B3803" t="s">
        <v>11327</v>
      </c>
      <c r="C3803" t="s">
        <v>11325</v>
      </c>
    </row>
    <row r="3804" spans="1:3" x14ac:dyDescent="0.25">
      <c r="A3804" t="s">
        <v>11329</v>
      </c>
      <c r="B3804" t="s">
        <v>11330</v>
      </c>
      <c r="C3804" t="s">
        <v>11328</v>
      </c>
    </row>
    <row r="3805" spans="1:3" x14ac:dyDescent="0.25">
      <c r="A3805" t="s">
        <v>11332</v>
      </c>
      <c r="B3805" t="s">
        <v>11333</v>
      </c>
      <c r="C3805" t="s">
        <v>11331</v>
      </c>
    </row>
    <row r="3806" spans="1:3" x14ac:dyDescent="0.25">
      <c r="A3806" t="s">
        <v>11335</v>
      </c>
      <c r="B3806" t="s">
        <v>11336</v>
      </c>
      <c r="C3806" t="s">
        <v>11334</v>
      </c>
    </row>
    <row r="3807" spans="1:3" x14ac:dyDescent="0.25">
      <c r="A3807" t="s">
        <v>11337</v>
      </c>
      <c r="B3807" t="s">
        <v>11338</v>
      </c>
      <c r="C3807" t="s">
        <v>11286</v>
      </c>
    </row>
    <row r="3808" spans="1:3" x14ac:dyDescent="0.25">
      <c r="A3808" t="s">
        <v>11340</v>
      </c>
      <c r="B3808" t="s">
        <v>11341</v>
      </c>
      <c r="C3808" t="s">
        <v>11339</v>
      </c>
    </row>
    <row r="3809" spans="1:3" x14ac:dyDescent="0.25">
      <c r="A3809" t="s">
        <v>11343</v>
      </c>
      <c r="B3809" t="s">
        <v>11344</v>
      </c>
      <c r="C3809" t="s">
        <v>11342</v>
      </c>
    </row>
    <row r="3810" spans="1:3" x14ac:dyDescent="0.25">
      <c r="A3810" t="s">
        <v>11345</v>
      </c>
      <c r="B3810" t="s">
        <v>11346</v>
      </c>
      <c r="C3810" t="s">
        <v>3067</v>
      </c>
    </row>
    <row r="3811" spans="1:3" x14ac:dyDescent="0.25">
      <c r="A3811" t="s">
        <v>11348</v>
      </c>
      <c r="B3811" t="s">
        <v>9072</v>
      </c>
      <c r="C3811" t="s">
        <v>11347</v>
      </c>
    </row>
    <row r="3812" spans="1:3" x14ac:dyDescent="0.25">
      <c r="A3812" t="s">
        <v>11350</v>
      </c>
      <c r="B3812" t="s">
        <v>11351</v>
      </c>
      <c r="C3812" t="s">
        <v>11349</v>
      </c>
    </row>
    <row r="3813" spans="1:3" x14ac:dyDescent="0.25">
      <c r="A3813" t="s">
        <v>11353</v>
      </c>
      <c r="B3813" t="s">
        <v>11354</v>
      </c>
      <c r="C3813" t="s">
        <v>11352</v>
      </c>
    </row>
    <row r="3814" spans="1:3" x14ac:dyDescent="0.25">
      <c r="A3814" t="s">
        <v>11356</v>
      </c>
      <c r="B3814" t="s">
        <v>11357</v>
      </c>
      <c r="C3814" t="s">
        <v>11355</v>
      </c>
    </row>
    <row r="3815" spans="1:3" x14ac:dyDescent="0.25">
      <c r="A3815" t="s">
        <v>11359</v>
      </c>
      <c r="B3815" t="s">
        <v>11360</v>
      </c>
      <c r="C3815" t="s">
        <v>11358</v>
      </c>
    </row>
    <row r="3816" spans="1:3" x14ac:dyDescent="0.25">
      <c r="A3816" t="s">
        <v>11362</v>
      </c>
      <c r="B3816" t="s">
        <v>11363</v>
      </c>
      <c r="C3816" t="s">
        <v>11361</v>
      </c>
    </row>
    <row r="3817" spans="1:3" x14ac:dyDescent="0.25">
      <c r="A3817" t="s">
        <v>11365</v>
      </c>
      <c r="B3817" t="s">
        <v>11366</v>
      </c>
      <c r="C3817" t="s">
        <v>11364</v>
      </c>
    </row>
    <row r="3818" spans="1:3" x14ac:dyDescent="0.25">
      <c r="A3818" t="s">
        <v>11368</v>
      </c>
      <c r="B3818" t="s">
        <v>11369</v>
      </c>
      <c r="C3818" t="s">
        <v>11367</v>
      </c>
    </row>
    <row r="3819" spans="1:3" x14ac:dyDescent="0.25">
      <c r="A3819" t="s">
        <v>11371</v>
      </c>
      <c r="B3819" t="s">
        <v>11372</v>
      </c>
      <c r="C3819" t="s">
        <v>11370</v>
      </c>
    </row>
    <row r="3820" spans="1:3" x14ac:dyDescent="0.25">
      <c r="A3820" t="s">
        <v>11374</v>
      </c>
      <c r="B3820" t="s">
        <v>11375</v>
      </c>
      <c r="C3820" t="s">
        <v>11373</v>
      </c>
    </row>
    <row r="3821" spans="1:3" x14ac:dyDescent="0.25">
      <c r="A3821" t="s">
        <v>11377</v>
      </c>
      <c r="B3821" t="s">
        <v>11378</v>
      </c>
      <c r="C3821" t="s">
        <v>11376</v>
      </c>
    </row>
    <row r="3822" spans="1:3" x14ac:dyDescent="0.25">
      <c r="A3822" t="s">
        <v>11380</v>
      </c>
      <c r="B3822" t="s">
        <v>11381</v>
      </c>
      <c r="C3822" t="s">
        <v>11379</v>
      </c>
    </row>
    <row r="3823" spans="1:3" x14ac:dyDescent="0.25">
      <c r="A3823" t="s">
        <v>11383</v>
      </c>
      <c r="B3823" t="s">
        <v>10728</v>
      </c>
      <c r="C3823" t="s">
        <v>11382</v>
      </c>
    </row>
    <row r="3824" spans="1:3" x14ac:dyDescent="0.25">
      <c r="A3824" t="s">
        <v>11385</v>
      </c>
      <c r="B3824" t="s">
        <v>11386</v>
      </c>
      <c r="C3824" t="s">
        <v>11384</v>
      </c>
    </row>
    <row r="3825" spans="1:3" x14ac:dyDescent="0.25">
      <c r="A3825" t="s">
        <v>11388</v>
      </c>
      <c r="B3825" t="s">
        <v>11389</v>
      </c>
      <c r="C3825" t="s">
        <v>11387</v>
      </c>
    </row>
    <row r="3826" spans="1:3" x14ac:dyDescent="0.25">
      <c r="A3826" t="s">
        <v>11391</v>
      </c>
      <c r="B3826" t="s">
        <v>11392</v>
      </c>
      <c r="C3826" t="s">
        <v>11390</v>
      </c>
    </row>
    <row r="3827" spans="1:3" x14ac:dyDescent="0.25">
      <c r="A3827" t="s">
        <v>11394</v>
      </c>
      <c r="B3827" t="s">
        <v>11395</v>
      </c>
      <c r="C3827" t="s">
        <v>11393</v>
      </c>
    </row>
    <row r="3828" spans="1:3" x14ac:dyDescent="0.25">
      <c r="A3828" t="s">
        <v>11397</v>
      </c>
      <c r="B3828" t="s">
        <v>11398</v>
      </c>
      <c r="C3828" t="s">
        <v>11396</v>
      </c>
    </row>
    <row r="3829" spans="1:3" x14ac:dyDescent="0.25">
      <c r="A3829" t="s">
        <v>11400</v>
      </c>
      <c r="B3829" t="s">
        <v>11401</v>
      </c>
      <c r="C3829" t="s">
        <v>11399</v>
      </c>
    </row>
    <row r="3830" spans="1:3" x14ac:dyDescent="0.25">
      <c r="A3830" t="s">
        <v>11403</v>
      </c>
      <c r="B3830" t="s">
        <v>11404</v>
      </c>
      <c r="C3830" t="s">
        <v>11402</v>
      </c>
    </row>
    <row r="3831" spans="1:3" x14ac:dyDescent="0.25">
      <c r="A3831" t="s">
        <v>11406</v>
      </c>
      <c r="B3831" t="s">
        <v>11407</v>
      </c>
      <c r="C3831" t="s">
        <v>11405</v>
      </c>
    </row>
    <row r="3832" spans="1:3" x14ac:dyDescent="0.25">
      <c r="A3832" t="s">
        <v>11409</v>
      </c>
      <c r="B3832" t="s">
        <v>11410</v>
      </c>
      <c r="C3832" t="s">
        <v>11408</v>
      </c>
    </row>
    <row r="3833" spans="1:3" x14ac:dyDescent="0.25">
      <c r="A3833" t="s">
        <v>11412</v>
      </c>
      <c r="B3833" t="s">
        <v>11413</v>
      </c>
      <c r="C3833" t="s">
        <v>11411</v>
      </c>
    </row>
    <row r="3834" spans="1:3" x14ac:dyDescent="0.25">
      <c r="A3834" t="s">
        <v>11415</v>
      </c>
      <c r="B3834" t="s">
        <v>11416</v>
      </c>
      <c r="C3834" t="s">
        <v>11414</v>
      </c>
    </row>
    <row r="3835" spans="1:3" x14ac:dyDescent="0.25">
      <c r="A3835" t="s">
        <v>11418</v>
      </c>
      <c r="B3835" t="s">
        <v>11419</v>
      </c>
      <c r="C3835" t="s">
        <v>11417</v>
      </c>
    </row>
    <row r="3836" spans="1:3" x14ac:dyDescent="0.25">
      <c r="A3836" t="s">
        <v>11421</v>
      </c>
      <c r="B3836" t="s">
        <v>11422</v>
      </c>
      <c r="C3836" t="s">
        <v>11420</v>
      </c>
    </row>
    <row r="3837" spans="1:3" x14ac:dyDescent="0.25">
      <c r="A3837" t="s">
        <v>11424</v>
      </c>
      <c r="B3837" t="s">
        <v>11425</v>
      </c>
      <c r="C3837" t="s">
        <v>11423</v>
      </c>
    </row>
    <row r="3838" spans="1:3" x14ac:dyDescent="0.25">
      <c r="A3838" t="s">
        <v>11427</v>
      </c>
      <c r="B3838" t="s">
        <v>11428</v>
      </c>
      <c r="C3838" t="s">
        <v>11426</v>
      </c>
    </row>
    <row r="3839" spans="1:3" x14ac:dyDescent="0.25">
      <c r="A3839" t="s">
        <v>11430</v>
      </c>
      <c r="B3839" t="s">
        <v>11431</v>
      </c>
      <c r="C3839" t="s">
        <v>11429</v>
      </c>
    </row>
    <row r="3840" spans="1:3" x14ac:dyDescent="0.25">
      <c r="A3840" t="s">
        <v>11433</v>
      </c>
      <c r="B3840" t="s">
        <v>11431</v>
      </c>
      <c r="C3840" t="s">
        <v>11432</v>
      </c>
    </row>
    <row r="3841" spans="1:3" x14ac:dyDescent="0.25">
      <c r="A3841" t="s">
        <v>11435</v>
      </c>
      <c r="B3841" t="s">
        <v>11436</v>
      </c>
      <c r="C3841" t="s">
        <v>11434</v>
      </c>
    </row>
    <row r="3842" spans="1:3" x14ac:dyDescent="0.25">
      <c r="A3842" t="s">
        <v>11438</v>
      </c>
      <c r="B3842" t="s">
        <v>11439</v>
      </c>
      <c r="C3842" t="s">
        <v>11437</v>
      </c>
    </row>
    <row r="3843" spans="1:3" x14ac:dyDescent="0.25">
      <c r="A3843" t="s">
        <v>11441</v>
      </c>
      <c r="B3843" t="s">
        <v>11442</v>
      </c>
      <c r="C3843" t="s">
        <v>11440</v>
      </c>
    </row>
    <row r="3844" spans="1:3" x14ac:dyDescent="0.25">
      <c r="A3844" t="s">
        <v>11444</v>
      </c>
      <c r="B3844" t="s">
        <v>11445</v>
      </c>
      <c r="C3844" t="s">
        <v>11443</v>
      </c>
    </row>
    <row r="3845" spans="1:3" x14ac:dyDescent="0.25">
      <c r="A3845" t="s">
        <v>11447</v>
      </c>
      <c r="B3845" t="s">
        <v>11193</v>
      </c>
      <c r="C3845" t="s">
        <v>11446</v>
      </c>
    </row>
    <row r="3846" spans="1:3" x14ac:dyDescent="0.25">
      <c r="A3846" t="s">
        <v>11449</v>
      </c>
      <c r="B3846" t="s">
        <v>11450</v>
      </c>
      <c r="C3846" t="s">
        <v>11448</v>
      </c>
    </row>
    <row r="3847" spans="1:3" x14ac:dyDescent="0.25">
      <c r="A3847" t="s">
        <v>11452</v>
      </c>
      <c r="B3847" t="s">
        <v>11453</v>
      </c>
      <c r="C3847" t="s">
        <v>11451</v>
      </c>
    </row>
    <row r="3848" spans="1:3" x14ac:dyDescent="0.25">
      <c r="A3848" t="s">
        <v>11455</v>
      </c>
      <c r="B3848" t="s">
        <v>11456</v>
      </c>
      <c r="C3848" t="s">
        <v>11454</v>
      </c>
    </row>
    <row r="3849" spans="1:3" x14ac:dyDescent="0.25">
      <c r="A3849" t="s">
        <v>11458</v>
      </c>
      <c r="B3849" t="s">
        <v>11459</v>
      </c>
      <c r="C3849" t="s">
        <v>11457</v>
      </c>
    </row>
    <row r="3850" spans="1:3" x14ac:dyDescent="0.25">
      <c r="A3850" t="s">
        <v>11461</v>
      </c>
      <c r="B3850" t="s">
        <v>11462</v>
      </c>
      <c r="C3850" t="s">
        <v>11460</v>
      </c>
    </row>
    <row r="3851" spans="1:3" x14ac:dyDescent="0.25">
      <c r="A3851" t="s">
        <v>11464</v>
      </c>
      <c r="B3851" t="s">
        <v>11465</v>
      </c>
      <c r="C3851" t="s">
        <v>11463</v>
      </c>
    </row>
    <row r="3852" spans="1:3" x14ac:dyDescent="0.25">
      <c r="A3852" t="s">
        <v>11467</v>
      </c>
      <c r="B3852" t="s">
        <v>11468</v>
      </c>
      <c r="C3852" t="s">
        <v>11466</v>
      </c>
    </row>
    <row r="3853" spans="1:3" x14ac:dyDescent="0.25">
      <c r="A3853" t="s">
        <v>11470</v>
      </c>
      <c r="B3853" t="s">
        <v>11471</v>
      </c>
      <c r="C3853" t="s">
        <v>11469</v>
      </c>
    </row>
    <row r="3854" spans="1:3" x14ac:dyDescent="0.25">
      <c r="A3854" t="s">
        <v>11473</v>
      </c>
      <c r="B3854" t="s">
        <v>11474</v>
      </c>
      <c r="C3854" t="s">
        <v>11472</v>
      </c>
    </row>
    <row r="3855" spans="1:3" x14ac:dyDescent="0.25">
      <c r="A3855" t="s">
        <v>11476</v>
      </c>
      <c r="B3855" t="s">
        <v>11477</v>
      </c>
      <c r="C3855" t="s">
        <v>11475</v>
      </c>
    </row>
    <row r="3856" spans="1:3" x14ac:dyDescent="0.25">
      <c r="A3856" t="s">
        <v>11479</v>
      </c>
      <c r="B3856" t="s">
        <v>11480</v>
      </c>
      <c r="C3856" t="s">
        <v>11478</v>
      </c>
    </row>
    <row r="3857" spans="1:3" x14ac:dyDescent="0.25">
      <c r="A3857" t="s">
        <v>11482</v>
      </c>
      <c r="B3857" t="s">
        <v>11483</v>
      </c>
      <c r="C3857" t="s">
        <v>11481</v>
      </c>
    </row>
    <row r="3858" spans="1:3" x14ac:dyDescent="0.25">
      <c r="A3858" t="s">
        <v>11485</v>
      </c>
      <c r="B3858" t="s">
        <v>11486</v>
      </c>
      <c r="C3858" t="s">
        <v>11484</v>
      </c>
    </row>
    <row r="3859" spans="1:3" x14ac:dyDescent="0.25">
      <c r="A3859" t="s">
        <v>11488</v>
      </c>
      <c r="B3859" t="s">
        <v>11489</v>
      </c>
      <c r="C3859" t="s">
        <v>11487</v>
      </c>
    </row>
    <row r="3860" spans="1:3" x14ac:dyDescent="0.25">
      <c r="A3860" t="s">
        <v>11491</v>
      </c>
      <c r="B3860" t="s">
        <v>11492</v>
      </c>
      <c r="C3860" t="s">
        <v>11490</v>
      </c>
    </row>
    <row r="3861" spans="1:3" x14ac:dyDescent="0.25">
      <c r="A3861" t="s">
        <v>11494</v>
      </c>
      <c r="B3861" t="s">
        <v>11495</v>
      </c>
      <c r="C3861" t="s">
        <v>11493</v>
      </c>
    </row>
    <row r="3862" spans="1:3" x14ac:dyDescent="0.25">
      <c r="A3862" t="s">
        <v>11497</v>
      </c>
      <c r="B3862" t="s">
        <v>11498</v>
      </c>
      <c r="C3862" t="s">
        <v>11496</v>
      </c>
    </row>
    <row r="3863" spans="1:3" x14ac:dyDescent="0.25">
      <c r="A3863" t="s">
        <v>11500</v>
      </c>
      <c r="B3863" t="s">
        <v>11501</v>
      </c>
      <c r="C3863" t="s">
        <v>11499</v>
      </c>
    </row>
    <row r="3864" spans="1:3" x14ac:dyDescent="0.25">
      <c r="A3864" t="s">
        <v>11503</v>
      </c>
      <c r="B3864" t="s">
        <v>11504</v>
      </c>
      <c r="C3864" t="s">
        <v>11502</v>
      </c>
    </row>
    <row r="3865" spans="1:3" x14ac:dyDescent="0.25">
      <c r="A3865" t="s">
        <v>11506</v>
      </c>
      <c r="B3865" t="s">
        <v>11507</v>
      </c>
      <c r="C3865" t="s">
        <v>11505</v>
      </c>
    </row>
    <row r="3866" spans="1:3" x14ac:dyDescent="0.25">
      <c r="A3866" t="s">
        <v>11509</v>
      </c>
      <c r="B3866" t="s">
        <v>11510</v>
      </c>
      <c r="C3866" t="s">
        <v>11508</v>
      </c>
    </row>
    <row r="3867" spans="1:3" x14ac:dyDescent="0.25">
      <c r="A3867" t="s">
        <v>11512</v>
      </c>
      <c r="B3867" t="s">
        <v>11513</v>
      </c>
      <c r="C3867" t="s">
        <v>11511</v>
      </c>
    </row>
    <row r="3868" spans="1:3" x14ac:dyDescent="0.25">
      <c r="A3868" t="s">
        <v>11515</v>
      </c>
      <c r="B3868" t="s">
        <v>11516</v>
      </c>
      <c r="C3868" t="s">
        <v>11514</v>
      </c>
    </row>
    <row r="3869" spans="1:3" x14ac:dyDescent="0.25">
      <c r="A3869" t="s">
        <v>11518</v>
      </c>
      <c r="B3869" t="s">
        <v>11519</v>
      </c>
      <c r="C3869" t="s">
        <v>11517</v>
      </c>
    </row>
    <row r="3870" spans="1:3" x14ac:dyDescent="0.25">
      <c r="A3870" t="s">
        <v>11521</v>
      </c>
      <c r="B3870" t="s">
        <v>11522</v>
      </c>
      <c r="C3870" t="s">
        <v>11520</v>
      </c>
    </row>
    <row r="3871" spans="1:3" x14ac:dyDescent="0.25">
      <c r="A3871" t="s">
        <v>11524</v>
      </c>
      <c r="B3871" t="s">
        <v>11525</v>
      </c>
      <c r="C3871" t="s">
        <v>11523</v>
      </c>
    </row>
    <row r="3872" spans="1:3" x14ac:dyDescent="0.25">
      <c r="A3872" t="s">
        <v>11527</v>
      </c>
      <c r="B3872" t="s">
        <v>11528</v>
      </c>
      <c r="C3872" t="s">
        <v>11526</v>
      </c>
    </row>
    <row r="3873" spans="1:3" x14ac:dyDescent="0.25">
      <c r="A3873" t="s">
        <v>11530</v>
      </c>
      <c r="B3873" t="s">
        <v>11531</v>
      </c>
      <c r="C3873" t="s">
        <v>11529</v>
      </c>
    </row>
    <row r="3874" spans="1:3" x14ac:dyDescent="0.25">
      <c r="A3874" t="s">
        <v>11533</v>
      </c>
      <c r="B3874" t="s">
        <v>11534</v>
      </c>
      <c r="C3874" t="s">
        <v>11532</v>
      </c>
    </row>
    <row r="3875" spans="1:3" x14ac:dyDescent="0.25">
      <c r="A3875" t="s">
        <v>11536</v>
      </c>
      <c r="B3875" t="s">
        <v>11537</v>
      </c>
      <c r="C3875" t="s">
        <v>11535</v>
      </c>
    </row>
    <row r="3876" spans="1:3" x14ac:dyDescent="0.25">
      <c r="A3876" t="s">
        <v>11539</v>
      </c>
      <c r="B3876" t="s">
        <v>11540</v>
      </c>
      <c r="C3876" t="s">
        <v>11538</v>
      </c>
    </row>
    <row r="3877" spans="1:3" x14ac:dyDescent="0.25">
      <c r="A3877" t="s">
        <v>11542</v>
      </c>
      <c r="B3877" t="s">
        <v>11540</v>
      </c>
      <c r="C3877" t="s">
        <v>11541</v>
      </c>
    </row>
    <row r="3878" spans="1:3" x14ac:dyDescent="0.25">
      <c r="A3878" t="s">
        <v>11544</v>
      </c>
      <c r="B3878" t="s">
        <v>11545</v>
      </c>
      <c r="C3878" t="s">
        <v>11543</v>
      </c>
    </row>
    <row r="3879" spans="1:3" x14ac:dyDescent="0.25">
      <c r="A3879" t="s">
        <v>11547</v>
      </c>
      <c r="B3879" t="s">
        <v>11545</v>
      </c>
      <c r="C3879" t="s">
        <v>11546</v>
      </c>
    </row>
    <row r="3880" spans="1:3" x14ac:dyDescent="0.25">
      <c r="A3880" t="s">
        <v>11549</v>
      </c>
      <c r="B3880" t="s">
        <v>11550</v>
      </c>
      <c r="C3880" t="s">
        <v>11548</v>
      </c>
    </row>
    <row r="3881" spans="1:3" x14ac:dyDescent="0.25">
      <c r="A3881" t="s">
        <v>11552</v>
      </c>
      <c r="B3881" t="s">
        <v>11553</v>
      </c>
      <c r="C3881" t="s">
        <v>11551</v>
      </c>
    </row>
    <row r="3882" spans="1:3" x14ac:dyDescent="0.25">
      <c r="A3882" t="s">
        <v>11555</v>
      </c>
      <c r="B3882" t="s">
        <v>11556</v>
      </c>
      <c r="C3882" t="s">
        <v>11554</v>
      </c>
    </row>
    <row r="3883" spans="1:3" x14ac:dyDescent="0.25">
      <c r="A3883" t="s">
        <v>11558</v>
      </c>
      <c r="B3883" t="s">
        <v>11559</v>
      </c>
      <c r="C3883" t="s">
        <v>11557</v>
      </c>
    </row>
    <row r="3884" spans="1:3" x14ac:dyDescent="0.25">
      <c r="A3884" t="s">
        <v>11561</v>
      </c>
      <c r="B3884" t="s">
        <v>11562</v>
      </c>
      <c r="C3884" t="s">
        <v>11560</v>
      </c>
    </row>
    <row r="3885" spans="1:3" x14ac:dyDescent="0.25">
      <c r="A3885" t="s">
        <v>11564</v>
      </c>
      <c r="B3885" t="s">
        <v>11565</v>
      </c>
      <c r="C3885" t="s">
        <v>11563</v>
      </c>
    </row>
    <row r="3886" spans="1:3" x14ac:dyDescent="0.25">
      <c r="A3886" t="s">
        <v>11567</v>
      </c>
      <c r="B3886" t="s">
        <v>11568</v>
      </c>
      <c r="C3886" t="s">
        <v>11566</v>
      </c>
    </row>
    <row r="3887" spans="1:3" x14ac:dyDescent="0.25">
      <c r="A3887" t="s">
        <v>11570</v>
      </c>
      <c r="B3887" t="s">
        <v>11571</v>
      </c>
      <c r="C3887" t="s">
        <v>11569</v>
      </c>
    </row>
    <row r="3888" spans="1:3" x14ac:dyDescent="0.25">
      <c r="A3888" t="s">
        <v>11573</v>
      </c>
      <c r="B3888" t="s">
        <v>11574</v>
      </c>
      <c r="C3888" t="s">
        <v>11572</v>
      </c>
    </row>
    <row r="3889" spans="1:3" x14ac:dyDescent="0.25">
      <c r="A3889" t="s">
        <v>11576</v>
      </c>
      <c r="B3889" t="s">
        <v>11577</v>
      </c>
      <c r="C3889" t="s">
        <v>11575</v>
      </c>
    </row>
    <row r="3890" spans="1:3" x14ac:dyDescent="0.25">
      <c r="A3890" t="s">
        <v>11579</v>
      </c>
      <c r="B3890" t="s">
        <v>11580</v>
      </c>
      <c r="C3890" t="s">
        <v>11578</v>
      </c>
    </row>
    <row r="3891" spans="1:3" x14ac:dyDescent="0.25">
      <c r="A3891" t="s">
        <v>11582</v>
      </c>
      <c r="B3891" t="s">
        <v>11583</v>
      </c>
      <c r="C3891" t="s">
        <v>11581</v>
      </c>
    </row>
    <row r="3892" spans="1:3" x14ac:dyDescent="0.25">
      <c r="A3892" t="s">
        <v>11585</v>
      </c>
      <c r="B3892" t="s">
        <v>11586</v>
      </c>
      <c r="C3892" t="s">
        <v>11584</v>
      </c>
    </row>
    <row r="3893" spans="1:3" x14ac:dyDescent="0.25">
      <c r="A3893" t="s">
        <v>11588</v>
      </c>
      <c r="B3893" t="s">
        <v>11589</v>
      </c>
      <c r="C3893" t="s">
        <v>11587</v>
      </c>
    </row>
    <row r="3894" spans="1:3" x14ac:dyDescent="0.25">
      <c r="A3894" t="s">
        <v>11591</v>
      </c>
      <c r="B3894" t="s">
        <v>11592</v>
      </c>
      <c r="C3894" t="s">
        <v>11590</v>
      </c>
    </row>
    <row r="3895" spans="1:3" x14ac:dyDescent="0.25">
      <c r="A3895" t="s">
        <v>11594</v>
      </c>
      <c r="B3895" t="s">
        <v>11595</v>
      </c>
      <c r="C3895" t="s">
        <v>11593</v>
      </c>
    </row>
    <row r="3896" spans="1:3" x14ac:dyDescent="0.25">
      <c r="A3896" t="s">
        <v>11597</v>
      </c>
      <c r="B3896" t="s">
        <v>11598</v>
      </c>
      <c r="C3896" t="s">
        <v>11596</v>
      </c>
    </row>
    <row r="3897" spans="1:3" x14ac:dyDescent="0.25">
      <c r="A3897" t="s">
        <v>11600</v>
      </c>
      <c r="B3897" t="s">
        <v>11601</v>
      </c>
      <c r="C3897" t="s">
        <v>11599</v>
      </c>
    </row>
    <row r="3898" spans="1:3" x14ac:dyDescent="0.25">
      <c r="A3898" t="s">
        <v>11603</v>
      </c>
      <c r="B3898" t="s">
        <v>11604</v>
      </c>
      <c r="C3898" t="s">
        <v>11602</v>
      </c>
    </row>
    <row r="3899" spans="1:3" x14ac:dyDescent="0.25">
      <c r="A3899" t="s">
        <v>11606</v>
      </c>
      <c r="B3899" t="s">
        <v>11607</v>
      </c>
      <c r="C3899" t="s">
        <v>11605</v>
      </c>
    </row>
    <row r="3900" spans="1:3" x14ac:dyDescent="0.25">
      <c r="A3900" t="s">
        <v>11609</v>
      </c>
      <c r="B3900" t="s">
        <v>11607</v>
      </c>
      <c r="C3900" t="s">
        <v>11608</v>
      </c>
    </row>
    <row r="3901" spans="1:3" x14ac:dyDescent="0.25">
      <c r="A3901" t="s">
        <v>11611</v>
      </c>
      <c r="B3901" t="s">
        <v>11612</v>
      </c>
      <c r="C3901" t="s">
        <v>11610</v>
      </c>
    </row>
    <row r="3902" spans="1:3" x14ac:dyDescent="0.25">
      <c r="A3902" t="s">
        <v>11614</v>
      </c>
      <c r="B3902" t="s">
        <v>11612</v>
      </c>
      <c r="C3902" t="s">
        <v>11613</v>
      </c>
    </row>
    <row r="3903" spans="1:3" x14ac:dyDescent="0.25">
      <c r="A3903" t="s">
        <v>11616</v>
      </c>
      <c r="B3903" t="s">
        <v>11617</v>
      </c>
      <c r="C3903" t="s">
        <v>11615</v>
      </c>
    </row>
    <row r="3904" spans="1:3" x14ac:dyDescent="0.25">
      <c r="A3904" t="s">
        <v>11619</v>
      </c>
      <c r="B3904" t="s">
        <v>11620</v>
      </c>
      <c r="C3904" t="s">
        <v>11618</v>
      </c>
    </row>
    <row r="3905" spans="1:3" x14ac:dyDescent="0.25">
      <c r="A3905" t="s">
        <v>11622</v>
      </c>
      <c r="B3905" t="s">
        <v>11623</v>
      </c>
      <c r="C3905" t="s">
        <v>11621</v>
      </c>
    </row>
    <row r="3906" spans="1:3" x14ac:dyDescent="0.25">
      <c r="A3906" t="s">
        <v>11625</v>
      </c>
      <c r="B3906" t="s">
        <v>11626</v>
      </c>
      <c r="C3906" t="s">
        <v>11624</v>
      </c>
    </row>
    <row r="3907" spans="1:3" x14ac:dyDescent="0.25">
      <c r="A3907" t="s">
        <v>11628</v>
      </c>
      <c r="B3907" t="s">
        <v>11629</v>
      </c>
      <c r="C3907" t="s">
        <v>11627</v>
      </c>
    </row>
    <row r="3908" spans="1:3" x14ac:dyDescent="0.25">
      <c r="A3908" t="s">
        <v>11631</v>
      </c>
      <c r="B3908" t="s">
        <v>11626</v>
      </c>
      <c r="C3908" t="s">
        <v>11630</v>
      </c>
    </row>
    <row r="3909" spans="1:3" x14ac:dyDescent="0.25">
      <c r="A3909" t="s">
        <v>11633</v>
      </c>
      <c r="B3909" t="s">
        <v>11634</v>
      </c>
      <c r="C3909" t="s">
        <v>11632</v>
      </c>
    </row>
    <row r="3910" spans="1:3" x14ac:dyDescent="0.25">
      <c r="A3910" t="s">
        <v>11636</v>
      </c>
      <c r="B3910" t="s">
        <v>11637</v>
      </c>
      <c r="C3910" t="s">
        <v>11635</v>
      </c>
    </row>
    <row r="3911" spans="1:3" x14ac:dyDescent="0.25">
      <c r="A3911" t="s">
        <v>11639</v>
      </c>
      <c r="B3911" t="s">
        <v>11640</v>
      </c>
      <c r="C3911" t="s">
        <v>11638</v>
      </c>
    </row>
    <row r="3912" spans="1:3" x14ac:dyDescent="0.25">
      <c r="A3912" t="s">
        <v>11642</v>
      </c>
      <c r="B3912" t="s">
        <v>11643</v>
      </c>
      <c r="C3912" t="s">
        <v>11641</v>
      </c>
    </row>
    <row r="3913" spans="1:3" x14ac:dyDescent="0.25">
      <c r="A3913" t="s">
        <v>11645</v>
      </c>
      <c r="B3913" t="s">
        <v>11646</v>
      </c>
      <c r="C3913" t="s">
        <v>11644</v>
      </c>
    </row>
    <row r="3914" spans="1:3" x14ac:dyDescent="0.25">
      <c r="A3914" t="s">
        <v>11648</v>
      </c>
      <c r="B3914" t="s">
        <v>11649</v>
      </c>
      <c r="C3914" t="s">
        <v>11647</v>
      </c>
    </row>
    <row r="3915" spans="1:3" x14ac:dyDescent="0.25">
      <c r="A3915" t="s">
        <v>11651</v>
      </c>
      <c r="B3915" t="s">
        <v>11652</v>
      </c>
      <c r="C3915" t="s">
        <v>11650</v>
      </c>
    </row>
    <row r="3916" spans="1:3" x14ac:dyDescent="0.25">
      <c r="A3916" t="s">
        <v>11654</v>
      </c>
      <c r="B3916" t="s">
        <v>11655</v>
      </c>
      <c r="C3916" t="s">
        <v>11653</v>
      </c>
    </row>
    <row r="3917" spans="1:3" x14ac:dyDescent="0.25">
      <c r="A3917" t="s">
        <v>11657</v>
      </c>
      <c r="B3917" t="s">
        <v>11658</v>
      </c>
      <c r="C3917" t="s">
        <v>11656</v>
      </c>
    </row>
    <row r="3918" spans="1:3" x14ac:dyDescent="0.25">
      <c r="A3918" t="s">
        <v>11660</v>
      </c>
      <c r="B3918" t="s">
        <v>11661</v>
      </c>
      <c r="C3918" t="s">
        <v>11659</v>
      </c>
    </row>
    <row r="3919" spans="1:3" x14ac:dyDescent="0.25">
      <c r="A3919" t="s">
        <v>11663</v>
      </c>
      <c r="B3919" t="s">
        <v>11664</v>
      </c>
      <c r="C3919" t="s">
        <v>11662</v>
      </c>
    </row>
    <row r="3920" spans="1:3" x14ac:dyDescent="0.25">
      <c r="A3920" t="s">
        <v>11666</v>
      </c>
      <c r="B3920" t="s">
        <v>11667</v>
      </c>
      <c r="C3920" t="s">
        <v>11665</v>
      </c>
    </row>
    <row r="3921" spans="1:3" x14ac:dyDescent="0.25">
      <c r="A3921" t="s">
        <v>11669</v>
      </c>
      <c r="B3921" t="s">
        <v>11670</v>
      </c>
      <c r="C3921" t="s">
        <v>11668</v>
      </c>
    </row>
    <row r="3922" spans="1:3" x14ac:dyDescent="0.25">
      <c r="A3922" t="s">
        <v>11672</v>
      </c>
      <c r="B3922" t="s">
        <v>11673</v>
      </c>
      <c r="C3922" t="s">
        <v>11671</v>
      </c>
    </row>
    <row r="3923" spans="1:3" x14ac:dyDescent="0.25">
      <c r="A3923" t="s">
        <v>11675</v>
      </c>
      <c r="B3923" t="s">
        <v>11676</v>
      </c>
      <c r="C3923" t="s">
        <v>11674</v>
      </c>
    </row>
    <row r="3924" spans="1:3" x14ac:dyDescent="0.25">
      <c r="A3924" t="s">
        <v>11678</v>
      </c>
      <c r="B3924" t="s">
        <v>11679</v>
      </c>
      <c r="C3924" t="s">
        <v>11677</v>
      </c>
    </row>
    <row r="3925" spans="1:3" x14ac:dyDescent="0.25">
      <c r="A3925" t="s">
        <v>11681</v>
      </c>
      <c r="B3925" t="s">
        <v>11682</v>
      </c>
      <c r="C3925" t="s">
        <v>11680</v>
      </c>
    </row>
    <row r="3926" spans="1:3" x14ac:dyDescent="0.25">
      <c r="A3926" t="s">
        <v>11684</v>
      </c>
      <c r="B3926" t="s">
        <v>11685</v>
      </c>
      <c r="C3926" t="s">
        <v>11683</v>
      </c>
    </row>
    <row r="3927" spans="1:3" x14ac:dyDescent="0.25">
      <c r="A3927" t="s">
        <v>11687</v>
      </c>
      <c r="B3927" t="s">
        <v>11688</v>
      </c>
      <c r="C3927" t="s">
        <v>11686</v>
      </c>
    </row>
    <row r="3928" spans="1:3" x14ac:dyDescent="0.25">
      <c r="A3928" t="s">
        <v>11689</v>
      </c>
      <c r="B3928" t="s">
        <v>11690</v>
      </c>
      <c r="C3928" t="s">
        <v>6035</v>
      </c>
    </row>
    <row r="3929" spans="1:3" x14ac:dyDescent="0.25">
      <c r="A3929" t="s">
        <v>11692</v>
      </c>
      <c r="B3929" t="s">
        <v>11693</v>
      </c>
      <c r="C3929" t="s">
        <v>11691</v>
      </c>
    </row>
    <row r="3930" spans="1:3" x14ac:dyDescent="0.25">
      <c r="A3930" t="s">
        <v>11695</v>
      </c>
      <c r="B3930" t="s">
        <v>11696</v>
      </c>
      <c r="C3930" t="s">
        <v>11694</v>
      </c>
    </row>
    <row r="3931" spans="1:3" x14ac:dyDescent="0.25">
      <c r="A3931" t="s">
        <v>11698</v>
      </c>
      <c r="B3931" t="s">
        <v>11699</v>
      </c>
      <c r="C3931" t="s">
        <v>11697</v>
      </c>
    </row>
    <row r="3932" spans="1:3" x14ac:dyDescent="0.25">
      <c r="A3932" t="s">
        <v>11701</v>
      </c>
      <c r="B3932" t="s">
        <v>11702</v>
      </c>
      <c r="C3932" t="s">
        <v>11700</v>
      </c>
    </row>
    <row r="3933" spans="1:3" x14ac:dyDescent="0.25">
      <c r="A3933" t="s">
        <v>11704</v>
      </c>
      <c r="B3933" t="s">
        <v>11705</v>
      </c>
      <c r="C3933" t="s">
        <v>11703</v>
      </c>
    </row>
    <row r="3934" spans="1:3" x14ac:dyDescent="0.25">
      <c r="A3934" t="s">
        <v>11707</v>
      </c>
      <c r="B3934" t="s">
        <v>11708</v>
      </c>
      <c r="C3934" t="s">
        <v>11706</v>
      </c>
    </row>
    <row r="3935" spans="1:3" x14ac:dyDescent="0.25">
      <c r="A3935" t="s">
        <v>11710</v>
      </c>
      <c r="B3935" t="s">
        <v>11711</v>
      </c>
      <c r="C3935" t="s">
        <v>11709</v>
      </c>
    </row>
    <row r="3936" spans="1:3" x14ac:dyDescent="0.25">
      <c r="A3936" t="s">
        <v>11713</v>
      </c>
      <c r="B3936" t="s">
        <v>11714</v>
      </c>
      <c r="C3936" t="s">
        <v>11712</v>
      </c>
    </row>
    <row r="3937" spans="1:3" x14ac:dyDescent="0.25">
      <c r="A3937" t="s">
        <v>11716</v>
      </c>
      <c r="B3937" t="s">
        <v>11717</v>
      </c>
      <c r="C3937" t="s">
        <v>11715</v>
      </c>
    </row>
    <row r="3938" spans="1:3" x14ac:dyDescent="0.25">
      <c r="A3938" t="s">
        <v>11719</v>
      </c>
      <c r="B3938" t="s">
        <v>11720</v>
      </c>
      <c r="C3938" t="s">
        <v>11718</v>
      </c>
    </row>
    <row r="3939" spans="1:3" x14ac:dyDescent="0.25">
      <c r="A3939" t="s">
        <v>11722</v>
      </c>
      <c r="B3939" t="s">
        <v>11723</v>
      </c>
      <c r="C3939" t="s">
        <v>11721</v>
      </c>
    </row>
    <row r="3940" spans="1:3" x14ac:dyDescent="0.25">
      <c r="A3940" t="s">
        <v>11725</v>
      </c>
      <c r="B3940" t="s">
        <v>11726</v>
      </c>
      <c r="C3940" t="s">
        <v>11724</v>
      </c>
    </row>
    <row r="3941" spans="1:3" x14ac:dyDescent="0.25">
      <c r="A3941" t="s">
        <v>11728</v>
      </c>
      <c r="B3941" t="s">
        <v>11729</v>
      </c>
      <c r="C3941" t="s">
        <v>11727</v>
      </c>
    </row>
    <row r="3942" spans="1:3" x14ac:dyDescent="0.25">
      <c r="A3942" t="s">
        <v>11731</v>
      </c>
      <c r="B3942" t="s">
        <v>11732</v>
      </c>
      <c r="C3942" t="s">
        <v>11730</v>
      </c>
    </row>
    <row r="3943" spans="1:3" x14ac:dyDescent="0.25">
      <c r="A3943" t="s">
        <v>11734</v>
      </c>
      <c r="B3943" t="s">
        <v>11735</v>
      </c>
      <c r="C3943" t="s">
        <v>11733</v>
      </c>
    </row>
    <row r="3944" spans="1:3" x14ac:dyDescent="0.25">
      <c r="A3944" t="s">
        <v>11737</v>
      </c>
      <c r="B3944" t="s">
        <v>11738</v>
      </c>
      <c r="C3944" t="s">
        <v>11736</v>
      </c>
    </row>
    <row r="3945" spans="1:3" x14ac:dyDescent="0.25">
      <c r="A3945" t="s">
        <v>11740</v>
      </c>
      <c r="B3945" t="s">
        <v>11741</v>
      </c>
      <c r="C3945" t="s">
        <v>11739</v>
      </c>
    </row>
    <row r="3946" spans="1:3" x14ac:dyDescent="0.25">
      <c r="A3946" t="s">
        <v>11743</v>
      </c>
      <c r="B3946" t="s">
        <v>11744</v>
      </c>
      <c r="C3946" t="s">
        <v>11742</v>
      </c>
    </row>
    <row r="3947" spans="1:3" x14ac:dyDescent="0.25">
      <c r="A3947" t="s">
        <v>11746</v>
      </c>
      <c r="B3947" t="s">
        <v>11747</v>
      </c>
      <c r="C3947" t="s">
        <v>11745</v>
      </c>
    </row>
    <row r="3948" spans="1:3" x14ac:dyDescent="0.25">
      <c r="A3948" t="s">
        <v>11749</v>
      </c>
      <c r="B3948" t="s">
        <v>11750</v>
      </c>
      <c r="C3948" t="s">
        <v>11748</v>
      </c>
    </row>
    <row r="3949" spans="1:3" x14ac:dyDescent="0.25">
      <c r="A3949" t="s">
        <v>11752</v>
      </c>
      <c r="B3949" t="s">
        <v>11753</v>
      </c>
      <c r="C3949" t="s">
        <v>11751</v>
      </c>
    </row>
    <row r="3950" spans="1:3" x14ac:dyDescent="0.25">
      <c r="A3950" t="s">
        <v>11755</v>
      </c>
      <c r="B3950" t="s">
        <v>11756</v>
      </c>
      <c r="C3950" t="s">
        <v>11754</v>
      </c>
    </row>
    <row r="3951" spans="1:3" x14ac:dyDescent="0.25">
      <c r="A3951" t="s">
        <v>11758</v>
      </c>
      <c r="B3951" t="s">
        <v>11759</v>
      </c>
      <c r="C3951" t="s">
        <v>11757</v>
      </c>
    </row>
    <row r="3952" spans="1:3" x14ac:dyDescent="0.25">
      <c r="A3952" t="s">
        <v>11761</v>
      </c>
      <c r="B3952" t="s">
        <v>11762</v>
      </c>
      <c r="C3952" t="s">
        <v>11760</v>
      </c>
    </row>
    <row r="3953" spans="1:3" x14ac:dyDescent="0.25">
      <c r="A3953" t="s">
        <v>11764</v>
      </c>
      <c r="B3953" t="s">
        <v>11765</v>
      </c>
      <c r="C3953" t="s">
        <v>11763</v>
      </c>
    </row>
    <row r="3954" spans="1:3" x14ac:dyDescent="0.25">
      <c r="A3954" t="s">
        <v>11767</v>
      </c>
      <c r="B3954" t="s">
        <v>11768</v>
      </c>
      <c r="C3954" t="s">
        <v>11766</v>
      </c>
    </row>
    <row r="3955" spans="1:3" x14ac:dyDescent="0.25">
      <c r="A3955" t="s">
        <v>11770</v>
      </c>
      <c r="B3955" t="s">
        <v>11771</v>
      </c>
      <c r="C3955" t="s">
        <v>11769</v>
      </c>
    </row>
    <row r="3956" spans="1:3" x14ac:dyDescent="0.25">
      <c r="A3956" t="s">
        <v>11773</v>
      </c>
      <c r="B3956" t="s">
        <v>11774</v>
      </c>
      <c r="C3956" t="s">
        <v>11772</v>
      </c>
    </row>
    <row r="3957" spans="1:3" x14ac:dyDescent="0.25">
      <c r="A3957" t="s">
        <v>11776</v>
      </c>
      <c r="B3957" t="s">
        <v>11777</v>
      </c>
      <c r="C3957" t="s">
        <v>11775</v>
      </c>
    </row>
    <row r="3958" spans="1:3" x14ac:dyDescent="0.25">
      <c r="A3958" t="s">
        <v>11779</v>
      </c>
      <c r="B3958" t="s">
        <v>11780</v>
      </c>
      <c r="C3958" t="s">
        <v>11778</v>
      </c>
    </row>
    <row r="3959" spans="1:3" x14ac:dyDescent="0.25">
      <c r="A3959" t="s">
        <v>11782</v>
      </c>
      <c r="B3959" t="s">
        <v>11783</v>
      </c>
      <c r="C3959" t="s">
        <v>11781</v>
      </c>
    </row>
    <row r="3960" spans="1:3" x14ac:dyDescent="0.25">
      <c r="A3960" t="s">
        <v>11785</v>
      </c>
      <c r="B3960" t="s">
        <v>11786</v>
      </c>
      <c r="C3960" t="s">
        <v>11784</v>
      </c>
    </row>
    <row r="3961" spans="1:3" x14ac:dyDescent="0.25">
      <c r="A3961" t="s">
        <v>11788</v>
      </c>
      <c r="B3961" t="s">
        <v>11789</v>
      </c>
      <c r="C3961" t="s">
        <v>11787</v>
      </c>
    </row>
    <row r="3962" spans="1:3" x14ac:dyDescent="0.25">
      <c r="A3962" t="s">
        <v>11791</v>
      </c>
      <c r="B3962" t="s">
        <v>11792</v>
      </c>
      <c r="C3962" t="s">
        <v>11790</v>
      </c>
    </row>
    <row r="3963" spans="1:3" x14ac:dyDescent="0.25">
      <c r="A3963" t="s">
        <v>11794</v>
      </c>
      <c r="B3963" t="s">
        <v>11795</v>
      </c>
      <c r="C3963" t="s">
        <v>11793</v>
      </c>
    </row>
    <row r="3964" spans="1:3" x14ac:dyDescent="0.25">
      <c r="A3964" t="s">
        <v>11797</v>
      </c>
      <c r="B3964" t="s">
        <v>11798</v>
      </c>
      <c r="C3964" t="s">
        <v>11796</v>
      </c>
    </row>
    <row r="3965" spans="1:3" x14ac:dyDescent="0.25">
      <c r="A3965" t="s">
        <v>11800</v>
      </c>
      <c r="B3965" t="s">
        <v>11801</v>
      </c>
      <c r="C3965" t="s">
        <v>11799</v>
      </c>
    </row>
    <row r="3966" spans="1:3" x14ac:dyDescent="0.25">
      <c r="A3966" t="s">
        <v>11803</v>
      </c>
      <c r="B3966" t="s">
        <v>11804</v>
      </c>
      <c r="C3966" t="s">
        <v>11802</v>
      </c>
    </row>
    <row r="3967" spans="1:3" x14ac:dyDescent="0.25">
      <c r="A3967" t="s">
        <v>11806</v>
      </c>
      <c r="B3967" t="s">
        <v>11807</v>
      </c>
      <c r="C3967" t="s">
        <v>11805</v>
      </c>
    </row>
    <row r="3968" spans="1:3" x14ac:dyDescent="0.25">
      <c r="A3968" t="s">
        <v>11809</v>
      </c>
      <c r="B3968" t="s">
        <v>11810</v>
      </c>
      <c r="C3968" t="s">
        <v>11808</v>
      </c>
    </row>
    <row r="3969" spans="1:3" x14ac:dyDescent="0.25">
      <c r="A3969" t="s">
        <v>11812</v>
      </c>
      <c r="B3969" t="s">
        <v>11813</v>
      </c>
      <c r="C3969" t="s">
        <v>11811</v>
      </c>
    </row>
    <row r="3970" spans="1:3" x14ac:dyDescent="0.25">
      <c r="A3970" t="s">
        <v>11815</v>
      </c>
      <c r="B3970" t="s">
        <v>11816</v>
      </c>
      <c r="C3970" t="s">
        <v>11814</v>
      </c>
    </row>
    <row r="3971" spans="1:3" x14ac:dyDescent="0.25">
      <c r="A3971" t="s">
        <v>11818</v>
      </c>
      <c r="B3971" t="s">
        <v>11819</v>
      </c>
      <c r="C3971" t="s">
        <v>11817</v>
      </c>
    </row>
    <row r="3972" spans="1:3" x14ac:dyDescent="0.25">
      <c r="A3972" t="s">
        <v>11821</v>
      </c>
      <c r="B3972" t="s">
        <v>11822</v>
      </c>
      <c r="C3972" t="s">
        <v>11820</v>
      </c>
    </row>
    <row r="3973" spans="1:3" x14ac:dyDescent="0.25">
      <c r="A3973" t="s">
        <v>11824</v>
      </c>
      <c r="B3973" t="s">
        <v>11825</v>
      </c>
      <c r="C3973" t="s">
        <v>11823</v>
      </c>
    </row>
    <row r="3974" spans="1:3" x14ac:dyDescent="0.25">
      <c r="A3974" t="s">
        <v>11827</v>
      </c>
      <c r="B3974" t="s">
        <v>11828</v>
      </c>
      <c r="C3974" t="s">
        <v>11826</v>
      </c>
    </row>
    <row r="3975" spans="1:3" x14ac:dyDescent="0.25">
      <c r="A3975" t="s">
        <v>11830</v>
      </c>
      <c r="B3975" t="s">
        <v>11831</v>
      </c>
      <c r="C3975" t="s">
        <v>11829</v>
      </c>
    </row>
    <row r="3976" spans="1:3" x14ac:dyDescent="0.25">
      <c r="A3976" t="s">
        <v>11833</v>
      </c>
      <c r="B3976" t="s">
        <v>10294</v>
      </c>
      <c r="C3976" t="s">
        <v>11832</v>
      </c>
    </row>
    <row r="3977" spans="1:3" x14ac:dyDescent="0.25">
      <c r="A3977" t="s">
        <v>11835</v>
      </c>
      <c r="B3977" t="s">
        <v>11836</v>
      </c>
      <c r="C3977" t="s">
        <v>11834</v>
      </c>
    </row>
    <row r="3978" spans="1:3" x14ac:dyDescent="0.25">
      <c r="A3978" t="s">
        <v>11838</v>
      </c>
      <c r="B3978" t="s">
        <v>11839</v>
      </c>
      <c r="C3978" t="s">
        <v>11837</v>
      </c>
    </row>
    <row r="3979" spans="1:3" x14ac:dyDescent="0.25">
      <c r="A3979" t="s">
        <v>11841</v>
      </c>
      <c r="B3979" t="s">
        <v>10425</v>
      </c>
      <c r="C3979" t="s">
        <v>11840</v>
      </c>
    </row>
    <row r="3980" spans="1:3" x14ac:dyDescent="0.25">
      <c r="A3980" t="s">
        <v>11843</v>
      </c>
      <c r="B3980" t="s">
        <v>11844</v>
      </c>
      <c r="C3980" t="s">
        <v>11842</v>
      </c>
    </row>
    <row r="3981" spans="1:3" x14ac:dyDescent="0.25">
      <c r="A3981" t="s">
        <v>11846</v>
      </c>
      <c r="B3981" t="s">
        <v>11847</v>
      </c>
      <c r="C3981" t="s">
        <v>11845</v>
      </c>
    </row>
    <row r="3982" spans="1:3" x14ac:dyDescent="0.25">
      <c r="A3982" t="s">
        <v>11849</v>
      </c>
      <c r="B3982" t="s">
        <v>11850</v>
      </c>
      <c r="C3982" t="s">
        <v>11848</v>
      </c>
    </row>
    <row r="3983" spans="1:3" x14ac:dyDescent="0.25">
      <c r="A3983" t="s">
        <v>11852</v>
      </c>
      <c r="B3983" t="s">
        <v>11853</v>
      </c>
      <c r="C3983" t="s">
        <v>11851</v>
      </c>
    </row>
    <row r="3984" spans="1:3" x14ac:dyDescent="0.25">
      <c r="A3984" t="s">
        <v>11855</v>
      </c>
      <c r="B3984" t="s">
        <v>11856</v>
      </c>
      <c r="C3984" t="s">
        <v>11854</v>
      </c>
    </row>
    <row r="3985" spans="1:3" x14ac:dyDescent="0.25">
      <c r="A3985" t="s">
        <v>11858</v>
      </c>
      <c r="B3985" t="s">
        <v>11859</v>
      </c>
      <c r="C3985" t="s">
        <v>11857</v>
      </c>
    </row>
    <row r="3986" spans="1:3" x14ac:dyDescent="0.25">
      <c r="A3986" t="s">
        <v>11861</v>
      </c>
      <c r="B3986" t="s">
        <v>11862</v>
      </c>
      <c r="C3986" t="s">
        <v>11860</v>
      </c>
    </row>
    <row r="3987" spans="1:3" x14ac:dyDescent="0.25">
      <c r="A3987" t="s">
        <v>11864</v>
      </c>
      <c r="B3987" t="s">
        <v>11865</v>
      </c>
      <c r="C3987" t="s">
        <v>11863</v>
      </c>
    </row>
    <row r="3988" spans="1:3" x14ac:dyDescent="0.25">
      <c r="A3988" t="s">
        <v>11867</v>
      </c>
      <c r="B3988" t="s">
        <v>11868</v>
      </c>
      <c r="C3988" t="s">
        <v>11866</v>
      </c>
    </row>
    <row r="3989" spans="1:3" x14ac:dyDescent="0.25">
      <c r="A3989" t="s">
        <v>11870</v>
      </c>
      <c r="B3989" t="s">
        <v>11871</v>
      </c>
      <c r="C3989" t="s">
        <v>11869</v>
      </c>
    </row>
    <row r="3990" spans="1:3" x14ac:dyDescent="0.25">
      <c r="A3990" t="s">
        <v>11873</v>
      </c>
      <c r="B3990" t="s">
        <v>11874</v>
      </c>
      <c r="C3990" t="s">
        <v>11872</v>
      </c>
    </row>
    <row r="3991" spans="1:3" x14ac:dyDescent="0.25">
      <c r="A3991" t="s">
        <v>11876</v>
      </c>
      <c r="B3991" t="s">
        <v>11877</v>
      </c>
      <c r="C3991" t="s">
        <v>11875</v>
      </c>
    </row>
    <row r="3992" spans="1:3" x14ac:dyDescent="0.25">
      <c r="A3992" t="s">
        <v>11879</v>
      </c>
      <c r="B3992" t="s">
        <v>11880</v>
      </c>
      <c r="C3992" t="s">
        <v>11878</v>
      </c>
    </row>
    <row r="3993" spans="1:3" x14ac:dyDescent="0.25">
      <c r="A3993" t="s">
        <v>11882</v>
      </c>
      <c r="B3993" t="s">
        <v>11883</v>
      </c>
      <c r="C3993" t="s">
        <v>11881</v>
      </c>
    </row>
    <row r="3994" spans="1:3" x14ac:dyDescent="0.25">
      <c r="A3994" t="s">
        <v>11885</v>
      </c>
      <c r="B3994" t="s">
        <v>11886</v>
      </c>
      <c r="C3994" t="s">
        <v>11884</v>
      </c>
    </row>
    <row r="3995" spans="1:3" x14ac:dyDescent="0.25">
      <c r="A3995" t="s">
        <v>11888</v>
      </c>
      <c r="B3995" t="s">
        <v>11889</v>
      </c>
      <c r="C3995" t="s">
        <v>11887</v>
      </c>
    </row>
    <row r="3996" spans="1:3" x14ac:dyDescent="0.25">
      <c r="A3996" t="s">
        <v>11891</v>
      </c>
      <c r="B3996" t="s">
        <v>2325</v>
      </c>
      <c r="C3996" t="s">
        <v>11890</v>
      </c>
    </row>
    <row r="3997" spans="1:3" x14ac:dyDescent="0.25">
      <c r="A3997" t="s">
        <v>11893</v>
      </c>
      <c r="B3997" t="s">
        <v>11894</v>
      </c>
      <c r="C3997" t="s">
        <v>11892</v>
      </c>
    </row>
    <row r="3998" spans="1:3" x14ac:dyDescent="0.25">
      <c r="A3998" t="s">
        <v>11896</v>
      </c>
      <c r="B3998" t="s">
        <v>11897</v>
      </c>
      <c r="C3998" t="s">
        <v>11895</v>
      </c>
    </row>
    <row r="3999" spans="1:3" x14ac:dyDescent="0.25">
      <c r="A3999" t="s">
        <v>11899</v>
      </c>
      <c r="B3999" t="s">
        <v>11900</v>
      </c>
      <c r="C3999" t="s">
        <v>11898</v>
      </c>
    </row>
    <row r="4000" spans="1:3" x14ac:dyDescent="0.25">
      <c r="A4000" t="s">
        <v>11902</v>
      </c>
      <c r="B4000" t="s">
        <v>11903</v>
      </c>
      <c r="C4000" t="s">
        <v>11901</v>
      </c>
    </row>
    <row r="4001" spans="1:3" x14ac:dyDescent="0.25">
      <c r="A4001" t="s">
        <v>11905</v>
      </c>
      <c r="B4001" t="s">
        <v>11906</v>
      </c>
      <c r="C4001" t="s">
        <v>11904</v>
      </c>
    </row>
    <row r="4002" spans="1:3" x14ac:dyDescent="0.25">
      <c r="A4002" t="s">
        <v>11908</v>
      </c>
      <c r="B4002" t="s">
        <v>11909</v>
      </c>
      <c r="C4002" t="s">
        <v>11907</v>
      </c>
    </row>
    <row r="4003" spans="1:3" x14ac:dyDescent="0.25">
      <c r="A4003" t="s">
        <v>11911</v>
      </c>
      <c r="B4003" t="s">
        <v>11912</v>
      </c>
      <c r="C4003" t="s">
        <v>11910</v>
      </c>
    </row>
    <row r="4004" spans="1:3" x14ac:dyDescent="0.25">
      <c r="A4004" t="s">
        <v>11914</v>
      </c>
      <c r="B4004" t="s">
        <v>11915</v>
      </c>
      <c r="C4004" t="s">
        <v>11913</v>
      </c>
    </row>
    <row r="4005" spans="1:3" x14ac:dyDescent="0.25">
      <c r="A4005" t="s">
        <v>11917</v>
      </c>
      <c r="B4005" t="s">
        <v>11918</v>
      </c>
      <c r="C4005" t="s">
        <v>11916</v>
      </c>
    </row>
    <row r="4006" spans="1:3" x14ac:dyDescent="0.25">
      <c r="A4006" t="s">
        <v>11920</v>
      </c>
      <c r="B4006" t="s">
        <v>11921</v>
      </c>
      <c r="C4006" t="s">
        <v>11919</v>
      </c>
    </row>
    <row r="4007" spans="1:3" x14ac:dyDescent="0.25">
      <c r="A4007" t="s">
        <v>11923</v>
      </c>
      <c r="B4007" t="s">
        <v>11924</v>
      </c>
      <c r="C4007" t="s">
        <v>11922</v>
      </c>
    </row>
    <row r="4008" spans="1:3" x14ac:dyDescent="0.25">
      <c r="A4008" t="s">
        <v>11926</v>
      </c>
      <c r="B4008" t="s">
        <v>11927</v>
      </c>
      <c r="C4008" t="s">
        <v>11925</v>
      </c>
    </row>
    <row r="4009" spans="1:3" x14ac:dyDescent="0.25">
      <c r="A4009" t="s">
        <v>11929</v>
      </c>
      <c r="B4009" t="s">
        <v>11930</v>
      </c>
      <c r="C4009" t="s">
        <v>11928</v>
      </c>
    </row>
    <row r="4010" spans="1:3" x14ac:dyDescent="0.25">
      <c r="A4010" t="s">
        <v>11932</v>
      </c>
      <c r="B4010" t="s">
        <v>11933</v>
      </c>
      <c r="C4010" t="s">
        <v>11931</v>
      </c>
    </row>
    <row r="4011" spans="1:3" x14ac:dyDescent="0.25">
      <c r="A4011" t="s">
        <v>11935</v>
      </c>
      <c r="B4011" t="s">
        <v>11936</v>
      </c>
      <c r="C4011" t="s">
        <v>11934</v>
      </c>
    </row>
    <row r="4012" spans="1:3" x14ac:dyDescent="0.25">
      <c r="A4012" t="s">
        <v>11938</v>
      </c>
      <c r="B4012" t="s">
        <v>11939</v>
      </c>
      <c r="C4012" t="s">
        <v>11937</v>
      </c>
    </row>
    <row r="4013" spans="1:3" x14ac:dyDescent="0.25">
      <c r="A4013" t="s">
        <v>11941</v>
      </c>
      <c r="B4013" t="s">
        <v>11942</v>
      </c>
      <c r="C4013" t="s">
        <v>11940</v>
      </c>
    </row>
    <row r="4014" spans="1:3" x14ac:dyDescent="0.25">
      <c r="A4014" t="s">
        <v>11944</v>
      </c>
      <c r="B4014" t="s">
        <v>11601</v>
      </c>
      <c r="C4014" t="s">
        <v>11943</v>
      </c>
    </row>
    <row r="4015" spans="1:3" x14ac:dyDescent="0.25">
      <c r="A4015" t="s">
        <v>11946</v>
      </c>
      <c r="B4015" t="s">
        <v>11947</v>
      </c>
      <c r="C4015" t="s">
        <v>11945</v>
      </c>
    </row>
    <row r="4016" spans="1:3" x14ac:dyDescent="0.25">
      <c r="A4016" t="s">
        <v>11949</v>
      </c>
      <c r="B4016" t="s">
        <v>11950</v>
      </c>
      <c r="C4016" t="s">
        <v>11948</v>
      </c>
    </row>
    <row r="4017" spans="1:3" x14ac:dyDescent="0.25">
      <c r="A4017" t="s">
        <v>11952</v>
      </c>
      <c r="B4017" t="s">
        <v>11953</v>
      </c>
      <c r="C4017" t="s">
        <v>11951</v>
      </c>
    </row>
    <row r="4018" spans="1:3" x14ac:dyDescent="0.25">
      <c r="A4018" t="s">
        <v>11955</v>
      </c>
      <c r="B4018" t="s">
        <v>11956</v>
      </c>
      <c r="C4018" t="s">
        <v>11954</v>
      </c>
    </row>
    <row r="4019" spans="1:3" x14ac:dyDescent="0.25">
      <c r="A4019" t="s">
        <v>11958</v>
      </c>
      <c r="B4019" t="s">
        <v>11959</v>
      </c>
      <c r="C4019" t="s">
        <v>11957</v>
      </c>
    </row>
    <row r="4020" spans="1:3" x14ac:dyDescent="0.25">
      <c r="A4020" t="s">
        <v>11961</v>
      </c>
      <c r="B4020" t="s">
        <v>11962</v>
      </c>
      <c r="C4020" t="s">
        <v>11960</v>
      </c>
    </row>
    <row r="4021" spans="1:3" x14ac:dyDescent="0.25">
      <c r="A4021" t="s">
        <v>11964</v>
      </c>
      <c r="B4021" t="s">
        <v>11965</v>
      </c>
      <c r="C4021" t="s">
        <v>11963</v>
      </c>
    </row>
    <row r="4022" spans="1:3" x14ac:dyDescent="0.25">
      <c r="A4022" t="s">
        <v>11967</v>
      </c>
      <c r="B4022" t="s">
        <v>11968</v>
      </c>
      <c r="C4022" t="s">
        <v>11966</v>
      </c>
    </row>
    <row r="4023" spans="1:3" x14ac:dyDescent="0.25">
      <c r="A4023" t="s">
        <v>11970</v>
      </c>
      <c r="B4023" t="s">
        <v>11971</v>
      </c>
      <c r="C4023" t="s">
        <v>11969</v>
      </c>
    </row>
    <row r="4024" spans="1:3" x14ac:dyDescent="0.25">
      <c r="A4024" t="s">
        <v>11973</v>
      </c>
      <c r="B4024" t="s">
        <v>11974</v>
      </c>
      <c r="C4024" t="s">
        <v>11972</v>
      </c>
    </row>
    <row r="4025" spans="1:3" x14ac:dyDescent="0.25">
      <c r="A4025" t="s">
        <v>11976</v>
      </c>
      <c r="B4025" t="s">
        <v>11977</v>
      </c>
      <c r="C4025" t="s">
        <v>11975</v>
      </c>
    </row>
    <row r="4026" spans="1:3" x14ac:dyDescent="0.25">
      <c r="A4026" t="s">
        <v>11979</v>
      </c>
      <c r="B4026" t="s">
        <v>11980</v>
      </c>
      <c r="C4026" t="s">
        <v>11978</v>
      </c>
    </row>
    <row r="4027" spans="1:3" x14ac:dyDescent="0.25">
      <c r="A4027" t="s">
        <v>11982</v>
      </c>
      <c r="B4027" t="s">
        <v>11983</v>
      </c>
      <c r="C4027" t="s">
        <v>11981</v>
      </c>
    </row>
    <row r="4028" spans="1:3" x14ac:dyDescent="0.25">
      <c r="A4028" t="s">
        <v>11985</v>
      </c>
      <c r="B4028" t="s">
        <v>11986</v>
      </c>
      <c r="C4028" t="s">
        <v>11984</v>
      </c>
    </row>
    <row r="4029" spans="1:3" x14ac:dyDescent="0.25">
      <c r="A4029" t="s">
        <v>11988</v>
      </c>
      <c r="B4029" t="s">
        <v>11989</v>
      </c>
      <c r="C4029" t="s">
        <v>11987</v>
      </c>
    </row>
    <row r="4030" spans="1:3" x14ac:dyDescent="0.25">
      <c r="A4030" t="s">
        <v>11991</v>
      </c>
      <c r="B4030" t="s">
        <v>11992</v>
      </c>
      <c r="C4030" t="s">
        <v>11990</v>
      </c>
    </row>
    <row r="4031" spans="1:3" x14ac:dyDescent="0.25">
      <c r="A4031" t="s">
        <v>11994</v>
      </c>
      <c r="B4031" t="s">
        <v>11995</v>
      </c>
      <c r="C4031" t="s">
        <v>11993</v>
      </c>
    </row>
    <row r="4032" spans="1:3" x14ac:dyDescent="0.25">
      <c r="A4032" t="s">
        <v>11997</v>
      </c>
      <c r="B4032" t="s">
        <v>11998</v>
      </c>
      <c r="C4032" t="s">
        <v>11996</v>
      </c>
    </row>
    <row r="4033" spans="1:3" x14ac:dyDescent="0.25">
      <c r="A4033" t="s">
        <v>12000</v>
      </c>
      <c r="B4033" t="s">
        <v>12001</v>
      </c>
      <c r="C4033" t="s">
        <v>11999</v>
      </c>
    </row>
    <row r="4034" spans="1:3" x14ac:dyDescent="0.25">
      <c r="A4034" t="s">
        <v>12003</v>
      </c>
      <c r="B4034" t="s">
        <v>12004</v>
      </c>
      <c r="C4034" t="s">
        <v>12002</v>
      </c>
    </row>
    <row r="4035" spans="1:3" x14ac:dyDescent="0.25">
      <c r="A4035" t="s">
        <v>12006</v>
      </c>
      <c r="B4035" t="s">
        <v>12007</v>
      </c>
      <c r="C4035" t="s">
        <v>12005</v>
      </c>
    </row>
    <row r="4036" spans="1:3" x14ac:dyDescent="0.25">
      <c r="A4036" t="s">
        <v>12009</v>
      </c>
      <c r="B4036" t="s">
        <v>12010</v>
      </c>
      <c r="C4036" t="s">
        <v>12008</v>
      </c>
    </row>
    <row r="4037" spans="1:3" x14ac:dyDescent="0.25">
      <c r="A4037" t="s">
        <v>12012</v>
      </c>
      <c r="B4037" t="s">
        <v>12013</v>
      </c>
      <c r="C4037" t="s">
        <v>12011</v>
      </c>
    </row>
    <row r="4038" spans="1:3" x14ac:dyDescent="0.25">
      <c r="A4038" t="s">
        <v>12015</v>
      </c>
      <c r="B4038" t="s">
        <v>12016</v>
      </c>
      <c r="C4038" t="s">
        <v>12014</v>
      </c>
    </row>
    <row r="4039" spans="1:3" x14ac:dyDescent="0.25">
      <c r="A4039" t="s">
        <v>12018</v>
      </c>
      <c r="B4039" t="s">
        <v>12019</v>
      </c>
      <c r="C4039" t="s">
        <v>12017</v>
      </c>
    </row>
    <row r="4040" spans="1:3" x14ac:dyDescent="0.25">
      <c r="A4040" t="s">
        <v>12021</v>
      </c>
      <c r="B4040" t="s">
        <v>12022</v>
      </c>
      <c r="C4040" t="s">
        <v>12020</v>
      </c>
    </row>
    <row r="4041" spans="1:3" x14ac:dyDescent="0.25">
      <c r="A4041" t="s">
        <v>12024</v>
      </c>
      <c r="B4041" t="s">
        <v>12025</v>
      </c>
      <c r="C4041" t="s">
        <v>12023</v>
      </c>
    </row>
    <row r="4042" spans="1:3" x14ac:dyDescent="0.25">
      <c r="A4042" t="s">
        <v>12027</v>
      </c>
      <c r="B4042" t="s">
        <v>12028</v>
      </c>
      <c r="C4042" t="s">
        <v>12026</v>
      </c>
    </row>
    <row r="4043" spans="1:3" x14ac:dyDescent="0.25">
      <c r="A4043" t="s">
        <v>12030</v>
      </c>
      <c r="B4043" t="s">
        <v>12031</v>
      </c>
      <c r="C4043" t="s">
        <v>12029</v>
      </c>
    </row>
    <row r="4044" spans="1:3" x14ac:dyDescent="0.25">
      <c r="A4044" t="s">
        <v>12033</v>
      </c>
      <c r="B4044" t="s">
        <v>12034</v>
      </c>
      <c r="C4044" t="s">
        <v>12032</v>
      </c>
    </row>
    <row r="4045" spans="1:3" x14ac:dyDescent="0.25">
      <c r="A4045" t="s">
        <v>12036</v>
      </c>
      <c r="B4045" t="s">
        <v>12037</v>
      </c>
      <c r="C4045" t="s">
        <v>12035</v>
      </c>
    </row>
    <row r="4046" spans="1:3" x14ac:dyDescent="0.25">
      <c r="A4046" t="s">
        <v>12039</v>
      </c>
      <c r="B4046" t="s">
        <v>12040</v>
      </c>
      <c r="C4046" t="s">
        <v>12038</v>
      </c>
    </row>
    <row r="4047" spans="1:3" x14ac:dyDescent="0.25">
      <c r="A4047" t="s">
        <v>12042</v>
      </c>
      <c r="B4047" t="s">
        <v>12043</v>
      </c>
      <c r="C4047" t="s">
        <v>12041</v>
      </c>
    </row>
    <row r="4048" spans="1:3" x14ac:dyDescent="0.25">
      <c r="A4048" t="s">
        <v>12045</v>
      </c>
      <c r="B4048" t="s">
        <v>12046</v>
      </c>
      <c r="C4048" t="s">
        <v>12044</v>
      </c>
    </row>
    <row r="4049" spans="1:3" x14ac:dyDescent="0.25">
      <c r="A4049" t="s">
        <v>12048</v>
      </c>
      <c r="B4049" t="s">
        <v>12049</v>
      </c>
      <c r="C4049" t="s">
        <v>12047</v>
      </c>
    </row>
    <row r="4050" spans="1:3" x14ac:dyDescent="0.25">
      <c r="A4050" t="s">
        <v>12051</v>
      </c>
      <c r="B4050" t="s">
        <v>12052</v>
      </c>
      <c r="C4050" t="s">
        <v>12050</v>
      </c>
    </row>
    <row r="4051" spans="1:3" x14ac:dyDescent="0.25">
      <c r="A4051" t="s">
        <v>12054</v>
      </c>
      <c r="B4051" t="s">
        <v>12055</v>
      </c>
      <c r="C4051" t="s">
        <v>12053</v>
      </c>
    </row>
    <row r="4052" spans="1:3" x14ac:dyDescent="0.25">
      <c r="A4052" t="s">
        <v>12057</v>
      </c>
      <c r="B4052" t="s">
        <v>12058</v>
      </c>
      <c r="C4052" t="s">
        <v>12056</v>
      </c>
    </row>
    <row r="4053" spans="1:3" x14ac:dyDescent="0.25">
      <c r="A4053" t="s">
        <v>12060</v>
      </c>
      <c r="B4053" t="s">
        <v>12061</v>
      </c>
      <c r="C4053" t="s">
        <v>12059</v>
      </c>
    </row>
    <row r="4054" spans="1:3" x14ac:dyDescent="0.25">
      <c r="A4054" t="s">
        <v>12063</v>
      </c>
      <c r="B4054" t="s">
        <v>12064</v>
      </c>
      <c r="C4054" t="s">
        <v>12062</v>
      </c>
    </row>
    <row r="4055" spans="1:3" x14ac:dyDescent="0.25">
      <c r="A4055" t="s">
        <v>12066</v>
      </c>
      <c r="B4055" t="s">
        <v>12067</v>
      </c>
      <c r="C4055" t="s">
        <v>12065</v>
      </c>
    </row>
    <row r="4056" spans="1:3" x14ac:dyDescent="0.25">
      <c r="A4056" t="s">
        <v>12069</v>
      </c>
      <c r="B4056" t="s">
        <v>12070</v>
      </c>
      <c r="C4056" t="s">
        <v>12068</v>
      </c>
    </row>
    <row r="4057" spans="1:3" x14ac:dyDescent="0.25">
      <c r="A4057" t="s">
        <v>12072</v>
      </c>
      <c r="B4057" t="s">
        <v>12073</v>
      </c>
      <c r="C4057" t="s">
        <v>12071</v>
      </c>
    </row>
    <row r="4058" spans="1:3" x14ac:dyDescent="0.25">
      <c r="A4058" t="s">
        <v>12075</v>
      </c>
      <c r="B4058" t="s">
        <v>12076</v>
      </c>
      <c r="C4058" t="s">
        <v>12074</v>
      </c>
    </row>
    <row r="4059" spans="1:3" x14ac:dyDescent="0.25">
      <c r="A4059" t="s">
        <v>12078</v>
      </c>
      <c r="B4059" t="s">
        <v>12079</v>
      </c>
      <c r="C4059" t="s">
        <v>12077</v>
      </c>
    </row>
    <row r="4060" spans="1:3" x14ac:dyDescent="0.25">
      <c r="A4060" t="s">
        <v>12081</v>
      </c>
      <c r="B4060" t="s">
        <v>12082</v>
      </c>
      <c r="C4060" t="s">
        <v>12080</v>
      </c>
    </row>
    <row r="4061" spans="1:3" x14ac:dyDescent="0.25">
      <c r="A4061" t="s">
        <v>12084</v>
      </c>
      <c r="B4061" t="s">
        <v>12085</v>
      </c>
      <c r="C4061" t="s">
        <v>12083</v>
      </c>
    </row>
    <row r="4062" spans="1:3" x14ac:dyDescent="0.25">
      <c r="A4062" t="s">
        <v>12087</v>
      </c>
      <c r="B4062" t="s">
        <v>12088</v>
      </c>
      <c r="C4062" t="s">
        <v>12086</v>
      </c>
    </row>
    <row r="4063" spans="1:3" x14ac:dyDescent="0.25">
      <c r="A4063" t="s">
        <v>12090</v>
      </c>
      <c r="B4063" t="s">
        <v>12091</v>
      </c>
      <c r="C4063" t="s">
        <v>12089</v>
      </c>
    </row>
    <row r="4064" spans="1:3" x14ac:dyDescent="0.25">
      <c r="A4064" t="s">
        <v>12093</v>
      </c>
      <c r="B4064" t="s">
        <v>12094</v>
      </c>
      <c r="C4064" t="s">
        <v>12092</v>
      </c>
    </row>
    <row r="4065" spans="1:3" x14ac:dyDescent="0.25">
      <c r="A4065" t="s">
        <v>12096</v>
      </c>
      <c r="B4065" t="s">
        <v>12097</v>
      </c>
      <c r="C4065" t="s">
        <v>12095</v>
      </c>
    </row>
    <row r="4066" spans="1:3" x14ac:dyDescent="0.25">
      <c r="A4066" t="s">
        <v>12099</v>
      </c>
      <c r="B4066" t="s">
        <v>12076</v>
      </c>
      <c r="C4066" t="s">
        <v>12098</v>
      </c>
    </row>
    <row r="4067" spans="1:3" x14ac:dyDescent="0.25">
      <c r="A4067" t="s">
        <v>12101</v>
      </c>
      <c r="B4067" t="s">
        <v>12082</v>
      </c>
      <c r="C4067" t="s">
        <v>12100</v>
      </c>
    </row>
    <row r="4068" spans="1:3" x14ac:dyDescent="0.25">
      <c r="A4068" t="s">
        <v>12103</v>
      </c>
      <c r="B4068" t="s">
        <v>12085</v>
      </c>
      <c r="C4068" t="s">
        <v>12102</v>
      </c>
    </row>
    <row r="4069" spans="1:3" x14ac:dyDescent="0.25">
      <c r="A4069" t="s">
        <v>12105</v>
      </c>
      <c r="B4069" t="s">
        <v>12106</v>
      </c>
      <c r="C4069" t="s">
        <v>12104</v>
      </c>
    </row>
    <row r="4070" spans="1:3" x14ac:dyDescent="0.25">
      <c r="A4070" t="s">
        <v>12108</v>
      </c>
      <c r="B4070" t="s">
        <v>12109</v>
      </c>
      <c r="C4070" t="s">
        <v>12107</v>
      </c>
    </row>
    <row r="4071" spans="1:3" x14ac:dyDescent="0.25">
      <c r="A4071" t="s">
        <v>12111</v>
      </c>
      <c r="B4071" t="s">
        <v>12112</v>
      </c>
      <c r="C4071" t="s">
        <v>12110</v>
      </c>
    </row>
    <row r="4072" spans="1:3" x14ac:dyDescent="0.25">
      <c r="A4072" t="s">
        <v>12114</v>
      </c>
      <c r="B4072" t="s">
        <v>12040</v>
      </c>
      <c r="C4072" t="s">
        <v>12113</v>
      </c>
    </row>
    <row r="4073" spans="1:3" x14ac:dyDescent="0.25">
      <c r="A4073" t="s">
        <v>12116</v>
      </c>
      <c r="B4073" t="s">
        <v>12117</v>
      </c>
      <c r="C4073" t="s">
        <v>12115</v>
      </c>
    </row>
    <row r="4074" spans="1:3" x14ac:dyDescent="0.25">
      <c r="A4074" t="s">
        <v>12119</v>
      </c>
      <c r="B4074" t="s">
        <v>12120</v>
      </c>
      <c r="C4074" t="s">
        <v>12118</v>
      </c>
    </row>
    <row r="4075" spans="1:3" x14ac:dyDescent="0.25">
      <c r="A4075" t="s">
        <v>12122</v>
      </c>
      <c r="B4075" t="s">
        <v>12123</v>
      </c>
      <c r="C4075" t="s">
        <v>12121</v>
      </c>
    </row>
    <row r="4076" spans="1:3" x14ac:dyDescent="0.25">
      <c r="A4076" t="s">
        <v>12125</v>
      </c>
      <c r="B4076" t="s">
        <v>12126</v>
      </c>
      <c r="C4076" t="s">
        <v>12124</v>
      </c>
    </row>
    <row r="4077" spans="1:3" x14ac:dyDescent="0.25">
      <c r="A4077" t="s">
        <v>12128</v>
      </c>
      <c r="B4077" t="s">
        <v>12129</v>
      </c>
      <c r="C4077" t="s">
        <v>12127</v>
      </c>
    </row>
    <row r="4078" spans="1:3" x14ac:dyDescent="0.25">
      <c r="A4078" t="s">
        <v>12131</v>
      </c>
      <c r="B4078" t="s">
        <v>12132</v>
      </c>
      <c r="C4078" t="s">
        <v>12130</v>
      </c>
    </row>
    <row r="4079" spans="1:3" x14ac:dyDescent="0.25">
      <c r="A4079" t="s">
        <v>12134</v>
      </c>
      <c r="B4079" t="s">
        <v>12135</v>
      </c>
      <c r="C4079" t="s">
        <v>12133</v>
      </c>
    </row>
    <row r="4080" spans="1:3" x14ac:dyDescent="0.25">
      <c r="A4080" t="s">
        <v>12137</v>
      </c>
      <c r="B4080" t="s">
        <v>12138</v>
      </c>
      <c r="C4080" t="s">
        <v>12136</v>
      </c>
    </row>
    <row r="4081" spans="1:3" x14ac:dyDescent="0.25">
      <c r="A4081" t="s">
        <v>12140</v>
      </c>
      <c r="B4081" t="s">
        <v>12141</v>
      </c>
      <c r="C4081" t="s">
        <v>12139</v>
      </c>
    </row>
    <row r="4082" spans="1:3" x14ac:dyDescent="0.25">
      <c r="A4082" t="s">
        <v>12143</v>
      </c>
      <c r="B4082" t="s">
        <v>12144</v>
      </c>
      <c r="C4082" t="s">
        <v>12142</v>
      </c>
    </row>
    <row r="4083" spans="1:3" x14ac:dyDescent="0.25">
      <c r="A4083" t="s">
        <v>12146</v>
      </c>
      <c r="B4083" t="s">
        <v>12147</v>
      </c>
      <c r="C4083" t="s">
        <v>12145</v>
      </c>
    </row>
    <row r="4084" spans="1:3" x14ac:dyDescent="0.25">
      <c r="A4084" t="s">
        <v>12149</v>
      </c>
      <c r="B4084" t="s">
        <v>12150</v>
      </c>
      <c r="C4084" t="s">
        <v>12148</v>
      </c>
    </row>
    <row r="4085" spans="1:3" x14ac:dyDescent="0.25">
      <c r="A4085" t="s">
        <v>12152</v>
      </c>
      <c r="B4085" t="s">
        <v>12147</v>
      </c>
      <c r="C4085" t="s">
        <v>12151</v>
      </c>
    </row>
    <row r="4086" spans="1:3" x14ac:dyDescent="0.25">
      <c r="A4086" t="s">
        <v>12154</v>
      </c>
      <c r="B4086" t="s">
        <v>12155</v>
      </c>
      <c r="C4086" t="s">
        <v>12153</v>
      </c>
    </row>
    <row r="4087" spans="1:3" x14ac:dyDescent="0.25">
      <c r="A4087" t="s">
        <v>12157</v>
      </c>
      <c r="B4087" t="s">
        <v>12158</v>
      </c>
      <c r="C4087" t="s">
        <v>12156</v>
      </c>
    </row>
    <row r="4088" spans="1:3" x14ac:dyDescent="0.25">
      <c r="A4088" t="s">
        <v>12160</v>
      </c>
      <c r="B4088" t="s">
        <v>12161</v>
      </c>
      <c r="C4088" t="s">
        <v>12159</v>
      </c>
    </row>
    <row r="4089" spans="1:3" x14ac:dyDescent="0.25">
      <c r="A4089" t="s">
        <v>12163</v>
      </c>
      <c r="B4089" t="s">
        <v>12164</v>
      </c>
      <c r="C4089" t="s">
        <v>12162</v>
      </c>
    </row>
    <row r="4090" spans="1:3" x14ac:dyDescent="0.25">
      <c r="A4090" t="s">
        <v>12166</v>
      </c>
      <c r="B4090" t="s">
        <v>12167</v>
      </c>
      <c r="C4090" t="s">
        <v>12165</v>
      </c>
    </row>
    <row r="4091" spans="1:3" x14ac:dyDescent="0.25">
      <c r="A4091" t="s">
        <v>12169</v>
      </c>
      <c r="B4091" t="s">
        <v>12170</v>
      </c>
      <c r="C4091" t="s">
        <v>12168</v>
      </c>
    </row>
    <row r="4092" spans="1:3" x14ac:dyDescent="0.25">
      <c r="A4092" t="s">
        <v>12172</v>
      </c>
      <c r="B4092" t="s">
        <v>12173</v>
      </c>
      <c r="C4092" t="s">
        <v>12171</v>
      </c>
    </row>
    <row r="4093" spans="1:3" x14ac:dyDescent="0.25">
      <c r="A4093" t="s">
        <v>12175</v>
      </c>
      <c r="B4093" t="s">
        <v>12176</v>
      </c>
      <c r="C4093" t="s">
        <v>12174</v>
      </c>
    </row>
    <row r="4094" spans="1:3" x14ac:dyDescent="0.25">
      <c r="A4094" t="s">
        <v>12178</v>
      </c>
      <c r="B4094" t="s">
        <v>12179</v>
      </c>
      <c r="C4094" t="s">
        <v>12177</v>
      </c>
    </row>
    <row r="4095" spans="1:3" x14ac:dyDescent="0.25">
      <c r="A4095" t="s">
        <v>12181</v>
      </c>
      <c r="B4095" t="s">
        <v>12182</v>
      </c>
      <c r="C4095" t="s">
        <v>12180</v>
      </c>
    </row>
    <row r="4096" spans="1:3" x14ac:dyDescent="0.25">
      <c r="A4096" t="s">
        <v>12184</v>
      </c>
      <c r="B4096" t="s">
        <v>12185</v>
      </c>
      <c r="C4096" t="s">
        <v>12183</v>
      </c>
    </row>
    <row r="4097" spans="1:3" x14ac:dyDescent="0.25">
      <c r="A4097" t="s">
        <v>12187</v>
      </c>
      <c r="B4097" t="s">
        <v>12188</v>
      </c>
      <c r="C4097" t="s">
        <v>12186</v>
      </c>
    </row>
    <row r="4098" spans="1:3" x14ac:dyDescent="0.25">
      <c r="A4098" t="s">
        <v>12190</v>
      </c>
      <c r="B4098" t="s">
        <v>12191</v>
      </c>
      <c r="C4098" t="s">
        <v>12189</v>
      </c>
    </row>
    <row r="4099" spans="1:3" x14ac:dyDescent="0.25">
      <c r="A4099" t="s">
        <v>12193</v>
      </c>
      <c r="B4099" t="s">
        <v>12194</v>
      </c>
      <c r="C4099" t="s">
        <v>12192</v>
      </c>
    </row>
    <row r="4100" spans="1:3" x14ac:dyDescent="0.25">
      <c r="A4100" t="s">
        <v>12196</v>
      </c>
      <c r="B4100" t="s">
        <v>12197</v>
      </c>
      <c r="C4100" t="s">
        <v>12195</v>
      </c>
    </row>
    <row r="4101" spans="1:3" x14ac:dyDescent="0.25">
      <c r="A4101" t="s">
        <v>12199</v>
      </c>
      <c r="B4101" t="s">
        <v>12200</v>
      </c>
      <c r="C4101" t="s">
        <v>12198</v>
      </c>
    </row>
    <row r="4102" spans="1:3" x14ac:dyDescent="0.25">
      <c r="A4102" t="s">
        <v>12202</v>
      </c>
      <c r="B4102" t="s">
        <v>12203</v>
      </c>
      <c r="C4102" t="s">
        <v>12201</v>
      </c>
    </row>
    <row r="4103" spans="1:3" x14ac:dyDescent="0.25">
      <c r="A4103" t="s">
        <v>12205</v>
      </c>
      <c r="B4103" t="s">
        <v>12206</v>
      </c>
      <c r="C4103" t="s">
        <v>12204</v>
      </c>
    </row>
    <row r="4104" spans="1:3" x14ac:dyDescent="0.25">
      <c r="A4104" t="s">
        <v>12208</v>
      </c>
      <c r="B4104" t="s">
        <v>12209</v>
      </c>
      <c r="C4104" t="s">
        <v>12207</v>
      </c>
    </row>
    <row r="4105" spans="1:3" x14ac:dyDescent="0.25">
      <c r="A4105" t="s">
        <v>12211</v>
      </c>
      <c r="B4105" t="s">
        <v>12212</v>
      </c>
      <c r="C4105" t="s">
        <v>12210</v>
      </c>
    </row>
    <row r="4106" spans="1:3" x14ac:dyDescent="0.25">
      <c r="A4106" t="s">
        <v>12214</v>
      </c>
      <c r="B4106" t="s">
        <v>12215</v>
      </c>
      <c r="C4106" t="s">
        <v>12213</v>
      </c>
    </row>
    <row r="4107" spans="1:3" x14ac:dyDescent="0.25">
      <c r="A4107" t="s">
        <v>12217</v>
      </c>
      <c r="B4107" t="s">
        <v>12218</v>
      </c>
      <c r="C4107" t="s">
        <v>12216</v>
      </c>
    </row>
    <row r="4108" spans="1:3" x14ac:dyDescent="0.25">
      <c r="A4108" t="s">
        <v>12220</v>
      </c>
      <c r="B4108" t="s">
        <v>12221</v>
      </c>
      <c r="C4108" t="s">
        <v>12219</v>
      </c>
    </row>
    <row r="4109" spans="1:3" x14ac:dyDescent="0.25">
      <c r="A4109" t="s">
        <v>12223</v>
      </c>
      <c r="B4109" t="s">
        <v>12224</v>
      </c>
      <c r="C4109" t="s">
        <v>12222</v>
      </c>
    </row>
    <row r="4110" spans="1:3" x14ac:dyDescent="0.25">
      <c r="A4110" t="s">
        <v>12226</v>
      </c>
      <c r="B4110" t="s">
        <v>12227</v>
      </c>
      <c r="C4110" t="s">
        <v>12225</v>
      </c>
    </row>
    <row r="4111" spans="1:3" x14ac:dyDescent="0.25">
      <c r="A4111" t="s">
        <v>12229</v>
      </c>
      <c r="B4111" t="s">
        <v>12230</v>
      </c>
      <c r="C4111" t="s">
        <v>12228</v>
      </c>
    </row>
    <row r="4112" spans="1:3" x14ac:dyDescent="0.25">
      <c r="A4112" t="s">
        <v>12232</v>
      </c>
      <c r="B4112" t="s">
        <v>12233</v>
      </c>
      <c r="C4112" t="s">
        <v>12231</v>
      </c>
    </row>
    <row r="4113" spans="1:3" x14ac:dyDescent="0.25">
      <c r="A4113" t="s">
        <v>12235</v>
      </c>
      <c r="B4113" t="s">
        <v>12236</v>
      </c>
      <c r="C4113" t="s">
        <v>12234</v>
      </c>
    </row>
    <row r="4114" spans="1:3" x14ac:dyDescent="0.25">
      <c r="A4114" t="s">
        <v>12238</v>
      </c>
      <c r="B4114" t="s">
        <v>12239</v>
      </c>
      <c r="C4114" t="s">
        <v>12237</v>
      </c>
    </row>
    <row r="4115" spans="1:3" x14ac:dyDescent="0.25">
      <c r="A4115" t="s">
        <v>12241</v>
      </c>
      <c r="B4115" t="s">
        <v>12242</v>
      </c>
      <c r="C4115" t="s">
        <v>12240</v>
      </c>
    </row>
    <row r="4116" spans="1:3" x14ac:dyDescent="0.25">
      <c r="A4116" t="s">
        <v>12244</v>
      </c>
      <c r="B4116" t="s">
        <v>12245</v>
      </c>
      <c r="C4116" t="s">
        <v>12243</v>
      </c>
    </row>
    <row r="4117" spans="1:3" x14ac:dyDescent="0.25">
      <c r="A4117" t="s">
        <v>12247</v>
      </c>
      <c r="B4117" t="s">
        <v>12248</v>
      </c>
      <c r="C4117" t="s">
        <v>12246</v>
      </c>
    </row>
    <row r="4118" spans="1:3" x14ac:dyDescent="0.25">
      <c r="A4118" t="s">
        <v>12250</v>
      </c>
      <c r="B4118" t="s">
        <v>12251</v>
      </c>
      <c r="C4118" t="s">
        <v>12249</v>
      </c>
    </row>
    <row r="4119" spans="1:3" x14ac:dyDescent="0.25">
      <c r="A4119" t="s">
        <v>12253</v>
      </c>
      <c r="B4119" t="s">
        <v>12254</v>
      </c>
      <c r="C4119" t="s">
        <v>12252</v>
      </c>
    </row>
    <row r="4120" spans="1:3" x14ac:dyDescent="0.25">
      <c r="A4120" t="s">
        <v>12256</v>
      </c>
      <c r="B4120" t="s">
        <v>12257</v>
      </c>
      <c r="C4120" t="s">
        <v>12255</v>
      </c>
    </row>
    <row r="4121" spans="1:3" x14ac:dyDescent="0.25">
      <c r="A4121" t="s">
        <v>12259</v>
      </c>
      <c r="B4121" t="s">
        <v>12260</v>
      </c>
      <c r="C4121" t="s">
        <v>12258</v>
      </c>
    </row>
    <row r="4122" spans="1:3" x14ac:dyDescent="0.25">
      <c r="A4122" t="s">
        <v>12262</v>
      </c>
      <c r="B4122" t="s">
        <v>12263</v>
      </c>
      <c r="C4122" t="s">
        <v>12261</v>
      </c>
    </row>
    <row r="4123" spans="1:3" x14ac:dyDescent="0.25">
      <c r="A4123" t="s">
        <v>12265</v>
      </c>
      <c r="B4123" t="s">
        <v>12266</v>
      </c>
      <c r="C4123" t="s">
        <v>12264</v>
      </c>
    </row>
    <row r="4124" spans="1:3" x14ac:dyDescent="0.25">
      <c r="A4124" t="s">
        <v>12268</v>
      </c>
      <c r="B4124" t="s">
        <v>12269</v>
      </c>
      <c r="C4124" t="s">
        <v>12267</v>
      </c>
    </row>
    <row r="4125" spans="1:3" x14ac:dyDescent="0.25">
      <c r="A4125" t="s">
        <v>12271</v>
      </c>
      <c r="B4125" t="s">
        <v>12242</v>
      </c>
      <c r="C4125" t="s">
        <v>12270</v>
      </c>
    </row>
    <row r="4126" spans="1:3" x14ac:dyDescent="0.25">
      <c r="A4126" t="s">
        <v>12273</v>
      </c>
      <c r="B4126" t="s">
        <v>12037</v>
      </c>
      <c r="C4126" t="s">
        <v>12272</v>
      </c>
    </row>
    <row r="4127" spans="1:3" x14ac:dyDescent="0.25">
      <c r="A4127" t="s">
        <v>12275</v>
      </c>
      <c r="B4127" t="s">
        <v>12276</v>
      </c>
      <c r="C4127" t="s">
        <v>12274</v>
      </c>
    </row>
    <row r="4128" spans="1:3" x14ac:dyDescent="0.25">
      <c r="A4128" t="s">
        <v>12278</v>
      </c>
      <c r="B4128" t="s">
        <v>12279</v>
      </c>
      <c r="C4128" t="s">
        <v>12277</v>
      </c>
    </row>
    <row r="4129" spans="1:3" x14ac:dyDescent="0.25">
      <c r="A4129" t="s">
        <v>12281</v>
      </c>
      <c r="B4129" t="s">
        <v>12282</v>
      </c>
      <c r="C4129" t="s">
        <v>12280</v>
      </c>
    </row>
    <row r="4130" spans="1:3" x14ac:dyDescent="0.25">
      <c r="A4130" t="s">
        <v>12284</v>
      </c>
      <c r="B4130" t="s">
        <v>12285</v>
      </c>
      <c r="C4130" t="s">
        <v>12283</v>
      </c>
    </row>
    <row r="4131" spans="1:3" x14ac:dyDescent="0.25">
      <c r="A4131" t="s">
        <v>12287</v>
      </c>
      <c r="B4131" t="s">
        <v>12288</v>
      </c>
      <c r="C4131" t="s">
        <v>12286</v>
      </c>
    </row>
    <row r="4132" spans="1:3" x14ac:dyDescent="0.25">
      <c r="A4132" t="s">
        <v>12290</v>
      </c>
      <c r="B4132" t="s">
        <v>12291</v>
      </c>
      <c r="C4132" t="s">
        <v>12289</v>
      </c>
    </row>
    <row r="4133" spans="1:3" x14ac:dyDescent="0.25">
      <c r="A4133" t="s">
        <v>12293</v>
      </c>
      <c r="B4133" t="s">
        <v>12294</v>
      </c>
      <c r="C4133" t="s">
        <v>12292</v>
      </c>
    </row>
    <row r="4134" spans="1:3" x14ac:dyDescent="0.25">
      <c r="A4134" t="s">
        <v>12296</v>
      </c>
      <c r="B4134" t="s">
        <v>12297</v>
      </c>
      <c r="C4134" t="s">
        <v>12295</v>
      </c>
    </row>
    <row r="4135" spans="1:3" x14ac:dyDescent="0.25">
      <c r="A4135" t="s">
        <v>12299</v>
      </c>
      <c r="B4135" t="s">
        <v>12300</v>
      </c>
      <c r="C4135" t="s">
        <v>12298</v>
      </c>
    </row>
    <row r="4136" spans="1:3" x14ac:dyDescent="0.25">
      <c r="A4136" t="s">
        <v>12302</v>
      </c>
      <c r="B4136" t="s">
        <v>12303</v>
      </c>
      <c r="C4136" t="s">
        <v>12301</v>
      </c>
    </row>
    <row r="4137" spans="1:3" x14ac:dyDescent="0.25">
      <c r="A4137" t="s">
        <v>12305</v>
      </c>
      <c r="B4137" t="s">
        <v>12306</v>
      </c>
      <c r="C4137" t="s">
        <v>12304</v>
      </c>
    </row>
    <row r="4138" spans="1:3" x14ac:dyDescent="0.25">
      <c r="A4138" t="s">
        <v>12308</v>
      </c>
      <c r="B4138" t="s">
        <v>12309</v>
      </c>
      <c r="C4138" t="s">
        <v>12307</v>
      </c>
    </row>
    <row r="4139" spans="1:3" x14ac:dyDescent="0.25">
      <c r="A4139" t="s">
        <v>12311</v>
      </c>
      <c r="B4139" t="s">
        <v>12312</v>
      </c>
      <c r="C4139" t="s">
        <v>12310</v>
      </c>
    </row>
    <row r="4140" spans="1:3" x14ac:dyDescent="0.25">
      <c r="A4140" t="s">
        <v>12314</v>
      </c>
      <c r="B4140" t="s">
        <v>12315</v>
      </c>
      <c r="C4140" t="s">
        <v>12313</v>
      </c>
    </row>
    <row r="4141" spans="1:3" x14ac:dyDescent="0.25">
      <c r="A4141" t="s">
        <v>12317</v>
      </c>
      <c r="B4141" t="s">
        <v>12318</v>
      </c>
      <c r="C4141" t="s">
        <v>12316</v>
      </c>
    </row>
    <row r="4142" spans="1:3" x14ac:dyDescent="0.25">
      <c r="A4142" t="s">
        <v>12320</v>
      </c>
      <c r="B4142" t="s">
        <v>12321</v>
      </c>
      <c r="C4142" t="s">
        <v>12319</v>
      </c>
    </row>
    <row r="4143" spans="1:3" x14ac:dyDescent="0.25">
      <c r="A4143" t="s">
        <v>12323</v>
      </c>
      <c r="B4143" t="s">
        <v>12155</v>
      </c>
      <c r="C4143" t="s">
        <v>12322</v>
      </c>
    </row>
    <row r="4144" spans="1:3" x14ac:dyDescent="0.25">
      <c r="A4144" t="s">
        <v>12325</v>
      </c>
      <c r="B4144" t="s">
        <v>12147</v>
      </c>
      <c r="C4144" t="s">
        <v>12324</v>
      </c>
    </row>
    <row r="4145" spans="1:3" x14ac:dyDescent="0.25">
      <c r="A4145" t="s">
        <v>12327</v>
      </c>
      <c r="B4145" t="s">
        <v>12155</v>
      </c>
      <c r="C4145" t="s">
        <v>12326</v>
      </c>
    </row>
    <row r="4146" spans="1:3" x14ac:dyDescent="0.25">
      <c r="A4146" t="s">
        <v>12329</v>
      </c>
      <c r="B4146" t="s">
        <v>12330</v>
      </c>
      <c r="C4146" t="s">
        <v>12328</v>
      </c>
    </row>
    <row r="4147" spans="1:3" x14ac:dyDescent="0.25">
      <c r="A4147" t="s">
        <v>12332</v>
      </c>
      <c r="B4147" t="s">
        <v>12333</v>
      </c>
      <c r="C4147" t="s">
        <v>12331</v>
      </c>
    </row>
    <row r="4148" spans="1:3" x14ac:dyDescent="0.25">
      <c r="A4148" t="s">
        <v>12335</v>
      </c>
      <c r="B4148" t="s">
        <v>12336</v>
      </c>
      <c r="C4148" t="s">
        <v>12334</v>
      </c>
    </row>
    <row r="4149" spans="1:3" x14ac:dyDescent="0.25">
      <c r="A4149" t="s">
        <v>12338</v>
      </c>
      <c r="B4149" t="s">
        <v>12339</v>
      </c>
      <c r="C4149" t="s">
        <v>12337</v>
      </c>
    </row>
    <row r="4150" spans="1:3" x14ac:dyDescent="0.25">
      <c r="A4150" t="s">
        <v>12341</v>
      </c>
      <c r="B4150" t="s">
        <v>12342</v>
      </c>
      <c r="C4150" t="s">
        <v>12340</v>
      </c>
    </row>
    <row r="4151" spans="1:3" x14ac:dyDescent="0.25">
      <c r="A4151" t="s">
        <v>12344</v>
      </c>
      <c r="B4151" t="s">
        <v>12345</v>
      </c>
      <c r="C4151" t="s">
        <v>12343</v>
      </c>
    </row>
    <row r="4152" spans="1:3" x14ac:dyDescent="0.25">
      <c r="A4152" t="s">
        <v>12347</v>
      </c>
      <c r="B4152" t="s">
        <v>12348</v>
      </c>
      <c r="C4152" t="s">
        <v>12346</v>
      </c>
    </row>
    <row r="4153" spans="1:3" x14ac:dyDescent="0.25">
      <c r="A4153" t="s">
        <v>12350</v>
      </c>
      <c r="B4153" t="s">
        <v>12351</v>
      </c>
      <c r="C4153" t="s">
        <v>12349</v>
      </c>
    </row>
    <row r="4154" spans="1:3" x14ac:dyDescent="0.25">
      <c r="A4154" t="s">
        <v>12353</v>
      </c>
      <c r="B4154" t="s">
        <v>12330</v>
      </c>
      <c r="C4154" t="s">
        <v>12352</v>
      </c>
    </row>
    <row r="4155" spans="1:3" x14ac:dyDescent="0.25">
      <c r="A4155" t="s">
        <v>12355</v>
      </c>
      <c r="B4155" t="s">
        <v>12356</v>
      </c>
      <c r="C4155" t="s">
        <v>12354</v>
      </c>
    </row>
    <row r="4156" spans="1:3" x14ac:dyDescent="0.25">
      <c r="A4156" t="s">
        <v>12358</v>
      </c>
      <c r="B4156" t="s">
        <v>12359</v>
      </c>
      <c r="C4156" t="s">
        <v>12357</v>
      </c>
    </row>
    <row r="4157" spans="1:3" x14ac:dyDescent="0.25">
      <c r="A4157" t="s">
        <v>12361</v>
      </c>
      <c r="B4157" t="s">
        <v>12362</v>
      </c>
      <c r="C4157" t="s">
        <v>12360</v>
      </c>
    </row>
    <row r="4158" spans="1:3" x14ac:dyDescent="0.25">
      <c r="A4158" t="s">
        <v>12364</v>
      </c>
      <c r="B4158" t="s">
        <v>12365</v>
      </c>
      <c r="C4158" t="s">
        <v>12363</v>
      </c>
    </row>
    <row r="4159" spans="1:3" x14ac:dyDescent="0.25">
      <c r="A4159" t="s">
        <v>12367</v>
      </c>
      <c r="B4159" t="s">
        <v>12368</v>
      </c>
      <c r="C4159" t="s">
        <v>12366</v>
      </c>
    </row>
    <row r="4160" spans="1:3" x14ac:dyDescent="0.25">
      <c r="A4160" t="s">
        <v>12370</v>
      </c>
      <c r="B4160" t="s">
        <v>12371</v>
      </c>
      <c r="C4160" t="s">
        <v>12369</v>
      </c>
    </row>
    <row r="4161" spans="1:3" x14ac:dyDescent="0.25">
      <c r="A4161" t="s">
        <v>12373</v>
      </c>
      <c r="B4161" t="s">
        <v>12374</v>
      </c>
      <c r="C4161" t="s">
        <v>12372</v>
      </c>
    </row>
    <row r="4162" spans="1:3" x14ac:dyDescent="0.25">
      <c r="A4162" t="s">
        <v>12376</v>
      </c>
      <c r="B4162" t="s">
        <v>12377</v>
      </c>
      <c r="C4162" t="s">
        <v>12375</v>
      </c>
    </row>
    <row r="4163" spans="1:3" x14ac:dyDescent="0.25">
      <c r="A4163" t="s">
        <v>12379</v>
      </c>
      <c r="B4163" t="s">
        <v>12380</v>
      </c>
      <c r="C4163" t="s">
        <v>12378</v>
      </c>
    </row>
    <row r="4164" spans="1:3" x14ac:dyDescent="0.25">
      <c r="A4164" t="s">
        <v>12382</v>
      </c>
      <c r="B4164" t="s">
        <v>12383</v>
      </c>
      <c r="C4164" t="s">
        <v>12381</v>
      </c>
    </row>
    <row r="4165" spans="1:3" x14ac:dyDescent="0.25">
      <c r="A4165" t="s">
        <v>12385</v>
      </c>
      <c r="B4165" t="s">
        <v>12374</v>
      </c>
      <c r="C4165" t="s">
        <v>12384</v>
      </c>
    </row>
    <row r="4166" spans="1:3" x14ac:dyDescent="0.25">
      <c r="A4166" t="s">
        <v>12387</v>
      </c>
      <c r="B4166" t="s">
        <v>12388</v>
      </c>
      <c r="C4166" t="s">
        <v>12386</v>
      </c>
    </row>
    <row r="4167" spans="1:3" x14ac:dyDescent="0.25">
      <c r="A4167" t="s">
        <v>12390</v>
      </c>
      <c r="B4167" t="s">
        <v>12380</v>
      </c>
      <c r="C4167" t="s">
        <v>12389</v>
      </c>
    </row>
    <row r="4168" spans="1:3" x14ac:dyDescent="0.25">
      <c r="A4168" t="s">
        <v>12392</v>
      </c>
      <c r="B4168" t="s">
        <v>12393</v>
      </c>
      <c r="C4168" t="s">
        <v>12391</v>
      </c>
    </row>
    <row r="4169" spans="1:3" x14ac:dyDescent="0.25">
      <c r="A4169" t="s">
        <v>12395</v>
      </c>
      <c r="B4169" t="s">
        <v>12396</v>
      </c>
      <c r="C4169" t="s">
        <v>12394</v>
      </c>
    </row>
    <row r="4170" spans="1:3" x14ac:dyDescent="0.25">
      <c r="A4170" t="s">
        <v>12398</v>
      </c>
      <c r="B4170" t="s">
        <v>12399</v>
      </c>
      <c r="C4170" t="s">
        <v>12397</v>
      </c>
    </row>
    <row r="4171" spans="1:3" x14ac:dyDescent="0.25">
      <c r="A4171" t="s">
        <v>12401</v>
      </c>
      <c r="B4171" t="s">
        <v>12402</v>
      </c>
      <c r="C4171" t="s">
        <v>12400</v>
      </c>
    </row>
    <row r="4172" spans="1:3" x14ac:dyDescent="0.25">
      <c r="A4172" t="s">
        <v>12404</v>
      </c>
      <c r="B4172" t="s">
        <v>12405</v>
      </c>
      <c r="C4172" t="s">
        <v>12403</v>
      </c>
    </row>
    <row r="4173" spans="1:3" x14ac:dyDescent="0.25">
      <c r="A4173" t="s">
        <v>12407</v>
      </c>
      <c r="B4173" t="s">
        <v>12408</v>
      </c>
      <c r="C4173" t="s">
        <v>12406</v>
      </c>
    </row>
    <row r="4174" spans="1:3" x14ac:dyDescent="0.25">
      <c r="A4174" t="s">
        <v>12410</v>
      </c>
      <c r="B4174" t="s">
        <v>12411</v>
      </c>
      <c r="C4174" t="s">
        <v>12409</v>
      </c>
    </row>
    <row r="4175" spans="1:3" x14ac:dyDescent="0.25">
      <c r="A4175" t="s">
        <v>12413</v>
      </c>
      <c r="B4175" t="s">
        <v>12414</v>
      </c>
      <c r="C4175" t="s">
        <v>12412</v>
      </c>
    </row>
    <row r="4176" spans="1:3" x14ac:dyDescent="0.25">
      <c r="A4176" t="s">
        <v>12416</v>
      </c>
      <c r="B4176" t="s">
        <v>12417</v>
      </c>
      <c r="C4176" t="s">
        <v>12415</v>
      </c>
    </row>
    <row r="4177" spans="1:3" x14ac:dyDescent="0.25">
      <c r="A4177" t="s">
        <v>12419</v>
      </c>
      <c r="B4177" t="s">
        <v>12420</v>
      </c>
      <c r="C4177" t="s">
        <v>12418</v>
      </c>
    </row>
    <row r="4178" spans="1:3" x14ac:dyDescent="0.25">
      <c r="A4178" t="s">
        <v>12422</v>
      </c>
      <c r="B4178" t="s">
        <v>12423</v>
      </c>
      <c r="C4178" t="s">
        <v>12421</v>
      </c>
    </row>
    <row r="4179" spans="1:3" x14ac:dyDescent="0.25">
      <c r="A4179" t="s">
        <v>12425</v>
      </c>
      <c r="B4179" t="s">
        <v>12426</v>
      </c>
      <c r="C4179" t="s">
        <v>12424</v>
      </c>
    </row>
    <row r="4180" spans="1:3" x14ac:dyDescent="0.25">
      <c r="A4180" t="s">
        <v>12428</v>
      </c>
      <c r="B4180" t="s">
        <v>12429</v>
      </c>
      <c r="C4180" t="s">
        <v>12427</v>
      </c>
    </row>
    <row r="4181" spans="1:3" x14ac:dyDescent="0.25">
      <c r="A4181" t="s">
        <v>12431</v>
      </c>
      <c r="B4181" t="s">
        <v>12432</v>
      </c>
      <c r="C4181" t="s">
        <v>12430</v>
      </c>
    </row>
    <row r="4182" spans="1:3" x14ac:dyDescent="0.25">
      <c r="A4182" t="s">
        <v>12434</v>
      </c>
      <c r="B4182" t="s">
        <v>12435</v>
      </c>
      <c r="C4182" t="s">
        <v>12433</v>
      </c>
    </row>
    <row r="4183" spans="1:3" x14ac:dyDescent="0.25">
      <c r="A4183" t="s">
        <v>12437</v>
      </c>
      <c r="B4183" t="s">
        <v>12438</v>
      </c>
      <c r="C4183" t="s">
        <v>12436</v>
      </c>
    </row>
    <row r="4184" spans="1:3" x14ac:dyDescent="0.25">
      <c r="A4184" t="s">
        <v>12440</v>
      </c>
      <c r="B4184" t="s">
        <v>12441</v>
      </c>
      <c r="C4184" t="s">
        <v>12439</v>
      </c>
    </row>
    <row r="4185" spans="1:3" x14ac:dyDescent="0.25">
      <c r="A4185" t="s">
        <v>12443</v>
      </c>
      <c r="B4185" t="s">
        <v>12444</v>
      </c>
      <c r="C4185" t="s">
        <v>12442</v>
      </c>
    </row>
    <row r="4186" spans="1:3" x14ac:dyDescent="0.25">
      <c r="A4186" t="s">
        <v>12446</v>
      </c>
      <c r="B4186" t="s">
        <v>12248</v>
      </c>
      <c r="C4186" t="s">
        <v>12445</v>
      </c>
    </row>
    <row r="4187" spans="1:3" x14ac:dyDescent="0.25">
      <c r="A4187" t="s">
        <v>12448</v>
      </c>
      <c r="B4187" t="s">
        <v>12449</v>
      </c>
      <c r="C4187" t="s">
        <v>12447</v>
      </c>
    </row>
    <row r="4188" spans="1:3" x14ac:dyDescent="0.25">
      <c r="A4188" t="s">
        <v>12451</v>
      </c>
      <c r="B4188" t="s">
        <v>12452</v>
      </c>
      <c r="C4188" t="s">
        <v>12450</v>
      </c>
    </row>
    <row r="4189" spans="1:3" x14ac:dyDescent="0.25">
      <c r="A4189" t="s">
        <v>12454</v>
      </c>
      <c r="B4189" t="s">
        <v>12455</v>
      </c>
      <c r="C4189" t="s">
        <v>12453</v>
      </c>
    </row>
    <row r="4190" spans="1:3" x14ac:dyDescent="0.25">
      <c r="A4190" t="s">
        <v>12457</v>
      </c>
      <c r="B4190" t="s">
        <v>12458</v>
      </c>
      <c r="C4190" t="s">
        <v>12456</v>
      </c>
    </row>
    <row r="4191" spans="1:3" x14ac:dyDescent="0.25">
      <c r="A4191" t="s">
        <v>12460</v>
      </c>
      <c r="B4191" t="s">
        <v>12461</v>
      </c>
      <c r="C4191" t="s">
        <v>12459</v>
      </c>
    </row>
    <row r="4192" spans="1:3" x14ac:dyDescent="0.25">
      <c r="A4192" t="s">
        <v>12463</v>
      </c>
      <c r="B4192" t="s">
        <v>12464</v>
      </c>
      <c r="C4192" t="s">
        <v>12462</v>
      </c>
    </row>
    <row r="4193" spans="1:3" x14ac:dyDescent="0.25">
      <c r="A4193" t="s">
        <v>12466</v>
      </c>
      <c r="B4193" t="s">
        <v>12467</v>
      </c>
      <c r="C4193" t="s">
        <v>12465</v>
      </c>
    </row>
    <row r="4194" spans="1:3" x14ac:dyDescent="0.25">
      <c r="A4194" t="s">
        <v>12469</v>
      </c>
      <c r="B4194" t="s">
        <v>12470</v>
      </c>
      <c r="C4194" t="s">
        <v>12468</v>
      </c>
    </row>
    <row r="4195" spans="1:3" x14ac:dyDescent="0.25">
      <c r="A4195" t="s">
        <v>12472</v>
      </c>
      <c r="B4195" t="s">
        <v>12473</v>
      </c>
      <c r="C4195" t="s">
        <v>12471</v>
      </c>
    </row>
    <row r="4196" spans="1:3" x14ac:dyDescent="0.25">
      <c r="A4196" t="s">
        <v>12475</v>
      </c>
      <c r="B4196" t="s">
        <v>12476</v>
      </c>
      <c r="C4196" t="s">
        <v>12474</v>
      </c>
    </row>
    <row r="4197" spans="1:3" x14ac:dyDescent="0.25">
      <c r="A4197" t="s">
        <v>12478</v>
      </c>
      <c r="B4197" t="s">
        <v>12479</v>
      </c>
      <c r="C4197" t="s">
        <v>12477</v>
      </c>
    </row>
    <row r="4198" spans="1:3" x14ac:dyDescent="0.25">
      <c r="A4198" t="s">
        <v>12481</v>
      </c>
      <c r="B4198" t="s">
        <v>12482</v>
      </c>
      <c r="C4198" t="s">
        <v>12480</v>
      </c>
    </row>
    <row r="4199" spans="1:3" x14ac:dyDescent="0.25">
      <c r="A4199" t="s">
        <v>12484</v>
      </c>
      <c r="B4199" t="s">
        <v>12485</v>
      </c>
      <c r="C4199" t="s">
        <v>12483</v>
      </c>
    </row>
    <row r="4200" spans="1:3" x14ac:dyDescent="0.25">
      <c r="A4200" t="s">
        <v>12487</v>
      </c>
      <c r="B4200" t="s">
        <v>12488</v>
      </c>
      <c r="C4200" t="s">
        <v>12486</v>
      </c>
    </row>
    <row r="4201" spans="1:3" x14ac:dyDescent="0.25">
      <c r="A4201" t="s">
        <v>12490</v>
      </c>
      <c r="B4201" t="s">
        <v>12491</v>
      </c>
      <c r="C4201" t="s">
        <v>12489</v>
      </c>
    </row>
    <row r="4202" spans="1:3" x14ac:dyDescent="0.25">
      <c r="A4202" t="s">
        <v>12493</v>
      </c>
      <c r="B4202" t="s">
        <v>12494</v>
      </c>
      <c r="C4202" t="s">
        <v>12492</v>
      </c>
    </row>
    <row r="4203" spans="1:3" x14ac:dyDescent="0.25">
      <c r="A4203" t="s">
        <v>12496</v>
      </c>
      <c r="B4203" t="s">
        <v>12497</v>
      </c>
      <c r="C4203" t="s">
        <v>12495</v>
      </c>
    </row>
    <row r="4204" spans="1:3" x14ac:dyDescent="0.25">
      <c r="A4204" t="s">
        <v>12499</v>
      </c>
      <c r="B4204" t="s">
        <v>12500</v>
      </c>
      <c r="C4204" t="s">
        <v>12498</v>
      </c>
    </row>
    <row r="4205" spans="1:3" x14ac:dyDescent="0.25">
      <c r="A4205" t="s">
        <v>12502</v>
      </c>
      <c r="B4205" t="s">
        <v>12503</v>
      </c>
      <c r="C4205" t="s">
        <v>12501</v>
      </c>
    </row>
    <row r="4206" spans="1:3" x14ac:dyDescent="0.25">
      <c r="A4206" t="s">
        <v>12505</v>
      </c>
      <c r="B4206" t="s">
        <v>12506</v>
      </c>
      <c r="C4206" t="s">
        <v>12504</v>
      </c>
    </row>
    <row r="4207" spans="1:3" x14ac:dyDescent="0.25">
      <c r="A4207" t="s">
        <v>12508</v>
      </c>
      <c r="B4207" t="s">
        <v>12212</v>
      </c>
      <c r="C4207" t="s">
        <v>12507</v>
      </c>
    </row>
    <row r="4208" spans="1:3" x14ac:dyDescent="0.25">
      <c r="A4208" t="s">
        <v>12510</v>
      </c>
      <c r="B4208" t="s">
        <v>12511</v>
      </c>
      <c r="C4208" t="s">
        <v>12509</v>
      </c>
    </row>
    <row r="4209" spans="1:3" x14ac:dyDescent="0.25">
      <c r="A4209" t="s">
        <v>12513</v>
      </c>
      <c r="B4209" t="s">
        <v>12514</v>
      </c>
      <c r="C4209" t="s">
        <v>12512</v>
      </c>
    </row>
    <row r="4210" spans="1:3" x14ac:dyDescent="0.25">
      <c r="A4210" t="s">
        <v>12516</v>
      </c>
      <c r="B4210" t="s">
        <v>12212</v>
      </c>
      <c r="C4210" t="s">
        <v>12515</v>
      </c>
    </row>
    <row r="4211" spans="1:3" x14ac:dyDescent="0.25">
      <c r="A4211" t="s">
        <v>12518</v>
      </c>
      <c r="B4211" t="s">
        <v>12519</v>
      </c>
      <c r="C4211" t="s">
        <v>12517</v>
      </c>
    </row>
    <row r="4212" spans="1:3" x14ac:dyDescent="0.25">
      <c r="A4212" t="s">
        <v>12521</v>
      </c>
      <c r="B4212" t="s">
        <v>12522</v>
      </c>
      <c r="C4212" t="s">
        <v>12520</v>
      </c>
    </row>
    <row r="4213" spans="1:3" x14ac:dyDescent="0.25">
      <c r="A4213" t="s">
        <v>12524</v>
      </c>
      <c r="B4213" t="s">
        <v>12091</v>
      </c>
      <c r="C4213" t="s">
        <v>12523</v>
      </c>
    </row>
    <row r="4214" spans="1:3" x14ac:dyDescent="0.25">
      <c r="A4214" t="s">
        <v>12526</v>
      </c>
      <c r="B4214" t="s">
        <v>12212</v>
      </c>
      <c r="C4214" t="s">
        <v>12525</v>
      </c>
    </row>
    <row r="4215" spans="1:3" x14ac:dyDescent="0.25">
      <c r="A4215" t="s">
        <v>12528</v>
      </c>
      <c r="B4215" t="s">
        <v>12147</v>
      </c>
      <c r="C4215" t="s">
        <v>12527</v>
      </c>
    </row>
    <row r="4216" spans="1:3" x14ac:dyDescent="0.25">
      <c r="A4216" t="s">
        <v>12530</v>
      </c>
      <c r="B4216" t="s">
        <v>12155</v>
      </c>
      <c r="C4216" t="s">
        <v>12529</v>
      </c>
    </row>
    <row r="4217" spans="1:3" x14ac:dyDescent="0.25">
      <c r="A4217" t="s">
        <v>12532</v>
      </c>
      <c r="B4217" t="s">
        <v>12212</v>
      </c>
      <c r="C4217" t="s">
        <v>12531</v>
      </c>
    </row>
    <row r="4218" spans="1:3" x14ac:dyDescent="0.25">
      <c r="A4218" t="s">
        <v>12534</v>
      </c>
      <c r="B4218" t="s">
        <v>12535</v>
      </c>
      <c r="C4218" t="s">
        <v>12533</v>
      </c>
    </row>
    <row r="4219" spans="1:3" x14ac:dyDescent="0.25">
      <c r="A4219" t="s">
        <v>12537</v>
      </c>
      <c r="B4219" t="s">
        <v>12538</v>
      </c>
      <c r="C4219" t="s">
        <v>12536</v>
      </c>
    </row>
    <row r="4220" spans="1:3" x14ac:dyDescent="0.25">
      <c r="A4220" t="s">
        <v>12540</v>
      </c>
      <c r="B4220" t="s">
        <v>12541</v>
      </c>
      <c r="C4220" t="s">
        <v>12539</v>
      </c>
    </row>
    <row r="4221" spans="1:3" x14ac:dyDescent="0.25">
      <c r="A4221" t="s">
        <v>12543</v>
      </c>
      <c r="B4221" t="s">
        <v>12544</v>
      </c>
      <c r="C4221" t="s">
        <v>12542</v>
      </c>
    </row>
    <row r="4222" spans="1:3" x14ac:dyDescent="0.25">
      <c r="A4222" t="s">
        <v>12546</v>
      </c>
      <c r="B4222" t="s">
        <v>12547</v>
      </c>
      <c r="C4222" t="s">
        <v>12545</v>
      </c>
    </row>
    <row r="4223" spans="1:3" x14ac:dyDescent="0.25">
      <c r="A4223" t="s">
        <v>12549</v>
      </c>
      <c r="B4223" t="s">
        <v>12550</v>
      </c>
      <c r="C4223" t="s">
        <v>12548</v>
      </c>
    </row>
    <row r="4224" spans="1:3" x14ac:dyDescent="0.25">
      <c r="A4224" t="s">
        <v>12552</v>
      </c>
      <c r="B4224" t="s">
        <v>12553</v>
      </c>
      <c r="C4224" t="s">
        <v>12551</v>
      </c>
    </row>
    <row r="4225" spans="1:3" x14ac:dyDescent="0.25">
      <c r="A4225" t="s">
        <v>12555</v>
      </c>
      <c r="B4225" t="s">
        <v>12556</v>
      </c>
      <c r="C4225" t="s">
        <v>12554</v>
      </c>
    </row>
    <row r="4226" spans="1:3" x14ac:dyDescent="0.25">
      <c r="A4226" t="s">
        <v>12558</v>
      </c>
      <c r="B4226" t="s">
        <v>12559</v>
      </c>
      <c r="C4226" t="s">
        <v>12557</v>
      </c>
    </row>
    <row r="4227" spans="1:3" x14ac:dyDescent="0.25">
      <c r="A4227" t="s">
        <v>12561</v>
      </c>
      <c r="B4227" t="s">
        <v>12562</v>
      </c>
      <c r="C4227" t="s">
        <v>12560</v>
      </c>
    </row>
    <row r="4228" spans="1:3" x14ac:dyDescent="0.25">
      <c r="A4228" t="s">
        <v>12564</v>
      </c>
      <c r="B4228" t="s">
        <v>12565</v>
      </c>
      <c r="C4228" t="s">
        <v>12563</v>
      </c>
    </row>
    <row r="4229" spans="1:3" x14ac:dyDescent="0.25">
      <c r="A4229" t="s">
        <v>12567</v>
      </c>
      <c r="B4229" t="s">
        <v>12568</v>
      </c>
      <c r="C4229" t="s">
        <v>12566</v>
      </c>
    </row>
    <row r="4230" spans="1:3" x14ac:dyDescent="0.25">
      <c r="A4230" t="s">
        <v>12570</v>
      </c>
      <c r="B4230" t="s">
        <v>12571</v>
      </c>
      <c r="C4230" t="s">
        <v>12569</v>
      </c>
    </row>
    <row r="4231" spans="1:3" x14ac:dyDescent="0.25">
      <c r="A4231" t="s">
        <v>12573</v>
      </c>
      <c r="B4231" t="s">
        <v>12574</v>
      </c>
      <c r="C4231" t="s">
        <v>12572</v>
      </c>
    </row>
    <row r="4232" spans="1:3" x14ac:dyDescent="0.25">
      <c r="A4232" t="s">
        <v>12576</v>
      </c>
      <c r="B4232" t="s">
        <v>12577</v>
      </c>
      <c r="C4232" t="s">
        <v>12575</v>
      </c>
    </row>
    <row r="4233" spans="1:3" x14ac:dyDescent="0.25">
      <c r="A4233" t="s">
        <v>12579</v>
      </c>
      <c r="B4233" t="s">
        <v>12580</v>
      </c>
      <c r="C4233" t="s">
        <v>12578</v>
      </c>
    </row>
    <row r="4234" spans="1:3" x14ac:dyDescent="0.25">
      <c r="A4234" t="s">
        <v>12582</v>
      </c>
      <c r="B4234" t="s">
        <v>12583</v>
      </c>
      <c r="C4234" t="s">
        <v>12581</v>
      </c>
    </row>
    <row r="4235" spans="1:3" x14ac:dyDescent="0.25">
      <c r="A4235" t="s">
        <v>12585</v>
      </c>
      <c r="B4235" t="s">
        <v>12586</v>
      </c>
      <c r="C4235" t="s">
        <v>12584</v>
      </c>
    </row>
    <row r="4236" spans="1:3" x14ac:dyDescent="0.25">
      <c r="A4236" t="s">
        <v>12588</v>
      </c>
      <c r="B4236" t="s">
        <v>12589</v>
      </c>
      <c r="C4236" t="s">
        <v>12587</v>
      </c>
    </row>
    <row r="4237" spans="1:3" x14ac:dyDescent="0.25">
      <c r="A4237" t="s">
        <v>12591</v>
      </c>
      <c r="B4237" t="s">
        <v>12592</v>
      </c>
      <c r="C4237" t="s">
        <v>12590</v>
      </c>
    </row>
    <row r="4238" spans="1:3" x14ac:dyDescent="0.25">
      <c r="A4238" t="s">
        <v>12594</v>
      </c>
      <c r="B4238" t="s">
        <v>12595</v>
      </c>
      <c r="C4238" t="s">
        <v>12593</v>
      </c>
    </row>
    <row r="4239" spans="1:3" x14ac:dyDescent="0.25">
      <c r="A4239" t="s">
        <v>12597</v>
      </c>
      <c r="B4239" t="s">
        <v>12598</v>
      </c>
      <c r="C4239" t="s">
        <v>12596</v>
      </c>
    </row>
    <row r="4240" spans="1:3" x14ac:dyDescent="0.25">
      <c r="A4240" t="s">
        <v>12600</v>
      </c>
      <c r="B4240" t="s">
        <v>12601</v>
      </c>
      <c r="C4240" t="s">
        <v>12599</v>
      </c>
    </row>
    <row r="4241" spans="1:3" x14ac:dyDescent="0.25">
      <c r="A4241" t="s">
        <v>12603</v>
      </c>
      <c r="B4241" t="s">
        <v>12604</v>
      </c>
      <c r="C4241" t="s">
        <v>12602</v>
      </c>
    </row>
    <row r="4242" spans="1:3" x14ac:dyDescent="0.25">
      <c r="A4242" t="s">
        <v>12606</v>
      </c>
      <c r="B4242" t="s">
        <v>12607</v>
      </c>
      <c r="C4242" t="s">
        <v>12605</v>
      </c>
    </row>
    <row r="4243" spans="1:3" x14ac:dyDescent="0.25">
      <c r="A4243" t="s">
        <v>12609</v>
      </c>
      <c r="B4243" t="s">
        <v>12610</v>
      </c>
      <c r="C4243" t="s">
        <v>12608</v>
      </c>
    </row>
    <row r="4244" spans="1:3" x14ac:dyDescent="0.25">
      <c r="A4244" t="s">
        <v>12612</v>
      </c>
      <c r="B4244" t="s">
        <v>12613</v>
      </c>
      <c r="C4244" t="s">
        <v>12611</v>
      </c>
    </row>
    <row r="4245" spans="1:3" x14ac:dyDescent="0.25">
      <c r="A4245" t="s">
        <v>12615</v>
      </c>
      <c r="B4245" t="s">
        <v>12616</v>
      </c>
      <c r="C4245" t="s">
        <v>12614</v>
      </c>
    </row>
    <row r="4246" spans="1:3" x14ac:dyDescent="0.25">
      <c r="A4246" t="s">
        <v>12618</v>
      </c>
      <c r="B4246" t="s">
        <v>12619</v>
      </c>
      <c r="C4246" t="s">
        <v>12617</v>
      </c>
    </row>
    <row r="4247" spans="1:3" x14ac:dyDescent="0.25">
      <c r="A4247" t="s">
        <v>12621</v>
      </c>
      <c r="B4247" t="s">
        <v>12212</v>
      </c>
      <c r="C4247" t="s">
        <v>12620</v>
      </c>
    </row>
    <row r="4248" spans="1:3" x14ac:dyDescent="0.25">
      <c r="A4248" t="s">
        <v>12623</v>
      </c>
      <c r="B4248" t="s">
        <v>12215</v>
      </c>
      <c r="C4248" t="s">
        <v>12622</v>
      </c>
    </row>
    <row r="4249" spans="1:3" x14ac:dyDescent="0.25">
      <c r="A4249" t="s">
        <v>12625</v>
      </c>
      <c r="B4249" t="s">
        <v>12626</v>
      </c>
      <c r="C4249" t="s">
        <v>12624</v>
      </c>
    </row>
    <row r="4250" spans="1:3" x14ac:dyDescent="0.25">
      <c r="A4250" t="s">
        <v>12628</v>
      </c>
      <c r="B4250" t="s">
        <v>12629</v>
      </c>
      <c r="C4250" t="s">
        <v>12627</v>
      </c>
    </row>
    <row r="4251" spans="1:3" x14ac:dyDescent="0.25">
      <c r="A4251" t="s">
        <v>12631</v>
      </c>
      <c r="B4251" t="s">
        <v>12248</v>
      </c>
      <c r="C4251" t="s">
        <v>12630</v>
      </c>
    </row>
    <row r="4252" spans="1:3" x14ac:dyDescent="0.25">
      <c r="A4252" t="s">
        <v>12633</v>
      </c>
      <c r="B4252" t="s">
        <v>12634</v>
      </c>
      <c r="C4252" t="s">
        <v>12632</v>
      </c>
    </row>
    <row r="4253" spans="1:3" x14ac:dyDescent="0.25">
      <c r="A4253" t="s">
        <v>12636</v>
      </c>
      <c r="B4253" t="s">
        <v>12637</v>
      </c>
      <c r="C4253" t="s">
        <v>12635</v>
      </c>
    </row>
    <row r="4254" spans="1:3" x14ac:dyDescent="0.25">
      <c r="A4254" t="s">
        <v>12639</v>
      </c>
      <c r="B4254" t="s">
        <v>12640</v>
      </c>
      <c r="C4254" t="s">
        <v>12638</v>
      </c>
    </row>
    <row r="4255" spans="1:3" x14ac:dyDescent="0.25">
      <c r="A4255" t="s">
        <v>12642</v>
      </c>
      <c r="B4255" t="s">
        <v>12643</v>
      </c>
      <c r="C4255" t="s">
        <v>12641</v>
      </c>
    </row>
    <row r="4256" spans="1:3" x14ac:dyDescent="0.25">
      <c r="A4256" t="s">
        <v>12645</v>
      </c>
      <c r="B4256" t="s">
        <v>12646</v>
      </c>
      <c r="C4256" t="s">
        <v>12644</v>
      </c>
    </row>
    <row r="4257" spans="1:3" x14ac:dyDescent="0.25">
      <c r="A4257" t="s">
        <v>12648</v>
      </c>
      <c r="B4257" t="s">
        <v>12649</v>
      </c>
      <c r="C4257" t="s">
        <v>12647</v>
      </c>
    </row>
    <row r="4258" spans="1:3" x14ac:dyDescent="0.25">
      <c r="A4258" t="s">
        <v>12651</v>
      </c>
      <c r="B4258" t="s">
        <v>12652</v>
      </c>
      <c r="C4258" t="s">
        <v>12650</v>
      </c>
    </row>
    <row r="4259" spans="1:3" x14ac:dyDescent="0.25">
      <c r="A4259" t="s">
        <v>12654</v>
      </c>
      <c r="B4259" t="s">
        <v>12655</v>
      </c>
      <c r="C4259" t="s">
        <v>12653</v>
      </c>
    </row>
    <row r="4260" spans="1:3" x14ac:dyDescent="0.25">
      <c r="A4260" t="s">
        <v>12657</v>
      </c>
      <c r="B4260" t="s">
        <v>12658</v>
      </c>
      <c r="C4260" t="s">
        <v>12656</v>
      </c>
    </row>
    <row r="4261" spans="1:3" x14ac:dyDescent="0.25">
      <c r="A4261" t="s">
        <v>12660</v>
      </c>
      <c r="B4261" t="s">
        <v>12661</v>
      </c>
      <c r="C4261" t="s">
        <v>12659</v>
      </c>
    </row>
    <row r="4262" spans="1:3" x14ac:dyDescent="0.25">
      <c r="A4262" t="s">
        <v>12663</v>
      </c>
      <c r="B4262" t="s">
        <v>12664</v>
      </c>
      <c r="C4262" t="s">
        <v>12662</v>
      </c>
    </row>
    <row r="4263" spans="1:3" x14ac:dyDescent="0.25">
      <c r="A4263" t="s">
        <v>12666</v>
      </c>
      <c r="B4263" t="s">
        <v>12667</v>
      </c>
      <c r="C4263" t="s">
        <v>12665</v>
      </c>
    </row>
    <row r="4264" spans="1:3" x14ac:dyDescent="0.25">
      <c r="A4264" t="s">
        <v>12669</v>
      </c>
      <c r="B4264" t="s">
        <v>12670</v>
      </c>
      <c r="C4264" t="s">
        <v>12668</v>
      </c>
    </row>
    <row r="4265" spans="1:3" x14ac:dyDescent="0.25">
      <c r="A4265" t="s">
        <v>12672</v>
      </c>
      <c r="B4265" t="s">
        <v>12673</v>
      </c>
      <c r="C4265" t="s">
        <v>12671</v>
      </c>
    </row>
    <row r="4266" spans="1:3" x14ac:dyDescent="0.25">
      <c r="A4266" t="s">
        <v>12675</v>
      </c>
      <c r="B4266" t="s">
        <v>12676</v>
      </c>
      <c r="C4266" t="s">
        <v>12674</v>
      </c>
    </row>
    <row r="4267" spans="1:3" x14ac:dyDescent="0.25">
      <c r="A4267" t="s">
        <v>12678</v>
      </c>
      <c r="B4267" t="s">
        <v>12679</v>
      </c>
      <c r="C4267" t="s">
        <v>12677</v>
      </c>
    </row>
    <row r="4268" spans="1:3" x14ac:dyDescent="0.25">
      <c r="A4268" t="s">
        <v>12681</v>
      </c>
      <c r="B4268" t="s">
        <v>12682</v>
      </c>
      <c r="C4268" t="s">
        <v>12680</v>
      </c>
    </row>
    <row r="4269" spans="1:3" x14ac:dyDescent="0.25">
      <c r="A4269" t="s">
        <v>12684</v>
      </c>
      <c r="B4269" t="s">
        <v>12685</v>
      </c>
      <c r="C4269" t="s">
        <v>12683</v>
      </c>
    </row>
    <row r="4270" spans="1:3" x14ac:dyDescent="0.25">
      <c r="A4270" t="s">
        <v>12687</v>
      </c>
      <c r="B4270" t="s">
        <v>12688</v>
      </c>
      <c r="C4270" t="s">
        <v>12686</v>
      </c>
    </row>
    <row r="4271" spans="1:3" x14ac:dyDescent="0.25">
      <c r="A4271" t="s">
        <v>12690</v>
      </c>
      <c r="B4271" t="s">
        <v>12248</v>
      </c>
      <c r="C4271" t="s">
        <v>12689</v>
      </c>
    </row>
    <row r="4272" spans="1:3" x14ac:dyDescent="0.25">
      <c r="A4272" t="s">
        <v>12692</v>
      </c>
      <c r="B4272" t="s">
        <v>12693</v>
      </c>
      <c r="C4272" t="s">
        <v>12691</v>
      </c>
    </row>
    <row r="4273" spans="1:3" x14ac:dyDescent="0.25">
      <c r="A4273" t="s">
        <v>12695</v>
      </c>
      <c r="B4273" t="s">
        <v>12696</v>
      </c>
      <c r="C4273" t="s">
        <v>12694</v>
      </c>
    </row>
    <row r="4274" spans="1:3" x14ac:dyDescent="0.25">
      <c r="A4274" t="s">
        <v>12698</v>
      </c>
      <c r="B4274" t="s">
        <v>12699</v>
      </c>
      <c r="C4274" t="s">
        <v>12697</v>
      </c>
    </row>
    <row r="4275" spans="1:3" x14ac:dyDescent="0.25">
      <c r="A4275" t="s">
        <v>12701</v>
      </c>
      <c r="B4275" t="s">
        <v>12702</v>
      </c>
      <c r="C4275" t="s">
        <v>12700</v>
      </c>
    </row>
    <row r="4276" spans="1:3" x14ac:dyDescent="0.25">
      <c r="A4276" t="s">
        <v>12704</v>
      </c>
      <c r="B4276" t="s">
        <v>12705</v>
      </c>
      <c r="C4276" t="s">
        <v>12703</v>
      </c>
    </row>
    <row r="4277" spans="1:3" x14ac:dyDescent="0.25">
      <c r="A4277" t="s">
        <v>12707</v>
      </c>
      <c r="B4277" t="s">
        <v>12708</v>
      </c>
      <c r="C4277" t="s">
        <v>12706</v>
      </c>
    </row>
    <row r="4278" spans="1:3" x14ac:dyDescent="0.25">
      <c r="A4278" t="s">
        <v>12710</v>
      </c>
      <c r="B4278" t="s">
        <v>12711</v>
      </c>
      <c r="C4278" t="s">
        <v>12709</v>
      </c>
    </row>
    <row r="4279" spans="1:3" x14ac:dyDescent="0.25">
      <c r="A4279" t="s">
        <v>12713</v>
      </c>
      <c r="B4279" t="s">
        <v>12714</v>
      </c>
      <c r="C4279" t="s">
        <v>12712</v>
      </c>
    </row>
    <row r="4280" spans="1:3" x14ac:dyDescent="0.25">
      <c r="A4280" t="s">
        <v>12716</v>
      </c>
      <c r="B4280" t="s">
        <v>12717</v>
      </c>
      <c r="C4280" t="s">
        <v>12715</v>
      </c>
    </row>
    <row r="4281" spans="1:3" x14ac:dyDescent="0.25">
      <c r="A4281" t="s">
        <v>12719</v>
      </c>
      <c r="B4281" t="s">
        <v>12720</v>
      </c>
      <c r="C4281" t="s">
        <v>12718</v>
      </c>
    </row>
    <row r="4282" spans="1:3" x14ac:dyDescent="0.25">
      <c r="A4282" t="s">
        <v>12722</v>
      </c>
      <c r="B4282" t="s">
        <v>12723</v>
      </c>
      <c r="C4282" t="s">
        <v>12721</v>
      </c>
    </row>
    <row r="4283" spans="1:3" x14ac:dyDescent="0.25">
      <c r="A4283" t="s">
        <v>12725</v>
      </c>
      <c r="B4283" t="s">
        <v>12726</v>
      </c>
      <c r="C4283" t="s">
        <v>12724</v>
      </c>
    </row>
    <row r="4284" spans="1:3" x14ac:dyDescent="0.25">
      <c r="A4284" t="s">
        <v>12728</v>
      </c>
      <c r="B4284" t="s">
        <v>12729</v>
      </c>
      <c r="C4284" t="s">
        <v>12727</v>
      </c>
    </row>
    <row r="4285" spans="1:3" x14ac:dyDescent="0.25">
      <c r="A4285" t="s">
        <v>12731</v>
      </c>
      <c r="B4285" t="s">
        <v>12732</v>
      </c>
      <c r="C4285" t="s">
        <v>12730</v>
      </c>
    </row>
    <row r="4286" spans="1:3" x14ac:dyDescent="0.25">
      <c r="A4286" t="s">
        <v>12734</v>
      </c>
      <c r="B4286" t="s">
        <v>12735</v>
      </c>
      <c r="C4286" t="s">
        <v>12733</v>
      </c>
    </row>
    <row r="4287" spans="1:3" x14ac:dyDescent="0.25">
      <c r="A4287" t="s">
        <v>12737</v>
      </c>
      <c r="B4287" t="s">
        <v>12738</v>
      </c>
      <c r="C4287" t="s">
        <v>12736</v>
      </c>
    </row>
    <row r="4288" spans="1:3" x14ac:dyDescent="0.25">
      <c r="A4288" t="s">
        <v>12740</v>
      </c>
      <c r="B4288" t="s">
        <v>12741</v>
      </c>
      <c r="C4288" t="s">
        <v>12739</v>
      </c>
    </row>
    <row r="4289" spans="1:3" x14ac:dyDescent="0.25">
      <c r="A4289" t="s">
        <v>12743</v>
      </c>
      <c r="B4289" t="s">
        <v>12744</v>
      </c>
      <c r="C4289" t="s">
        <v>12742</v>
      </c>
    </row>
    <row r="4290" spans="1:3" x14ac:dyDescent="0.25">
      <c r="A4290" t="s">
        <v>12746</v>
      </c>
      <c r="B4290" t="s">
        <v>12747</v>
      </c>
      <c r="C4290" t="s">
        <v>12745</v>
      </c>
    </row>
    <row r="4291" spans="1:3" x14ac:dyDescent="0.25">
      <c r="A4291" t="s">
        <v>12749</v>
      </c>
      <c r="B4291" t="s">
        <v>12750</v>
      </c>
      <c r="C4291" t="s">
        <v>12748</v>
      </c>
    </row>
    <row r="4292" spans="1:3" x14ac:dyDescent="0.25">
      <c r="A4292" t="s">
        <v>12752</v>
      </c>
      <c r="B4292" t="s">
        <v>12753</v>
      </c>
      <c r="C4292" t="s">
        <v>12751</v>
      </c>
    </row>
    <row r="4293" spans="1:3" x14ac:dyDescent="0.25">
      <c r="A4293" t="s">
        <v>12755</v>
      </c>
      <c r="B4293" t="s">
        <v>12756</v>
      </c>
      <c r="C4293" t="s">
        <v>12754</v>
      </c>
    </row>
    <row r="4294" spans="1:3" x14ac:dyDescent="0.25">
      <c r="A4294" t="s">
        <v>12758</v>
      </c>
      <c r="B4294" t="s">
        <v>12759</v>
      </c>
      <c r="C4294" t="s">
        <v>12757</v>
      </c>
    </row>
    <row r="4295" spans="1:3" x14ac:dyDescent="0.25">
      <c r="A4295" t="s">
        <v>12761</v>
      </c>
      <c r="B4295" t="s">
        <v>12762</v>
      </c>
      <c r="C4295" t="s">
        <v>12760</v>
      </c>
    </row>
    <row r="4296" spans="1:3" x14ac:dyDescent="0.25">
      <c r="A4296" t="s">
        <v>12764</v>
      </c>
      <c r="B4296" t="s">
        <v>12765</v>
      </c>
      <c r="C4296" t="s">
        <v>12763</v>
      </c>
    </row>
    <row r="4297" spans="1:3" x14ac:dyDescent="0.25">
      <c r="A4297" t="s">
        <v>12767</v>
      </c>
      <c r="B4297" t="s">
        <v>12768</v>
      </c>
      <c r="C4297" t="s">
        <v>12766</v>
      </c>
    </row>
    <row r="4298" spans="1:3" x14ac:dyDescent="0.25">
      <c r="A4298" t="s">
        <v>12770</v>
      </c>
      <c r="B4298" t="s">
        <v>12771</v>
      </c>
      <c r="C4298" t="s">
        <v>12769</v>
      </c>
    </row>
    <row r="4299" spans="1:3" x14ac:dyDescent="0.25">
      <c r="A4299" t="s">
        <v>12773</v>
      </c>
      <c r="B4299" t="s">
        <v>12774</v>
      </c>
      <c r="C4299" t="s">
        <v>12772</v>
      </c>
    </row>
    <row r="4300" spans="1:3" x14ac:dyDescent="0.25">
      <c r="A4300" t="s">
        <v>12776</v>
      </c>
      <c r="B4300" t="s">
        <v>12777</v>
      </c>
      <c r="C4300" t="s">
        <v>12775</v>
      </c>
    </row>
    <row r="4301" spans="1:3" x14ac:dyDescent="0.25">
      <c r="A4301" t="s">
        <v>12779</v>
      </c>
      <c r="B4301" t="s">
        <v>12780</v>
      </c>
      <c r="C4301" t="s">
        <v>12778</v>
      </c>
    </row>
    <row r="4302" spans="1:3" x14ac:dyDescent="0.25">
      <c r="A4302" t="s">
        <v>12782</v>
      </c>
      <c r="B4302" t="s">
        <v>12783</v>
      </c>
      <c r="C4302" t="s">
        <v>12781</v>
      </c>
    </row>
    <row r="4303" spans="1:3" x14ac:dyDescent="0.25">
      <c r="A4303" t="s">
        <v>12785</v>
      </c>
      <c r="B4303" t="s">
        <v>12786</v>
      </c>
      <c r="C4303" t="s">
        <v>12784</v>
      </c>
    </row>
    <row r="4304" spans="1:3" x14ac:dyDescent="0.25">
      <c r="A4304" t="s">
        <v>12788</v>
      </c>
      <c r="B4304" t="s">
        <v>12789</v>
      </c>
      <c r="C4304" t="s">
        <v>12787</v>
      </c>
    </row>
    <row r="4305" spans="1:3" x14ac:dyDescent="0.25">
      <c r="A4305" t="s">
        <v>12791</v>
      </c>
      <c r="B4305" t="s">
        <v>12792</v>
      </c>
      <c r="C4305" t="s">
        <v>12790</v>
      </c>
    </row>
    <row r="4306" spans="1:3" x14ac:dyDescent="0.25">
      <c r="A4306" t="s">
        <v>12794</v>
      </c>
      <c r="B4306" t="s">
        <v>12795</v>
      </c>
      <c r="C4306" t="s">
        <v>12793</v>
      </c>
    </row>
    <row r="4307" spans="1:3" x14ac:dyDescent="0.25">
      <c r="A4307" t="s">
        <v>12797</v>
      </c>
      <c r="B4307" t="s">
        <v>12798</v>
      </c>
      <c r="C4307" t="s">
        <v>12796</v>
      </c>
    </row>
    <row r="4308" spans="1:3" x14ac:dyDescent="0.25">
      <c r="A4308" t="s">
        <v>12800</v>
      </c>
      <c r="B4308" t="s">
        <v>12801</v>
      </c>
      <c r="C4308" t="s">
        <v>12799</v>
      </c>
    </row>
    <row r="4309" spans="1:3" x14ac:dyDescent="0.25">
      <c r="A4309" t="s">
        <v>12803</v>
      </c>
      <c r="B4309" t="s">
        <v>12804</v>
      </c>
      <c r="C4309" t="s">
        <v>12802</v>
      </c>
    </row>
    <row r="4310" spans="1:3" x14ac:dyDescent="0.25">
      <c r="A4310" t="s">
        <v>12806</v>
      </c>
      <c r="B4310" t="s">
        <v>12807</v>
      </c>
      <c r="C4310" t="s">
        <v>12805</v>
      </c>
    </row>
    <row r="4311" spans="1:3" x14ac:dyDescent="0.25">
      <c r="A4311" t="s">
        <v>12809</v>
      </c>
      <c r="B4311" t="s">
        <v>12810</v>
      </c>
      <c r="C4311" t="s">
        <v>12808</v>
      </c>
    </row>
    <row r="4312" spans="1:3" x14ac:dyDescent="0.25">
      <c r="A4312" t="s">
        <v>12812</v>
      </c>
      <c r="B4312" t="s">
        <v>12813</v>
      </c>
      <c r="C4312" t="s">
        <v>12811</v>
      </c>
    </row>
    <row r="4313" spans="1:3" x14ac:dyDescent="0.25">
      <c r="A4313" t="s">
        <v>12815</v>
      </c>
      <c r="B4313" t="s">
        <v>12816</v>
      </c>
      <c r="C4313" t="s">
        <v>12814</v>
      </c>
    </row>
    <row r="4314" spans="1:3" x14ac:dyDescent="0.25">
      <c r="A4314" t="s">
        <v>12818</v>
      </c>
      <c r="B4314" t="s">
        <v>12819</v>
      </c>
      <c r="C4314" t="s">
        <v>12817</v>
      </c>
    </row>
    <row r="4315" spans="1:3" x14ac:dyDescent="0.25">
      <c r="A4315" t="s">
        <v>12821</v>
      </c>
      <c r="B4315" t="s">
        <v>12822</v>
      </c>
      <c r="C4315" t="s">
        <v>12820</v>
      </c>
    </row>
    <row r="4316" spans="1:3" x14ac:dyDescent="0.25">
      <c r="A4316" t="s">
        <v>12824</v>
      </c>
      <c r="B4316" t="s">
        <v>12825</v>
      </c>
      <c r="C4316" t="s">
        <v>12823</v>
      </c>
    </row>
    <row r="4317" spans="1:3" x14ac:dyDescent="0.25">
      <c r="A4317" t="s">
        <v>12827</v>
      </c>
      <c r="B4317" t="s">
        <v>12828</v>
      </c>
      <c r="C4317" t="s">
        <v>12826</v>
      </c>
    </row>
    <row r="4318" spans="1:3" x14ac:dyDescent="0.25">
      <c r="A4318" t="s">
        <v>12830</v>
      </c>
      <c r="B4318" t="s">
        <v>12831</v>
      </c>
      <c r="C4318" t="s">
        <v>12829</v>
      </c>
    </row>
    <row r="4319" spans="1:3" x14ac:dyDescent="0.25">
      <c r="A4319" t="s">
        <v>12833</v>
      </c>
      <c r="B4319" t="s">
        <v>12834</v>
      </c>
      <c r="C4319" t="s">
        <v>12832</v>
      </c>
    </row>
    <row r="4320" spans="1:3" x14ac:dyDescent="0.25">
      <c r="A4320" t="s">
        <v>12836</v>
      </c>
      <c r="B4320" t="s">
        <v>12837</v>
      </c>
      <c r="C4320" t="s">
        <v>12835</v>
      </c>
    </row>
    <row r="4321" spans="1:3" x14ac:dyDescent="0.25">
      <c r="A4321" t="s">
        <v>12839</v>
      </c>
      <c r="B4321" t="s">
        <v>12840</v>
      </c>
      <c r="C4321" t="s">
        <v>12838</v>
      </c>
    </row>
    <row r="4322" spans="1:3" x14ac:dyDescent="0.25">
      <c r="A4322" t="s">
        <v>12842</v>
      </c>
      <c r="B4322" t="s">
        <v>12843</v>
      </c>
      <c r="C4322" t="s">
        <v>12841</v>
      </c>
    </row>
    <row r="4323" spans="1:3" x14ac:dyDescent="0.25">
      <c r="A4323" t="s">
        <v>12845</v>
      </c>
      <c r="B4323" t="s">
        <v>12846</v>
      </c>
      <c r="C4323" t="s">
        <v>12844</v>
      </c>
    </row>
    <row r="4324" spans="1:3" x14ac:dyDescent="0.25">
      <c r="A4324" t="s">
        <v>12848</v>
      </c>
      <c r="B4324" t="s">
        <v>12849</v>
      </c>
      <c r="C4324" t="s">
        <v>12847</v>
      </c>
    </row>
    <row r="4325" spans="1:3" x14ac:dyDescent="0.25">
      <c r="A4325" t="s">
        <v>12851</v>
      </c>
      <c r="B4325" t="s">
        <v>12852</v>
      </c>
      <c r="C4325" t="s">
        <v>12850</v>
      </c>
    </row>
    <row r="4326" spans="1:3" x14ac:dyDescent="0.25">
      <c r="A4326" t="s">
        <v>12854</v>
      </c>
      <c r="B4326" t="s">
        <v>12855</v>
      </c>
      <c r="C4326" t="s">
        <v>12853</v>
      </c>
    </row>
    <row r="4327" spans="1:3" x14ac:dyDescent="0.25">
      <c r="A4327" t="s">
        <v>12857</v>
      </c>
      <c r="B4327" t="s">
        <v>12858</v>
      </c>
      <c r="C4327" t="s">
        <v>12856</v>
      </c>
    </row>
    <row r="4328" spans="1:3" x14ac:dyDescent="0.25">
      <c r="A4328" t="s">
        <v>12860</v>
      </c>
      <c r="B4328" t="s">
        <v>12861</v>
      </c>
      <c r="C4328" t="s">
        <v>12859</v>
      </c>
    </row>
    <row r="4329" spans="1:3" x14ac:dyDescent="0.25">
      <c r="A4329" t="s">
        <v>12863</v>
      </c>
      <c r="B4329" t="s">
        <v>12864</v>
      </c>
      <c r="C4329" t="s">
        <v>12862</v>
      </c>
    </row>
    <row r="4330" spans="1:3" x14ac:dyDescent="0.25">
      <c r="A4330" t="s">
        <v>12866</v>
      </c>
      <c r="B4330" t="s">
        <v>12867</v>
      </c>
      <c r="C4330" t="s">
        <v>12865</v>
      </c>
    </row>
    <row r="4331" spans="1:3" x14ac:dyDescent="0.25">
      <c r="A4331" t="s">
        <v>12869</v>
      </c>
      <c r="B4331" t="s">
        <v>12870</v>
      </c>
      <c r="C4331" t="s">
        <v>12868</v>
      </c>
    </row>
    <row r="4332" spans="1:3" x14ac:dyDescent="0.25">
      <c r="A4332" t="s">
        <v>12872</v>
      </c>
      <c r="B4332" t="s">
        <v>12873</v>
      </c>
      <c r="C4332" t="s">
        <v>12871</v>
      </c>
    </row>
    <row r="4333" spans="1:3" x14ac:dyDescent="0.25">
      <c r="A4333" t="s">
        <v>12875</v>
      </c>
      <c r="B4333" t="s">
        <v>12876</v>
      </c>
      <c r="C4333" t="s">
        <v>12874</v>
      </c>
    </row>
    <row r="4334" spans="1:3" x14ac:dyDescent="0.25">
      <c r="A4334" t="s">
        <v>12878</v>
      </c>
      <c r="B4334" t="s">
        <v>12879</v>
      </c>
      <c r="C4334" t="s">
        <v>12877</v>
      </c>
    </row>
    <row r="4335" spans="1:3" x14ac:dyDescent="0.25">
      <c r="A4335" t="s">
        <v>12881</v>
      </c>
      <c r="B4335" t="s">
        <v>12882</v>
      </c>
      <c r="C4335" t="s">
        <v>12880</v>
      </c>
    </row>
    <row r="4336" spans="1:3" x14ac:dyDescent="0.25">
      <c r="A4336" t="s">
        <v>12884</v>
      </c>
      <c r="B4336" t="s">
        <v>12885</v>
      </c>
      <c r="C4336" t="s">
        <v>12883</v>
      </c>
    </row>
    <row r="4337" spans="1:3" x14ac:dyDescent="0.25">
      <c r="A4337" t="s">
        <v>12887</v>
      </c>
      <c r="B4337" t="s">
        <v>12888</v>
      </c>
      <c r="C4337" t="s">
        <v>12886</v>
      </c>
    </row>
    <row r="4338" spans="1:3" x14ac:dyDescent="0.25">
      <c r="A4338" t="s">
        <v>12890</v>
      </c>
      <c r="B4338" t="s">
        <v>12891</v>
      </c>
      <c r="C4338" t="s">
        <v>12889</v>
      </c>
    </row>
    <row r="4339" spans="1:3" x14ac:dyDescent="0.25">
      <c r="A4339" t="s">
        <v>12893</v>
      </c>
      <c r="B4339" t="s">
        <v>12894</v>
      </c>
      <c r="C4339" t="s">
        <v>12892</v>
      </c>
    </row>
    <row r="4340" spans="1:3" x14ac:dyDescent="0.25">
      <c r="A4340" t="s">
        <v>12896</v>
      </c>
      <c r="B4340" t="s">
        <v>12894</v>
      </c>
      <c r="C4340" t="s">
        <v>12895</v>
      </c>
    </row>
    <row r="4341" spans="1:3" x14ac:dyDescent="0.25">
      <c r="A4341" t="s">
        <v>12898</v>
      </c>
      <c r="B4341" t="s">
        <v>12899</v>
      </c>
      <c r="C4341" t="s">
        <v>12897</v>
      </c>
    </row>
    <row r="4342" spans="1:3" x14ac:dyDescent="0.25">
      <c r="A4342" t="s">
        <v>12901</v>
      </c>
      <c r="B4342" t="s">
        <v>12902</v>
      </c>
      <c r="C4342" t="s">
        <v>12900</v>
      </c>
    </row>
    <row r="4343" spans="1:3" x14ac:dyDescent="0.25">
      <c r="A4343" t="s">
        <v>12904</v>
      </c>
      <c r="B4343" t="s">
        <v>12905</v>
      </c>
      <c r="C4343" t="s">
        <v>12903</v>
      </c>
    </row>
    <row r="4344" spans="1:3" x14ac:dyDescent="0.25">
      <c r="A4344" t="s">
        <v>12907</v>
      </c>
      <c r="B4344" t="s">
        <v>12908</v>
      </c>
      <c r="C4344" t="s">
        <v>12906</v>
      </c>
    </row>
    <row r="4345" spans="1:3" x14ac:dyDescent="0.25">
      <c r="A4345" t="s">
        <v>12910</v>
      </c>
      <c r="B4345" t="s">
        <v>12911</v>
      </c>
      <c r="C4345" t="s">
        <v>12909</v>
      </c>
    </row>
    <row r="4346" spans="1:3" x14ac:dyDescent="0.25">
      <c r="A4346" t="s">
        <v>12913</v>
      </c>
      <c r="B4346" t="s">
        <v>12914</v>
      </c>
      <c r="C4346" t="s">
        <v>12912</v>
      </c>
    </row>
    <row r="4347" spans="1:3" x14ac:dyDescent="0.25">
      <c r="A4347" t="s">
        <v>12916</v>
      </c>
      <c r="B4347" t="s">
        <v>12917</v>
      </c>
      <c r="C4347" t="s">
        <v>12915</v>
      </c>
    </row>
    <row r="4348" spans="1:3" x14ac:dyDescent="0.25">
      <c r="A4348" t="s">
        <v>12919</v>
      </c>
      <c r="B4348" t="s">
        <v>12920</v>
      </c>
      <c r="C4348" t="s">
        <v>12918</v>
      </c>
    </row>
    <row r="4349" spans="1:3" x14ac:dyDescent="0.25">
      <c r="A4349" t="s">
        <v>12922</v>
      </c>
      <c r="B4349" t="s">
        <v>12923</v>
      </c>
      <c r="C4349" t="s">
        <v>12921</v>
      </c>
    </row>
    <row r="4350" spans="1:3" x14ac:dyDescent="0.25">
      <c r="A4350" t="s">
        <v>12925</v>
      </c>
      <c r="B4350" t="s">
        <v>12926</v>
      </c>
      <c r="C4350" t="s">
        <v>12924</v>
      </c>
    </row>
    <row r="4351" spans="1:3" x14ac:dyDescent="0.25">
      <c r="A4351" t="s">
        <v>12928</v>
      </c>
      <c r="B4351" t="s">
        <v>12929</v>
      </c>
      <c r="C4351" t="s">
        <v>12927</v>
      </c>
    </row>
    <row r="4352" spans="1:3" x14ac:dyDescent="0.25">
      <c r="A4352" t="s">
        <v>12931</v>
      </c>
      <c r="B4352" t="s">
        <v>12932</v>
      </c>
      <c r="C4352" t="s">
        <v>12930</v>
      </c>
    </row>
    <row r="4353" spans="1:3" x14ac:dyDescent="0.25">
      <c r="A4353" t="s">
        <v>12934</v>
      </c>
      <c r="B4353" t="s">
        <v>12905</v>
      </c>
      <c r="C4353" t="s">
        <v>12933</v>
      </c>
    </row>
    <row r="4354" spans="1:3" x14ac:dyDescent="0.25">
      <c r="A4354" t="s">
        <v>12936</v>
      </c>
      <c r="B4354" t="s">
        <v>12937</v>
      </c>
      <c r="C4354" t="s">
        <v>12935</v>
      </c>
    </row>
    <row r="4355" spans="1:3" x14ac:dyDescent="0.25">
      <c r="A4355" t="s">
        <v>12939</v>
      </c>
      <c r="B4355" t="s">
        <v>12940</v>
      </c>
      <c r="C4355" t="s">
        <v>12938</v>
      </c>
    </row>
    <row r="4356" spans="1:3" x14ac:dyDescent="0.25">
      <c r="A4356" t="s">
        <v>12942</v>
      </c>
      <c r="B4356" t="s">
        <v>12943</v>
      </c>
      <c r="C4356" t="s">
        <v>12941</v>
      </c>
    </row>
    <row r="4357" spans="1:3" x14ac:dyDescent="0.25">
      <c r="A4357" t="s">
        <v>12945</v>
      </c>
      <c r="B4357" t="s">
        <v>12946</v>
      </c>
      <c r="C4357" t="s">
        <v>12944</v>
      </c>
    </row>
    <row r="4358" spans="1:3" x14ac:dyDescent="0.25">
      <c r="A4358" t="s">
        <v>12948</v>
      </c>
      <c r="B4358" t="s">
        <v>12949</v>
      </c>
      <c r="C4358" t="s">
        <v>12947</v>
      </c>
    </row>
    <row r="4359" spans="1:3" x14ac:dyDescent="0.25">
      <c r="A4359" t="s">
        <v>12951</v>
      </c>
      <c r="B4359" t="s">
        <v>12952</v>
      </c>
      <c r="C4359" t="s">
        <v>12950</v>
      </c>
    </row>
    <row r="4360" spans="1:3" x14ac:dyDescent="0.25">
      <c r="A4360" t="s">
        <v>12954</v>
      </c>
      <c r="B4360" t="s">
        <v>12955</v>
      </c>
      <c r="C4360" t="s">
        <v>12953</v>
      </c>
    </row>
    <row r="4361" spans="1:3" x14ac:dyDescent="0.25">
      <c r="A4361" t="s">
        <v>12957</v>
      </c>
      <c r="B4361" t="s">
        <v>12955</v>
      </c>
      <c r="C4361" t="s">
        <v>12956</v>
      </c>
    </row>
    <row r="4362" spans="1:3" x14ac:dyDescent="0.25">
      <c r="A4362" t="s">
        <v>12959</v>
      </c>
      <c r="B4362" t="s">
        <v>12960</v>
      </c>
      <c r="C4362" t="s">
        <v>12958</v>
      </c>
    </row>
    <row r="4363" spans="1:3" x14ac:dyDescent="0.25">
      <c r="A4363" t="s">
        <v>12962</v>
      </c>
      <c r="B4363" t="s">
        <v>12963</v>
      </c>
      <c r="C4363" t="s">
        <v>12961</v>
      </c>
    </row>
    <row r="4364" spans="1:3" x14ac:dyDescent="0.25">
      <c r="A4364" t="s">
        <v>12965</v>
      </c>
      <c r="B4364" t="s">
        <v>12966</v>
      </c>
      <c r="C4364" t="s">
        <v>12964</v>
      </c>
    </row>
    <row r="4365" spans="1:3" x14ac:dyDescent="0.25">
      <c r="A4365" t="s">
        <v>12968</v>
      </c>
      <c r="B4365" t="s">
        <v>12969</v>
      </c>
      <c r="C4365" t="s">
        <v>12967</v>
      </c>
    </row>
    <row r="4366" spans="1:3" x14ac:dyDescent="0.25">
      <c r="A4366" t="s">
        <v>12971</v>
      </c>
      <c r="B4366" t="s">
        <v>12972</v>
      </c>
      <c r="C4366" t="s">
        <v>12970</v>
      </c>
    </row>
    <row r="4367" spans="1:3" x14ac:dyDescent="0.25">
      <c r="A4367" t="s">
        <v>12974</v>
      </c>
      <c r="B4367" t="s">
        <v>12975</v>
      </c>
      <c r="C4367" t="s">
        <v>12973</v>
      </c>
    </row>
    <row r="4368" spans="1:3" x14ac:dyDescent="0.25">
      <c r="A4368" t="s">
        <v>12977</v>
      </c>
      <c r="B4368" t="s">
        <v>12978</v>
      </c>
      <c r="C4368" t="s">
        <v>12976</v>
      </c>
    </row>
    <row r="4369" spans="1:3" x14ac:dyDescent="0.25">
      <c r="A4369" t="s">
        <v>12980</v>
      </c>
      <c r="B4369" t="s">
        <v>12981</v>
      </c>
      <c r="C4369" t="s">
        <v>12979</v>
      </c>
    </row>
    <row r="4370" spans="1:3" x14ac:dyDescent="0.25">
      <c r="A4370" t="s">
        <v>12983</v>
      </c>
      <c r="B4370" t="s">
        <v>12984</v>
      </c>
      <c r="C4370" t="s">
        <v>12982</v>
      </c>
    </row>
    <row r="4371" spans="1:3" x14ac:dyDescent="0.25">
      <c r="A4371" t="s">
        <v>12986</v>
      </c>
      <c r="B4371" t="s">
        <v>12987</v>
      </c>
      <c r="C4371" t="s">
        <v>12985</v>
      </c>
    </row>
    <row r="4372" spans="1:3" x14ac:dyDescent="0.25">
      <c r="A4372" t="s">
        <v>12989</v>
      </c>
      <c r="B4372" t="s">
        <v>12990</v>
      </c>
      <c r="C4372" t="s">
        <v>12988</v>
      </c>
    </row>
    <row r="4373" spans="1:3" x14ac:dyDescent="0.25">
      <c r="A4373" t="s">
        <v>12992</v>
      </c>
      <c r="B4373" t="s">
        <v>12993</v>
      </c>
      <c r="C4373" t="s">
        <v>12991</v>
      </c>
    </row>
    <row r="4374" spans="1:3" x14ac:dyDescent="0.25">
      <c r="A4374" t="s">
        <v>12995</v>
      </c>
      <c r="B4374" t="s">
        <v>12996</v>
      </c>
      <c r="C4374" t="s">
        <v>12994</v>
      </c>
    </row>
    <row r="4375" spans="1:3" x14ac:dyDescent="0.25">
      <c r="A4375" t="s">
        <v>12998</v>
      </c>
      <c r="B4375" t="s">
        <v>12999</v>
      </c>
      <c r="C4375" t="s">
        <v>12997</v>
      </c>
    </row>
    <row r="4376" spans="1:3" x14ac:dyDescent="0.25">
      <c r="A4376" t="s">
        <v>13001</v>
      </c>
      <c r="B4376" t="s">
        <v>13002</v>
      </c>
      <c r="C4376" t="s">
        <v>13000</v>
      </c>
    </row>
    <row r="4377" spans="1:3" x14ac:dyDescent="0.25">
      <c r="A4377" t="s">
        <v>13004</v>
      </c>
      <c r="B4377" t="s">
        <v>13005</v>
      </c>
      <c r="C4377" t="s">
        <v>13003</v>
      </c>
    </row>
    <row r="4378" spans="1:3" x14ac:dyDescent="0.25">
      <c r="A4378" t="s">
        <v>13007</v>
      </c>
      <c r="B4378" t="s">
        <v>13008</v>
      </c>
      <c r="C4378" t="s">
        <v>13006</v>
      </c>
    </row>
    <row r="4379" spans="1:3" x14ac:dyDescent="0.25">
      <c r="A4379" t="s">
        <v>13010</v>
      </c>
      <c r="B4379" t="s">
        <v>13011</v>
      </c>
      <c r="C4379" t="s">
        <v>13009</v>
      </c>
    </row>
    <row r="4380" spans="1:3" x14ac:dyDescent="0.25">
      <c r="A4380" t="s">
        <v>13013</v>
      </c>
      <c r="B4380" t="s">
        <v>13014</v>
      </c>
      <c r="C4380" t="s">
        <v>13012</v>
      </c>
    </row>
    <row r="4381" spans="1:3" x14ac:dyDescent="0.25">
      <c r="A4381" t="s">
        <v>13016</v>
      </c>
      <c r="B4381" t="s">
        <v>13017</v>
      </c>
      <c r="C4381" t="s">
        <v>13015</v>
      </c>
    </row>
    <row r="4382" spans="1:3" x14ac:dyDescent="0.25">
      <c r="A4382" t="s">
        <v>13019</v>
      </c>
      <c r="B4382" t="s">
        <v>13020</v>
      </c>
      <c r="C4382" t="s">
        <v>13018</v>
      </c>
    </row>
    <row r="4383" spans="1:3" x14ac:dyDescent="0.25">
      <c r="A4383" t="s">
        <v>13022</v>
      </c>
      <c r="B4383" t="s">
        <v>13023</v>
      </c>
      <c r="C4383" t="s">
        <v>13021</v>
      </c>
    </row>
    <row r="4384" spans="1:3" x14ac:dyDescent="0.25">
      <c r="A4384" t="s">
        <v>13025</v>
      </c>
      <c r="B4384" t="s">
        <v>13026</v>
      </c>
      <c r="C4384" t="s">
        <v>13024</v>
      </c>
    </row>
    <row r="4385" spans="1:3" x14ac:dyDescent="0.25">
      <c r="A4385" t="s">
        <v>13028</v>
      </c>
      <c r="B4385" t="s">
        <v>13029</v>
      </c>
      <c r="C4385" t="s">
        <v>13027</v>
      </c>
    </row>
    <row r="4386" spans="1:3" x14ac:dyDescent="0.25">
      <c r="A4386" t="s">
        <v>13031</v>
      </c>
      <c r="B4386" t="s">
        <v>13032</v>
      </c>
      <c r="C4386" t="s">
        <v>13030</v>
      </c>
    </row>
    <row r="4387" spans="1:3" x14ac:dyDescent="0.25">
      <c r="A4387" t="s">
        <v>13034</v>
      </c>
      <c r="B4387" t="s">
        <v>13035</v>
      </c>
      <c r="C4387" t="s">
        <v>13033</v>
      </c>
    </row>
    <row r="4388" spans="1:3" x14ac:dyDescent="0.25">
      <c r="A4388" t="s">
        <v>13037</v>
      </c>
      <c r="B4388" t="s">
        <v>13038</v>
      </c>
      <c r="C4388" t="s">
        <v>13036</v>
      </c>
    </row>
    <row r="4389" spans="1:3" x14ac:dyDescent="0.25">
      <c r="A4389" t="s">
        <v>13040</v>
      </c>
      <c r="B4389" t="s">
        <v>13041</v>
      </c>
      <c r="C4389" t="s">
        <v>13039</v>
      </c>
    </row>
    <row r="4390" spans="1:3" x14ac:dyDescent="0.25">
      <c r="A4390" t="s">
        <v>13043</v>
      </c>
      <c r="B4390" t="s">
        <v>13044</v>
      </c>
      <c r="C4390" t="s">
        <v>13042</v>
      </c>
    </row>
    <row r="4391" spans="1:3" x14ac:dyDescent="0.25">
      <c r="A4391" t="s">
        <v>13046</v>
      </c>
      <c r="B4391" t="s">
        <v>13047</v>
      </c>
      <c r="C4391" t="s">
        <v>13045</v>
      </c>
    </row>
    <row r="4392" spans="1:3" x14ac:dyDescent="0.25">
      <c r="A4392" t="s">
        <v>13049</v>
      </c>
      <c r="B4392" t="s">
        <v>13050</v>
      </c>
      <c r="C4392" t="s">
        <v>13048</v>
      </c>
    </row>
    <row r="4393" spans="1:3" x14ac:dyDescent="0.25">
      <c r="A4393" t="s">
        <v>13052</v>
      </c>
      <c r="B4393" t="s">
        <v>13053</v>
      </c>
      <c r="C4393" t="s">
        <v>13051</v>
      </c>
    </row>
    <row r="4394" spans="1:3" x14ac:dyDescent="0.25">
      <c r="A4394" t="s">
        <v>13055</v>
      </c>
      <c r="B4394" t="s">
        <v>13056</v>
      </c>
      <c r="C4394" t="s">
        <v>13054</v>
      </c>
    </row>
    <row r="4395" spans="1:3" x14ac:dyDescent="0.25">
      <c r="A4395" t="s">
        <v>13058</v>
      </c>
      <c r="B4395" t="s">
        <v>13059</v>
      </c>
      <c r="C4395" t="s">
        <v>13057</v>
      </c>
    </row>
    <row r="4396" spans="1:3" x14ac:dyDescent="0.25">
      <c r="A4396" t="s">
        <v>13061</v>
      </c>
      <c r="B4396" t="s">
        <v>13062</v>
      </c>
      <c r="C4396" t="s">
        <v>13060</v>
      </c>
    </row>
    <row r="4397" spans="1:3" x14ac:dyDescent="0.25">
      <c r="A4397" t="s">
        <v>13064</v>
      </c>
      <c r="B4397" t="s">
        <v>13065</v>
      </c>
      <c r="C4397" t="s">
        <v>13063</v>
      </c>
    </row>
    <row r="4398" spans="1:3" x14ac:dyDescent="0.25">
      <c r="A4398" t="s">
        <v>13067</v>
      </c>
      <c r="B4398" t="s">
        <v>13068</v>
      </c>
      <c r="C4398" t="s">
        <v>13066</v>
      </c>
    </row>
    <row r="4399" spans="1:3" x14ac:dyDescent="0.25">
      <c r="A4399" t="s">
        <v>13070</v>
      </c>
      <c r="B4399" t="s">
        <v>13071</v>
      </c>
      <c r="C4399" t="s">
        <v>13069</v>
      </c>
    </row>
    <row r="4400" spans="1:3" x14ac:dyDescent="0.25">
      <c r="A4400" t="s">
        <v>13073</v>
      </c>
      <c r="B4400" t="s">
        <v>13074</v>
      </c>
      <c r="C4400" t="s">
        <v>13072</v>
      </c>
    </row>
    <row r="4401" spans="1:3" x14ac:dyDescent="0.25">
      <c r="A4401" t="s">
        <v>13076</v>
      </c>
      <c r="B4401" t="s">
        <v>13077</v>
      </c>
      <c r="C4401" t="s">
        <v>13075</v>
      </c>
    </row>
    <row r="4402" spans="1:3" x14ac:dyDescent="0.25">
      <c r="A4402" t="s">
        <v>13079</v>
      </c>
      <c r="B4402" t="s">
        <v>13080</v>
      </c>
      <c r="C4402" t="s">
        <v>13078</v>
      </c>
    </row>
    <row r="4403" spans="1:3" x14ac:dyDescent="0.25">
      <c r="A4403" t="s">
        <v>13082</v>
      </c>
      <c r="B4403" t="s">
        <v>13083</v>
      </c>
      <c r="C4403" t="s">
        <v>13081</v>
      </c>
    </row>
    <row r="4404" spans="1:3" x14ac:dyDescent="0.25">
      <c r="A4404" t="s">
        <v>13085</v>
      </c>
      <c r="B4404" t="s">
        <v>13086</v>
      </c>
      <c r="C4404" t="s">
        <v>13084</v>
      </c>
    </row>
    <row r="4405" spans="1:3" x14ac:dyDescent="0.25">
      <c r="A4405" t="s">
        <v>13088</v>
      </c>
      <c r="B4405" t="s">
        <v>13089</v>
      </c>
      <c r="C4405" t="s">
        <v>13087</v>
      </c>
    </row>
    <row r="4406" spans="1:3" x14ac:dyDescent="0.25">
      <c r="A4406" t="s">
        <v>13091</v>
      </c>
      <c r="B4406" t="s">
        <v>13092</v>
      </c>
      <c r="C4406" t="s">
        <v>13090</v>
      </c>
    </row>
    <row r="4407" spans="1:3" x14ac:dyDescent="0.25">
      <c r="A4407" t="s">
        <v>13094</v>
      </c>
      <c r="B4407" t="s">
        <v>13095</v>
      </c>
      <c r="C4407" t="s">
        <v>13093</v>
      </c>
    </row>
    <row r="4408" spans="1:3" x14ac:dyDescent="0.25">
      <c r="A4408" t="s">
        <v>13097</v>
      </c>
      <c r="B4408" t="s">
        <v>13098</v>
      </c>
      <c r="C4408" t="s">
        <v>13096</v>
      </c>
    </row>
    <row r="4409" spans="1:3" x14ac:dyDescent="0.25">
      <c r="A4409" t="s">
        <v>13100</v>
      </c>
      <c r="B4409" t="s">
        <v>13101</v>
      </c>
      <c r="C4409" t="s">
        <v>13099</v>
      </c>
    </row>
    <row r="4410" spans="1:3" x14ac:dyDescent="0.25">
      <c r="A4410" t="s">
        <v>13103</v>
      </c>
      <c r="B4410" t="s">
        <v>13104</v>
      </c>
      <c r="C4410" t="s">
        <v>13102</v>
      </c>
    </row>
    <row r="4411" spans="1:3" x14ac:dyDescent="0.25">
      <c r="A4411" t="s">
        <v>13106</v>
      </c>
      <c r="B4411" t="s">
        <v>13107</v>
      </c>
      <c r="C4411" t="s">
        <v>13105</v>
      </c>
    </row>
    <row r="4412" spans="1:3" x14ac:dyDescent="0.25">
      <c r="A4412" t="s">
        <v>13109</v>
      </c>
      <c r="B4412" t="s">
        <v>13107</v>
      </c>
      <c r="C4412" t="s">
        <v>13108</v>
      </c>
    </row>
    <row r="4413" spans="1:3" x14ac:dyDescent="0.25">
      <c r="A4413" t="s">
        <v>13111</v>
      </c>
      <c r="B4413" t="s">
        <v>13112</v>
      </c>
      <c r="C4413" t="s">
        <v>13110</v>
      </c>
    </row>
    <row r="4414" spans="1:3" x14ac:dyDescent="0.25">
      <c r="A4414" t="s">
        <v>13114</v>
      </c>
      <c r="B4414" t="s">
        <v>13115</v>
      </c>
      <c r="C4414" t="s">
        <v>13113</v>
      </c>
    </row>
    <row r="4415" spans="1:3" x14ac:dyDescent="0.25">
      <c r="A4415" t="s">
        <v>13117</v>
      </c>
      <c r="B4415" t="s">
        <v>13118</v>
      </c>
      <c r="C4415" t="s">
        <v>13116</v>
      </c>
    </row>
    <row r="4416" spans="1:3" x14ac:dyDescent="0.25">
      <c r="A4416" t="s">
        <v>13120</v>
      </c>
      <c r="B4416" t="s">
        <v>13121</v>
      </c>
      <c r="C4416" t="s">
        <v>13119</v>
      </c>
    </row>
    <row r="4417" spans="1:3" x14ac:dyDescent="0.25">
      <c r="A4417" t="s">
        <v>13123</v>
      </c>
      <c r="B4417" t="s">
        <v>13124</v>
      </c>
      <c r="C4417" t="s">
        <v>13122</v>
      </c>
    </row>
    <row r="4418" spans="1:3" x14ac:dyDescent="0.25">
      <c r="A4418" t="s">
        <v>13126</v>
      </c>
      <c r="B4418" t="s">
        <v>13127</v>
      </c>
      <c r="C4418" t="s">
        <v>13125</v>
      </c>
    </row>
    <row r="4419" spans="1:3" x14ac:dyDescent="0.25">
      <c r="A4419" t="s">
        <v>13129</v>
      </c>
      <c r="B4419" t="s">
        <v>13130</v>
      </c>
      <c r="C4419" t="s">
        <v>13128</v>
      </c>
    </row>
    <row r="4420" spans="1:3" x14ac:dyDescent="0.25">
      <c r="A4420" t="s">
        <v>13132</v>
      </c>
      <c r="B4420" t="s">
        <v>13133</v>
      </c>
      <c r="C4420" t="s">
        <v>13131</v>
      </c>
    </row>
    <row r="4421" spans="1:3" x14ac:dyDescent="0.25">
      <c r="A4421" t="s">
        <v>13135</v>
      </c>
      <c r="B4421" t="s">
        <v>13136</v>
      </c>
      <c r="C4421" t="s">
        <v>13134</v>
      </c>
    </row>
    <row r="4422" spans="1:3" x14ac:dyDescent="0.25">
      <c r="A4422" t="s">
        <v>13138</v>
      </c>
      <c r="B4422" t="s">
        <v>13139</v>
      </c>
      <c r="C4422" t="s">
        <v>13137</v>
      </c>
    </row>
    <row r="4423" spans="1:3" x14ac:dyDescent="0.25">
      <c r="A4423" t="s">
        <v>13141</v>
      </c>
      <c r="B4423" t="s">
        <v>13142</v>
      </c>
      <c r="C4423" t="s">
        <v>13140</v>
      </c>
    </row>
    <row r="4424" spans="1:3" x14ac:dyDescent="0.25">
      <c r="A4424" t="s">
        <v>13144</v>
      </c>
      <c r="B4424" t="s">
        <v>13145</v>
      </c>
      <c r="C4424" t="s">
        <v>13143</v>
      </c>
    </row>
    <row r="4425" spans="1:3" x14ac:dyDescent="0.25">
      <c r="A4425" t="s">
        <v>13147</v>
      </c>
      <c r="B4425" t="s">
        <v>13148</v>
      </c>
      <c r="C4425" t="s">
        <v>13146</v>
      </c>
    </row>
    <row r="4426" spans="1:3" x14ac:dyDescent="0.25">
      <c r="A4426" t="s">
        <v>13150</v>
      </c>
      <c r="B4426" t="s">
        <v>13151</v>
      </c>
      <c r="C4426" t="s">
        <v>13149</v>
      </c>
    </row>
    <row r="4427" spans="1:3" x14ac:dyDescent="0.25">
      <c r="A4427" t="s">
        <v>13153</v>
      </c>
      <c r="B4427" t="s">
        <v>13154</v>
      </c>
      <c r="C4427" t="s">
        <v>13152</v>
      </c>
    </row>
    <row r="4428" spans="1:3" x14ac:dyDescent="0.25">
      <c r="A4428" t="s">
        <v>13156</v>
      </c>
      <c r="B4428" t="s">
        <v>13157</v>
      </c>
      <c r="C4428" t="s">
        <v>13155</v>
      </c>
    </row>
    <row r="4429" spans="1:3" x14ac:dyDescent="0.25">
      <c r="A4429" t="s">
        <v>13159</v>
      </c>
      <c r="B4429" t="s">
        <v>13160</v>
      </c>
      <c r="C4429" t="s">
        <v>13158</v>
      </c>
    </row>
    <row r="4430" spans="1:3" x14ac:dyDescent="0.25">
      <c r="A4430" t="s">
        <v>13162</v>
      </c>
      <c r="B4430" t="s">
        <v>13163</v>
      </c>
      <c r="C4430" t="s">
        <v>13161</v>
      </c>
    </row>
    <row r="4431" spans="1:3" x14ac:dyDescent="0.25">
      <c r="A4431" t="s">
        <v>13165</v>
      </c>
      <c r="B4431" t="s">
        <v>13166</v>
      </c>
      <c r="C4431" t="s">
        <v>13164</v>
      </c>
    </row>
    <row r="4432" spans="1:3" x14ac:dyDescent="0.25">
      <c r="A4432" t="s">
        <v>13168</v>
      </c>
      <c r="B4432" t="s">
        <v>13169</v>
      </c>
      <c r="C4432" t="s">
        <v>13167</v>
      </c>
    </row>
    <row r="4433" spans="1:3" x14ac:dyDescent="0.25">
      <c r="A4433" t="s">
        <v>13171</v>
      </c>
      <c r="B4433" t="s">
        <v>13172</v>
      </c>
      <c r="C4433" t="s">
        <v>13170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479"/>
  <sheetViews>
    <sheetView topLeftCell="A166" workbookViewId="0">
      <selection activeCell="B74" sqref="B74"/>
    </sheetView>
  </sheetViews>
  <sheetFormatPr defaultColWidth="9.109375" defaultRowHeight="13.2" x14ac:dyDescent="0.25"/>
  <cols>
    <col min="2" max="17" width="0" hidden="1" customWidth="1"/>
    <col min="18" max="18" width="41.6640625" hidden="1" customWidth="1"/>
    <col min="19" max="19" width="38" customWidth="1"/>
    <col min="20" max="27" width="0" hidden="1" customWidth="1"/>
    <col min="36" max="37" width="10.6640625" customWidth="1"/>
  </cols>
  <sheetData>
    <row r="1" spans="1:37" x14ac:dyDescent="0.25">
      <c r="A1" t="s">
        <v>122</v>
      </c>
      <c r="B1" t="s">
        <v>13205</v>
      </c>
      <c r="C1" t="b">
        <v>1</v>
      </c>
      <c r="D1" t="b">
        <v>1</v>
      </c>
      <c r="E1">
        <v>0</v>
      </c>
      <c r="F1">
        <v>0</v>
      </c>
      <c r="G1">
        <v>0</v>
      </c>
      <c r="H1" t="s">
        <v>13206</v>
      </c>
      <c r="I1">
        <v>6</v>
      </c>
      <c r="J1">
        <v>40.5</v>
      </c>
      <c r="K1">
        <v>5.9</v>
      </c>
      <c r="L1" t="s">
        <v>13205</v>
      </c>
      <c r="M1" t="s">
        <v>13207</v>
      </c>
      <c r="N1" t="s">
        <v>13205</v>
      </c>
      <c r="O1" t="s">
        <v>874</v>
      </c>
      <c r="P1" t="s">
        <v>123</v>
      </c>
      <c r="Q1" t="s">
        <v>123</v>
      </c>
      <c r="R1" t="s">
        <v>123</v>
      </c>
      <c r="S1" t="s">
        <v>123</v>
      </c>
      <c r="T1" t="s">
        <v>1311</v>
      </c>
      <c r="U1">
        <v>0</v>
      </c>
      <c r="V1" t="b">
        <v>1</v>
      </c>
      <c r="W1" t="b">
        <v>0</v>
      </c>
      <c r="X1" t="b">
        <v>0</v>
      </c>
      <c r="Y1" t="s">
        <v>13212</v>
      </c>
      <c r="Z1">
        <v>371.07</v>
      </c>
      <c r="AA1" t="s">
        <v>13213</v>
      </c>
      <c r="AB1">
        <v>299.33</v>
      </c>
      <c r="AC1" t="s">
        <v>13213</v>
      </c>
      <c r="AD1">
        <v>359.2</v>
      </c>
      <c r="AE1" t="s">
        <v>13214</v>
      </c>
      <c r="AF1">
        <v>304.27</v>
      </c>
      <c r="AG1" t="s">
        <v>13213</v>
      </c>
      <c r="AH1">
        <v>232.75</v>
      </c>
      <c r="AI1" t="s">
        <v>13215</v>
      </c>
      <c r="AJ1">
        <v>449</v>
      </c>
      <c r="AK1" t="s">
        <v>13213</v>
      </c>
    </row>
    <row r="2" spans="1:37" s="2" customFormat="1" x14ac:dyDescent="0.25">
      <c r="A2" t="s">
        <v>124</v>
      </c>
      <c r="B2" t="s">
        <v>13205</v>
      </c>
      <c r="C2" t="b">
        <v>1</v>
      </c>
      <c r="D2" t="b">
        <v>1</v>
      </c>
      <c r="E2">
        <v>0</v>
      </c>
      <c r="F2">
        <v>0</v>
      </c>
      <c r="G2">
        <v>0</v>
      </c>
      <c r="H2" t="s">
        <v>13206</v>
      </c>
      <c r="I2">
        <v>6</v>
      </c>
      <c r="J2">
        <v>42.5</v>
      </c>
      <c r="K2">
        <v>8.5</v>
      </c>
      <c r="L2" t="s">
        <v>13205</v>
      </c>
      <c r="M2" t="s">
        <v>13207</v>
      </c>
      <c r="N2" t="s">
        <v>13205</v>
      </c>
      <c r="O2" t="s">
        <v>874</v>
      </c>
      <c r="P2" t="s">
        <v>125</v>
      </c>
      <c r="Q2" t="s">
        <v>125</v>
      </c>
      <c r="R2" t="s">
        <v>125</v>
      </c>
      <c r="S2" t="s">
        <v>125</v>
      </c>
      <c r="T2" t="s">
        <v>1316</v>
      </c>
      <c r="U2">
        <v>0</v>
      </c>
      <c r="V2" t="b">
        <v>0</v>
      </c>
      <c r="W2" t="b">
        <v>0</v>
      </c>
      <c r="X2" t="b">
        <v>0</v>
      </c>
      <c r="Y2" t="s">
        <v>13212</v>
      </c>
      <c r="Z2">
        <v>412.4</v>
      </c>
      <c r="AA2" t="s">
        <v>13213</v>
      </c>
      <c r="AB2">
        <v>332.67</v>
      </c>
      <c r="AC2" t="s">
        <v>13213</v>
      </c>
      <c r="AD2">
        <v>399.2</v>
      </c>
      <c r="AE2" t="s">
        <v>13214</v>
      </c>
      <c r="AF2">
        <v>334.76</v>
      </c>
      <c r="AG2" t="s">
        <v>13213</v>
      </c>
      <c r="AH2">
        <v>261.92</v>
      </c>
      <c r="AI2" t="s">
        <v>13215</v>
      </c>
      <c r="AJ2">
        <v>499</v>
      </c>
      <c r="AK2" t="s">
        <v>13213</v>
      </c>
    </row>
    <row r="3" spans="1:37" x14ac:dyDescent="0.25">
      <c r="A3" t="s">
        <v>148</v>
      </c>
      <c r="B3" t="s">
        <v>13205</v>
      </c>
      <c r="C3" t="b">
        <v>1</v>
      </c>
      <c r="D3" t="b">
        <v>1</v>
      </c>
      <c r="E3">
        <v>0</v>
      </c>
      <c r="F3">
        <v>0</v>
      </c>
      <c r="G3">
        <v>0</v>
      </c>
      <c r="H3" t="s">
        <v>13206</v>
      </c>
      <c r="I3">
        <v>6</v>
      </c>
      <c r="J3">
        <v>48</v>
      </c>
      <c r="K3">
        <v>8.6</v>
      </c>
      <c r="L3" t="s">
        <v>13205</v>
      </c>
      <c r="M3" t="s">
        <v>13207</v>
      </c>
      <c r="N3" t="s">
        <v>13205</v>
      </c>
      <c r="O3" t="s">
        <v>874</v>
      </c>
      <c r="P3" t="s">
        <v>149</v>
      </c>
      <c r="Q3" t="s">
        <v>149</v>
      </c>
      <c r="R3" t="s">
        <v>149</v>
      </c>
      <c r="S3" t="s">
        <v>149</v>
      </c>
      <c r="T3" t="s">
        <v>1320</v>
      </c>
      <c r="U3">
        <v>0</v>
      </c>
      <c r="V3" t="b">
        <v>1</v>
      </c>
      <c r="W3" t="b">
        <v>0</v>
      </c>
      <c r="X3" t="b">
        <v>0</v>
      </c>
      <c r="Y3" t="s">
        <v>13212</v>
      </c>
      <c r="Z3">
        <v>519.83000000000004</v>
      </c>
      <c r="AA3" t="s">
        <v>13213</v>
      </c>
      <c r="AB3">
        <v>419.33</v>
      </c>
      <c r="AC3" t="s">
        <v>13213</v>
      </c>
      <c r="AD3">
        <v>503.2</v>
      </c>
      <c r="AE3" t="s">
        <v>13214</v>
      </c>
      <c r="AF3">
        <v>401.83</v>
      </c>
      <c r="AG3" t="s">
        <v>13213</v>
      </c>
      <c r="AH3">
        <v>320.25</v>
      </c>
      <c r="AI3" t="s">
        <v>13215</v>
      </c>
      <c r="AJ3">
        <v>629</v>
      </c>
      <c r="AK3" t="s">
        <v>13213</v>
      </c>
    </row>
    <row r="4" spans="1:37" x14ac:dyDescent="0.25">
      <c r="A4" t="s">
        <v>140</v>
      </c>
      <c r="B4" t="s">
        <v>13205</v>
      </c>
      <c r="C4" t="b">
        <v>1</v>
      </c>
      <c r="D4" t="b">
        <v>1</v>
      </c>
      <c r="E4">
        <v>0</v>
      </c>
      <c r="F4">
        <v>0</v>
      </c>
      <c r="G4">
        <v>0</v>
      </c>
      <c r="H4" t="s">
        <v>13206</v>
      </c>
      <c r="I4">
        <v>6</v>
      </c>
      <c r="J4">
        <v>45</v>
      </c>
      <c r="K4">
        <v>8.6</v>
      </c>
      <c r="L4" t="s">
        <v>13205</v>
      </c>
      <c r="M4" t="s">
        <v>13207</v>
      </c>
      <c r="N4" t="s">
        <v>13205</v>
      </c>
      <c r="O4" t="s">
        <v>874</v>
      </c>
      <c r="P4" t="s">
        <v>13347</v>
      </c>
      <c r="Q4" t="s">
        <v>13347</v>
      </c>
      <c r="R4" t="s">
        <v>13347</v>
      </c>
      <c r="S4" t="s">
        <v>13347</v>
      </c>
      <c r="T4" t="s">
        <v>1324</v>
      </c>
      <c r="U4">
        <v>0</v>
      </c>
      <c r="V4" t="b">
        <v>1</v>
      </c>
      <c r="W4" t="b">
        <v>0</v>
      </c>
      <c r="X4" t="b">
        <v>0</v>
      </c>
      <c r="Y4" t="s">
        <v>13212</v>
      </c>
      <c r="Z4">
        <v>503.31</v>
      </c>
      <c r="AA4" t="s">
        <v>13213</v>
      </c>
      <c r="AB4">
        <v>406</v>
      </c>
      <c r="AC4" t="s">
        <v>13213</v>
      </c>
      <c r="AD4">
        <v>487.2</v>
      </c>
      <c r="AE4" t="s">
        <v>13214</v>
      </c>
      <c r="AF4">
        <v>395.73</v>
      </c>
      <c r="AG4" t="s">
        <v>13213</v>
      </c>
      <c r="AH4">
        <v>308.58</v>
      </c>
      <c r="AI4" t="s">
        <v>13215</v>
      </c>
      <c r="AJ4">
        <v>609</v>
      </c>
      <c r="AK4" t="s">
        <v>13213</v>
      </c>
    </row>
    <row r="5" spans="1:37" x14ac:dyDescent="0.25">
      <c r="A5" t="s">
        <v>130</v>
      </c>
      <c r="B5" t="s">
        <v>13205</v>
      </c>
      <c r="C5" t="b">
        <v>1</v>
      </c>
      <c r="D5" t="b">
        <v>1</v>
      </c>
      <c r="E5">
        <v>0</v>
      </c>
      <c r="F5">
        <v>0</v>
      </c>
      <c r="G5">
        <v>0</v>
      </c>
      <c r="H5" t="s">
        <v>13206</v>
      </c>
      <c r="I5">
        <v>6</v>
      </c>
      <c r="J5">
        <v>40</v>
      </c>
      <c r="K5">
        <v>0</v>
      </c>
      <c r="L5" t="s">
        <v>13205</v>
      </c>
      <c r="M5" t="s">
        <v>13207</v>
      </c>
      <c r="N5" t="s">
        <v>13205</v>
      </c>
      <c r="O5" t="s">
        <v>874</v>
      </c>
      <c r="P5" t="s">
        <v>131</v>
      </c>
      <c r="Q5" t="s">
        <v>131</v>
      </c>
      <c r="R5" t="s">
        <v>131</v>
      </c>
      <c r="S5" t="s">
        <v>131</v>
      </c>
      <c r="T5" t="s">
        <v>1328</v>
      </c>
      <c r="U5">
        <v>0</v>
      </c>
      <c r="V5" t="b">
        <v>1</v>
      </c>
      <c r="W5" t="b">
        <v>0</v>
      </c>
      <c r="X5" t="b">
        <v>0</v>
      </c>
      <c r="Y5" t="s">
        <v>13212</v>
      </c>
      <c r="Z5">
        <v>453.72</v>
      </c>
      <c r="AA5" t="s">
        <v>13213</v>
      </c>
      <c r="AB5">
        <v>366</v>
      </c>
      <c r="AC5" t="s">
        <v>13213</v>
      </c>
      <c r="AD5">
        <v>423.2</v>
      </c>
      <c r="AE5" t="s">
        <v>13214</v>
      </c>
      <c r="AF5">
        <v>365.24</v>
      </c>
      <c r="AG5" t="s">
        <v>13213</v>
      </c>
      <c r="AH5">
        <v>279.42</v>
      </c>
      <c r="AI5" t="s">
        <v>13215</v>
      </c>
      <c r="AJ5">
        <v>549</v>
      </c>
      <c r="AK5" t="s">
        <v>13213</v>
      </c>
    </row>
    <row r="6" spans="1:37" x14ac:dyDescent="0.25">
      <c r="A6" t="s">
        <v>136</v>
      </c>
      <c r="B6" t="s">
        <v>13205</v>
      </c>
      <c r="C6" t="b">
        <v>1</v>
      </c>
      <c r="D6" t="b">
        <v>1</v>
      </c>
      <c r="E6">
        <v>0</v>
      </c>
      <c r="F6">
        <v>0</v>
      </c>
      <c r="G6">
        <v>0</v>
      </c>
      <c r="H6" t="s">
        <v>13206</v>
      </c>
      <c r="I6">
        <v>6</v>
      </c>
      <c r="J6">
        <v>43.6</v>
      </c>
      <c r="K6">
        <v>8.6</v>
      </c>
      <c r="L6" t="s">
        <v>13205</v>
      </c>
      <c r="M6" t="s">
        <v>13207</v>
      </c>
      <c r="N6" t="s">
        <v>13205</v>
      </c>
      <c r="O6" t="s">
        <v>874</v>
      </c>
      <c r="P6" t="s">
        <v>137</v>
      </c>
      <c r="Q6" t="s">
        <v>137</v>
      </c>
      <c r="R6" t="s">
        <v>137</v>
      </c>
      <c r="S6" t="s">
        <v>137</v>
      </c>
      <c r="T6" t="s">
        <v>1329</v>
      </c>
      <c r="U6">
        <v>0</v>
      </c>
      <c r="V6" t="b">
        <v>0</v>
      </c>
      <c r="W6" t="b">
        <v>0</v>
      </c>
      <c r="X6" t="b">
        <v>0</v>
      </c>
      <c r="Y6" t="s">
        <v>13212</v>
      </c>
      <c r="Z6">
        <v>470.25</v>
      </c>
      <c r="AA6" t="s">
        <v>13213</v>
      </c>
      <c r="AB6">
        <v>379.33</v>
      </c>
      <c r="AC6" t="s">
        <v>13213</v>
      </c>
      <c r="AD6">
        <v>455.2</v>
      </c>
      <c r="AE6" t="s">
        <v>13214</v>
      </c>
      <c r="AF6">
        <v>377.44</v>
      </c>
      <c r="AG6" t="s">
        <v>13213</v>
      </c>
      <c r="AH6">
        <v>291.08</v>
      </c>
      <c r="AI6" t="s">
        <v>13215</v>
      </c>
      <c r="AJ6">
        <v>569</v>
      </c>
      <c r="AK6" t="s">
        <v>13213</v>
      </c>
    </row>
    <row r="7" spans="1:37" x14ac:dyDescent="0.25">
      <c r="A7" t="s">
        <v>120</v>
      </c>
      <c r="B7" t="s">
        <v>13205</v>
      </c>
      <c r="C7" t="b">
        <v>1</v>
      </c>
      <c r="D7" t="b">
        <v>1</v>
      </c>
      <c r="E7">
        <v>0</v>
      </c>
      <c r="F7">
        <v>0</v>
      </c>
      <c r="G7">
        <v>0</v>
      </c>
      <c r="H7" t="s">
        <v>13206</v>
      </c>
      <c r="I7">
        <v>6</v>
      </c>
      <c r="J7">
        <v>39</v>
      </c>
      <c r="K7">
        <v>5.9</v>
      </c>
      <c r="L7" t="s">
        <v>13205</v>
      </c>
      <c r="M7" t="s">
        <v>13207</v>
      </c>
      <c r="N7" t="s">
        <v>13205</v>
      </c>
      <c r="O7" t="s">
        <v>874</v>
      </c>
      <c r="P7" t="s">
        <v>121</v>
      </c>
      <c r="Q7" t="s">
        <v>121</v>
      </c>
      <c r="R7" t="s">
        <v>121</v>
      </c>
      <c r="S7" t="s">
        <v>121</v>
      </c>
      <c r="T7" t="s">
        <v>1333</v>
      </c>
      <c r="U7">
        <v>0</v>
      </c>
      <c r="V7" t="b">
        <v>1</v>
      </c>
      <c r="W7" t="b">
        <v>0</v>
      </c>
      <c r="X7" t="b">
        <v>0</v>
      </c>
      <c r="Y7" t="s">
        <v>13212</v>
      </c>
      <c r="Z7">
        <v>346.28</v>
      </c>
      <c r="AA7" t="s">
        <v>13213</v>
      </c>
      <c r="AB7">
        <v>279.33</v>
      </c>
      <c r="AC7" t="s">
        <v>13213</v>
      </c>
      <c r="AD7">
        <v>335.2</v>
      </c>
      <c r="AE7" t="s">
        <v>13214</v>
      </c>
      <c r="AF7">
        <v>279.60000000000002</v>
      </c>
      <c r="AG7" t="s">
        <v>13213</v>
      </c>
      <c r="AH7">
        <v>215.25</v>
      </c>
      <c r="AI7" t="s">
        <v>13215</v>
      </c>
      <c r="AJ7">
        <v>419</v>
      </c>
      <c r="AK7" t="s">
        <v>13213</v>
      </c>
    </row>
    <row r="8" spans="1:37" x14ac:dyDescent="0.25">
      <c r="A8" t="s">
        <v>144</v>
      </c>
      <c r="B8" t="s">
        <v>13205</v>
      </c>
      <c r="C8" t="b">
        <v>1</v>
      </c>
      <c r="D8" t="b">
        <v>1</v>
      </c>
      <c r="E8">
        <v>0</v>
      </c>
      <c r="F8">
        <v>0</v>
      </c>
      <c r="G8">
        <v>0</v>
      </c>
      <c r="H8" t="s">
        <v>13206</v>
      </c>
      <c r="I8">
        <v>6</v>
      </c>
      <c r="J8">
        <v>50.5</v>
      </c>
      <c r="K8">
        <v>9.1</v>
      </c>
      <c r="L8" t="s">
        <v>13205</v>
      </c>
      <c r="M8" t="s">
        <v>13207</v>
      </c>
      <c r="N8" t="s">
        <v>13205</v>
      </c>
      <c r="O8" t="s">
        <v>874</v>
      </c>
      <c r="P8" t="s">
        <v>145</v>
      </c>
      <c r="Q8" t="s">
        <v>145</v>
      </c>
      <c r="R8" t="s">
        <v>145</v>
      </c>
      <c r="S8" t="s">
        <v>145</v>
      </c>
      <c r="T8" t="s">
        <v>1337</v>
      </c>
      <c r="U8">
        <v>0</v>
      </c>
      <c r="V8" t="b">
        <v>0</v>
      </c>
      <c r="W8" t="b">
        <v>0</v>
      </c>
      <c r="X8" t="b">
        <v>0</v>
      </c>
      <c r="Y8" t="s">
        <v>13212</v>
      </c>
      <c r="Z8">
        <v>544.63</v>
      </c>
      <c r="AA8" t="s">
        <v>13213</v>
      </c>
      <c r="AB8">
        <v>439.33</v>
      </c>
      <c r="AC8" t="s">
        <v>13213</v>
      </c>
      <c r="AD8">
        <v>527.20000000000005</v>
      </c>
      <c r="AE8" t="s">
        <v>13214</v>
      </c>
      <c r="AF8">
        <v>444.51</v>
      </c>
      <c r="AG8" t="s">
        <v>13213</v>
      </c>
      <c r="AH8">
        <v>337.75</v>
      </c>
      <c r="AI8" t="s">
        <v>13215</v>
      </c>
      <c r="AJ8">
        <v>659</v>
      </c>
      <c r="AK8" t="s">
        <v>13213</v>
      </c>
    </row>
    <row r="9" spans="1:37" x14ac:dyDescent="0.25">
      <c r="A9" t="s">
        <v>132</v>
      </c>
      <c r="B9" t="s">
        <v>13205</v>
      </c>
      <c r="C9" t="b">
        <v>1</v>
      </c>
      <c r="D9" t="b">
        <v>1</v>
      </c>
      <c r="E9">
        <v>0</v>
      </c>
      <c r="F9">
        <v>0</v>
      </c>
      <c r="G9">
        <v>0</v>
      </c>
      <c r="H9" t="s">
        <v>13206</v>
      </c>
      <c r="I9">
        <v>6</v>
      </c>
      <c r="J9">
        <v>43.1</v>
      </c>
      <c r="K9">
        <v>8.6</v>
      </c>
      <c r="L9" t="s">
        <v>13205</v>
      </c>
      <c r="M9" t="s">
        <v>13207</v>
      </c>
      <c r="N9" t="s">
        <v>13205</v>
      </c>
      <c r="O9" t="s">
        <v>874</v>
      </c>
      <c r="P9" t="s">
        <v>133</v>
      </c>
      <c r="Q9" t="s">
        <v>133</v>
      </c>
      <c r="R9" t="s">
        <v>133</v>
      </c>
      <c r="S9" t="s">
        <v>133</v>
      </c>
      <c r="T9" t="s">
        <v>1341</v>
      </c>
      <c r="U9">
        <v>0</v>
      </c>
      <c r="V9" t="b">
        <v>0</v>
      </c>
      <c r="W9" t="b">
        <v>0</v>
      </c>
      <c r="X9" t="b">
        <v>0</v>
      </c>
      <c r="Y9" t="s">
        <v>13212</v>
      </c>
      <c r="Z9">
        <v>437.19</v>
      </c>
      <c r="AA9" t="s">
        <v>13213</v>
      </c>
      <c r="AB9">
        <v>352.67</v>
      </c>
      <c r="AC9" t="s">
        <v>13213</v>
      </c>
      <c r="AD9">
        <v>423.2</v>
      </c>
      <c r="AE9" t="s">
        <v>13214</v>
      </c>
      <c r="AF9">
        <v>353.05</v>
      </c>
      <c r="AG9" t="s">
        <v>13213</v>
      </c>
      <c r="AH9">
        <v>267.75</v>
      </c>
      <c r="AI9" t="s">
        <v>13215</v>
      </c>
      <c r="AJ9">
        <v>529</v>
      </c>
      <c r="AK9" t="s">
        <v>13213</v>
      </c>
    </row>
    <row r="10" spans="1:37" x14ac:dyDescent="0.25">
      <c r="A10" t="s">
        <v>1346</v>
      </c>
      <c r="B10" t="s">
        <v>13205</v>
      </c>
      <c r="C10" t="b">
        <v>1</v>
      </c>
      <c r="D10" t="b">
        <v>0</v>
      </c>
      <c r="E10">
        <v>1</v>
      </c>
      <c r="F10">
        <v>1</v>
      </c>
      <c r="G10">
        <v>1</v>
      </c>
      <c r="H10" t="s">
        <v>13206</v>
      </c>
      <c r="I10">
        <v>1</v>
      </c>
      <c r="J10">
        <v>42.5</v>
      </c>
      <c r="K10">
        <v>8.5</v>
      </c>
      <c r="L10" t="s">
        <v>13205</v>
      </c>
      <c r="M10" t="s">
        <v>13207</v>
      </c>
      <c r="N10" t="s">
        <v>13205</v>
      </c>
      <c r="O10" t="s">
        <v>874</v>
      </c>
      <c r="P10" t="s">
        <v>1356</v>
      </c>
      <c r="Q10" t="s">
        <v>1356</v>
      </c>
      <c r="R10" t="s">
        <v>1356</v>
      </c>
      <c r="S10" t="s">
        <v>1356</v>
      </c>
      <c r="T10" t="s">
        <v>1345</v>
      </c>
      <c r="U10">
        <v>0</v>
      </c>
      <c r="V10" t="b">
        <v>1</v>
      </c>
      <c r="W10" t="b">
        <v>0</v>
      </c>
      <c r="X10" t="b">
        <v>0</v>
      </c>
      <c r="Y10" t="s">
        <v>13212</v>
      </c>
      <c r="Z10">
        <v>412.4</v>
      </c>
      <c r="AA10" t="s">
        <v>13213</v>
      </c>
      <c r="AB10">
        <v>332.67</v>
      </c>
      <c r="AC10" t="s">
        <v>13213</v>
      </c>
      <c r="AD10">
        <v>399.2</v>
      </c>
      <c r="AE10" t="s">
        <v>13214</v>
      </c>
      <c r="AF10">
        <v>334.76</v>
      </c>
      <c r="AG10" t="s">
        <v>13213</v>
      </c>
      <c r="AH10">
        <v>261.92</v>
      </c>
      <c r="AI10" t="s">
        <v>13215</v>
      </c>
      <c r="AJ10">
        <v>499</v>
      </c>
      <c r="AK10" t="s">
        <v>13213</v>
      </c>
    </row>
    <row r="11" spans="1:37" x14ac:dyDescent="0.25">
      <c r="A11" t="s">
        <v>1349</v>
      </c>
      <c r="B11" t="s">
        <v>13205</v>
      </c>
      <c r="C11" t="b">
        <v>0</v>
      </c>
      <c r="D11" t="b">
        <v>0</v>
      </c>
      <c r="E11">
        <v>1</v>
      </c>
      <c r="F11">
        <v>1</v>
      </c>
      <c r="G11">
        <v>1</v>
      </c>
      <c r="H11" t="s">
        <v>13206</v>
      </c>
      <c r="I11">
        <v>1</v>
      </c>
      <c r="J11">
        <v>0.01</v>
      </c>
      <c r="K11">
        <v>0</v>
      </c>
      <c r="L11" t="s">
        <v>13205</v>
      </c>
      <c r="M11" t="s">
        <v>833</v>
      </c>
      <c r="N11" t="s">
        <v>13205</v>
      </c>
      <c r="O11" t="s">
        <v>874</v>
      </c>
      <c r="P11" t="s">
        <v>1350</v>
      </c>
      <c r="Q11" t="s">
        <v>1350</v>
      </c>
      <c r="R11" t="s">
        <v>1350</v>
      </c>
      <c r="S11" t="s">
        <v>1350</v>
      </c>
      <c r="T11" t="s">
        <v>1348</v>
      </c>
      <c r="U11">
        <v>0</v>
      </c>
      <c r="V11" t="b">
        <v>1</v>
      </c>
      <c r="W11" t="b">
        <v>1</v>
      </c>
      <c r="X11" t="b">
        <v>0</v>
      </c>
      <c r="Y11" t="s">
        <v>13212</v>
      </c>
    </row>
    <row r="12" spans="1:37" x14ac:dyDescent="0.25">
      <c r="A12" t="s">
        <v>1352</v>
      </c>
      <c r="B12" t="s">
        <v>13205</v>
      </c>
      <c r="C12" t="b">
        <v>0</v>
      </c>
      <c r="D12" t="b">
        <v>0</v>
      </c>
      <c r="E12">
        <v>1</v>
      </c>
      <c r="F12">
        <v>1</v>
      </c>
      <c r="G12">
        <v>1</v>
      </c>
      <c r="H12" t="s">
        <v>13206</v>
      </c>
      <c r="I12">
        <v>1</v>
      </c>
      <c r="J12">
        <v>0.01</v>
      </c>
      <c r="K12">
        <v>0</v>
      </c>
      <c r="L12" t="s">
        <v>13205</v>
      </c>
      <c r="M12" t="s">
        <v>833</v>
      </c>
      <c r="N12" t="s">
        <v>13205</v>
      </c>
      <c r="O12" t="s">
        <v>874</v>
      </c>
      <c r="P12" t="s">
        <v>1353</v>
      </c>
      <c r="Q12" t="s">
        <v>1353</v>
      </c>
      <c r="R12" t="s">
        <v>1353</v>
      </c>
      <c r="S12" t="s">
        <v>1353</v>
      </c>
      <c r="T12" t="s">
        <v>1351</v>
      </c>
      <c r="U12">
        <v>0</v>
      </c>
      <c r="V12" t="b">
        <v>1</v>
      </c>
      <c r="W12" t="b">
        <v>1</v>
      </c>
      <c r="X12" t="b">
        <v>0</v>
      </c>
      <c r="Y12" t="s">
        <v>13212</v>
      </c>
    </row>
    <row r="13" spans="1:37" x14ac:dyDescent="0.25">
      <c r="A13" t="s">
        <v>1355</v>
      </c>
      <c r="B13" t="s">
        <v>13205</v>
      </c>
      <c r="C13" t="b">
        <v>0</v>
      </c>
      <c r="D13" t="b">
        <v>0</v>
      </c>
      <c r="E13">
        <v>1</v>
      </c>
      <c r="F13">
        <v>1</v>
      </c>
      <c r="G13">
        <v>1</v>
      </c>
      <c r="H13" t="s">
        <v>13206</v>
      </c>
      <c r="I13">
        <v>1</v>
      </c>
      <c r="J13">
        <v>0.01</v>
      </c>
      <c r="K13">
        <v>0</v>
      </c>
      <c r="L13" t="s">
        <v>13205</v>
      </c>
      <c r="M13" t="s">
        <v>833</v>
      </c>
      <c r="N13" t="s">
        <v>13205</v>
      </c>
      <c r="O13" t="s">
        <v>874</v>
      </c>
      <c r="P13" t="s">
        <v>1356</v>
      </c>
      <c r="Q13" t="s">
        <v>1356</v>
      </c>
      <c r="R13" t="s">
        <v>1356</v>
      </c>
      <c r="S13" t="s">
        <v>1356</v>
      </c>
      <c r="T13" t="s">
        <v>1354</v>
      </c>
      <c r="U13">
        <v>0</v>
      </c>
      <c r="V13" t="b">
        <v>1</v>
      </c>
      <c r="W13" t="b">
        <v>1</v>
      </c>
      <c r="X13" t="b">
        <v>0</v>
      </c>
      <c r="Y13" t="s">
        <v>13212</v>
      </c>
    </row>
    <row r="14" spans="1:37" x14ac:dyDescent="0.25">
      <c r="A14" t="s">
        <v>1358</v>
      </c>
      <c r="B14" t="s">
        <v>13205</v>
      </c>
      <c r="C14" t="b">
        <v>0</v>
      </c>
      <c r="D14" t="b">
        <v>0</v>
      </c>
      <c r="E14">
        <v>1</v>
      </c>
      <c r="F14">
        <v>1</v>
      </c>
      <c r="G14">
        <v>1</v>
      </c>
      <c r="H14" t="s">
        <v>13206</v>
      </c>
      <c r="I14">
        <v>1</v>
      </c>
      <c r="J14">
        <v>0.01</v>
      </c>
      <c r="K14">
        <v>0</v>
      </c>
      <c r="L14" t="s">
        <v>13205</v>
      </c>
      <c r="M14" t="s">
        <v>833</v>
      </c>
      <c r="N14" t="s">
        <v>13205</v>
      </c>
      <c r="O14" t="s">
        <v>874</v>
      </c>
      <c r="P14" t="s">
        <v>1359</v>
      </c>
      <c r="Q14" t="s">
        <v>1359</v>
      </c>
      <c r="R14" t="s">
        <v>1359</v>
      </c>
      <c r="S14" t="s">
        <v>1359</v>
      </c>
      <c r="T14" t="s">
        <v>1357</v>
      </c>
      <c r="U14">
        <v>0</v>
      </c>
      <c r="V14" t="b">
        <v>1</v>
      </c>
      <c r="W14" t="b">
        <v>1</v>
      </c>
      <c r="X14" t="b">
        <v>0</v>
      </c>
      <c r="Y14" t="s">
        <v>13212</v>
      </c>
    </row>
    <row r="15" spans="1:37" x14ac:dyDescent="0.25">
      <c r="A15" t="s">
        <v>164</v>
      </c>
      <c r="B15" t="s">
        <v>13205</v>
      </c>
      <c r="C15" t="b">
        <v>1</v>
      </c>
      <c r="D15" t="b">
        <v>1</v>
      </c>
      <c r="E15">
        <v>100</v>
      </c>
      <c r="F15">
        <v>80</v>
      </c>
      <c r="G15">
        <v>58</v>
      </c>
      <c r="H15" t="s">
        <v>13206</v>
      </c>
      <c r="I15">
        <v>4</v>
      </c>
      <c r="J15">
        <v>51</v>
      </c>
      <c r="K15">
        <v>9.1</v>
      </c>
      <c r="L15" t="s">
        <v>13205</v>
      </c>
      <c r="M15" t="s">
        <v>13207</v>
      </c>
      <c r="N15" t="s">
        <v>13205</v>
      </c>
      <c r="O15" t="s">
        <v>874</v>
      </c>
      <c r="P15" t="s">
        <v>165</v>
      </c>
      <c r="Q15" t="s">
        <v>165</v>
      </c>
      <c r="R15" t="s">
        <v>165</v>
      </c>
      <c r="S15" t="s">
        <v>165</v>
      </c>
      <c r="T15" t="s">
        <v>1360</v>
      </c>
      <c r="U15">
        <v>0</v>
      </c>
      <c r="V15" t="b">
        <v>1</v>
      </c>
      <c r="W15" t="b">
        <v>0</v>
      </c>
      <c r="X15" t="b">
        <v>0</v>
      </c>
      <c r="Y15" t="s">
        <v>13212</v>
      </c>
      <c r="Z15">
        <v>561.16</v>
      </c>
      <c r="AA15" t="s">
        <v>13213</v>
      </c>
      <c r="AB15">
        <v>452.67</v>
      </c>
      <c r="AC15" t="s">
        <v>13213</v>
      </c>
      <c r="AD15">
        <v>543.20000000000005</v>
      </c>
      <c r="AE15" t="s">
        <v>13214</v>
      </c>
      <c r="AF15">
        <v>481.1</v>
      </c>
      <c r="AG15" t="s">
        <v>13213</v>
      </c>
      <c r="AH15">
        <v>349.42</v>
      </c>
      <c r="AI15" t="s">
        <v>13215</v>
      </c>
      <c r="AJ15">
        <v>679</v>
      </c>
      <c r="AK15" t="s">
        <v>13213</v>
      </c>
    </row>
    <row r="16" spans="1:37" x14ac:dyDescent="0.25">
      <c r="A16" t="s">
        <v>156</v>
      </c>
      <c r="B16" t="s">
        <v>13205</v>
      </c>
      <c r="C16" t="b">
        <v>1</v>
      </c>
      <c r="D16" t="b">
        <v>1</v>
      </c>
      <c r="E16">
        <v>0</v>
      </c>
      <c r="F16">
        <v>0</v>
      </c>
      <c r="G16">
        <v>0</v>
      </c>
      <c r="H16" t="s">
        <v>13206</v>
      </c>
      <c r="I16">
        <v>6</v>
      </c>
      <c r="J16">
        <v>51</v>
      </c>
      <c r="K16">
        <v>9.1</v>
      </c>
      <c r="L16" t="s">
        <v>13205</v>
      </c>
      <c r="M16" t="s">
        <v>13207</v>
      </c>
      <c r="N16" t="s">
        <v>13205</v>
      </c>
      <c r="O16" t="s">
        <v>874</v>
      </c>
      <c r="P16" t="s">
        <v>655</v>
      </c>
      <c r="Q16" t="s">
        <v>655</v>
      </c>
      <c r="R16" t="s">
        <v>655</v>
      </c>
      <c r="S16" t="s">
        <v>655</v>
      </c>
      <c r="T16" t="s">
        <v>1364</v>
      </c>
      <c r="U16">
        <v>0</v>
      </c>
      <c r="V16" t="b">
        <v>1</v>
      </c>
      <c r="W16" t="b">
        <v>0</v>
      </c>
      <c r="X16" t="b">
        <v>0</v>
      </c>
      <c r="Y16" t="s">
        <v>13212</v>
      </c>
      <c r="Z16">
        <v>561.16</v>
      </c>
      <c r="AA16" t="s">
        <v>13213</v>
      </c>
      <c r="AB16">
        <v>452.67</v>
      </c>
      <c r="AC16" t="s">
        <v>13213</v>
      </c>
      <c r="AD16">
        <v>543.20000000000005</v>
      </c>
      <c r="AE16" t="s">
        <v>13214</v>
      </c>
      <c r="AF16">
        <v>481.1</v>
      </c>
      <c r="AG16" t="s">
        <v>13213</v>
      </c>
      <c r="AH16">
        <v>349.42</v>
      </c>
      <c r="AI16" t="s">
        <v>13215</v>
      </c>
      <c r="AJ16">
        <v>679</v>
      </c>
      <c r="AK16" t="s">
        <v>13213</v>
      </c>
    </row>
    <row r="17" spans="1:37" x14ac:dyDescent="0.25">
      <c r="A17" t="s">
        <v>154</v>
      </c>
      <c r="B17" t="s">
        <v>13205</v>
      </c>
      <c r="C17" t="b">
        <v>1</v>
      </c>
      <c r="D17" t="b">
        <v>1</v>
      </c>
      <c r="E17">
        <v>0</v>
      </c>
      <c r="F17">
        <v>0</v>
      </c>
      <c r="G17">
        <v>0</v>
      </c>
      <c r="H17" t="s">
        <v>13206</v>
      </c>
      <c r="I17">
        <v>6</v>
      </c>
      <c r="J17">
        <v>51</v>
      </c>
      <c r="K17">
        <v>9.1</v>
      </c>
      <c r="L17" t="s">
        <v>13205</v>
      </c>
      <c r="M17" t="s">
        <v>13207</v>
      </c>
      <c r="N17" t="s">
        <v>13205</v>
      </c>
      <c r="O17" t="s">
        <v>874</v>
      </c>
      <c r="P17" t="s">
        <v>512</v>
      </c>
      <c r="Q17" t="s">
        <v>512</v>
      </c>
      <c r="R17" t="s">
        <v>512</v>
      </c>
      <c r="S17" t="s">
        <v>512</v>
      </c>
      <c r="T17" t="s">
        <v>1369</v>
      </c>
      <c r="U17">
        <v>0</v>
      </c>
      <c r="V17" t="b">
        <v>1</v>
      </c>
      <c r="W17" t="b">
        <v>0</v>
      </c>
      <c r="X17" t="b">
        <v>0</v>
      </c>
      <c r="Y17" t="s">
        <v>13212</v>
      </c>
      <c r="Z17">
        <v>561.16</v>
      </c>
      <c r="AA17" t="s">
        <v>13213</v>
      </c>
      <c r="AB17">
        <v>452.67</v>
      </c>
      <c r="AC17" t="s">
        <v>13213</v>
      </c>
      <c r="AD17">
        <v>543.20000000000005</v>
      </c>
      <c r="AE17" t="s">
        <v>13214</v>
      </c>
      <c r="AF17">
        <v>481.1</v>
      </c>
      <c r="AG17" t="s">
        <v>13213</v>
      </c>
      <c r="AH17">
        <v>349.42</v>
      </c>
      <c r="AI17" t="s">
        <v>13215</v>
      </c>
      <c r="AJ17">
        <v>679</v>
      </c>
      <c r="AK17" t="s">
        <v>13213</v>
      </c>
    </row>
    <row r="18" spans="1:37" x14ac:dyDescent="0.25">
      <c r="A18" t="s">
        <v>168</v>
      </c>
      <c r="B18" t="s">
        <v>13205</v>
      </c>
      <c r="C18" t="b">
        <v>1</v>
      </c>
      <c r="D18" t="b">
        <v>1</v>
      </c>
      <c r="E18">
        <v>0</v>
      </c>
      <c r="F18">
        <v>0</v>
      </c>
      <c r="G18">
        <v>0</v>
      </c>
      <c r="H18" t="s">
        <v>13206</v>
      </c>
      <c r="I18">
        <v>6</v>
      </c>
      <c r="J18">
        <v>51</v>
      </c>
      <c r="K18">
        <v>9.1</v>
      </c>
      <c r="L18" t="s">
        <v>13205</v>
      </c>
      <c r="M18" t="s">
        <v>13207</v>
      </c>
      <c r="N18" t="s">
        <v>13205</v>
      </c>
      <c r="O18" t="s">
        <v>874</v>
      </c>
      <c r="P18" t="s">
        <v>169</v>
      </c>
      <c r="Q18" t="s">
        <v>169</v>
      </c>
      <c r="R18" t="s">
        <v>169</v>
      </c>
      <c r="S18" t="s">
        <v>169</v>
      </c>
      <c r="T18" t="s">
        <v>1374</v>
      </c>
      <c r="U18">
        <v>0</v>
      </c>
      <c r="V18" t="b">
        <v>1</v>
      </c>
      <c r="W18" t="b">
        <v>0</v>
      </c>
      <c r="X18" t="b">
        <v>0</v>
      </c>
      <c r="Y18" t="s">
        <v>13212</v>
      </c>
      <c r="Z18">
        <v>561.16</v>
      </c>
      <c r="AA18" t="s">
        <v>13213</v>
      </c>
      <c r="AB18">
        <v>452.67</v>
      </c>
      <c r="AC18" t="s">
        <v>13213</v>
      </c>
      <c r="AD18">
        <v>543.20000000000005</v>
      </c>
      <c r="AE18" t="s">
        <v>13214</v>
      </c>
      <c r="AF18">
        <v>481.1</v>
      </c>
      <c r="AG18" t="s">
        <v>13213</v>
      </c>
      <c r="AH18">
        <v>349.42</v>
      </c>
      <c r="AI18" t="s">
        <v>13215</v>
      </c>
      <c r="AJ18">
        <v>679</v>
      </c>
      <c r="AK18" t="s">
        <v>13213</v>
      </c>
    </row>
    <row r="19" spans="1:37" x14ac:dyDescent="0.25">
      <c r="A19" t="s">
        <v>160</v>
      </c>
      <c r="B19" t="s">
        <v>13205</v>
      </c>
      <c r="C19" t="b">
        <v>1</v>
      </c>
      <c r="D19" t="b">
        <v>1</v>
      </c>
      <c r="E19">
        <v>0</v>
      </c>
      <c r="F19">
        <v>0</v>
      </c>
      <c r="G19">
        <v>0</v>
      </c>
      <c r="H19" t="s">
        <v>13206</v>
      </c>
      <c r="I19">
        <v>6</v>
      </c>
      <c r="J19">
        <v>51</v>
      </c>
      <c r="K19">
        <v>9.1</v>
      </c>
      <c r="L19" t="s">
        <v>13205</v>
      </c>
      <c r="M19" t="s">
        <v>13207</v>
      </c>
      <c r="N19" t="s">
        <v>13205</v>
      </c>
      <c r="O19" t="s">
        <v>874</v>
      </c>
      <c r="P19" t="s">
        <v>161</v>
      </c>
      <c r="Q19" t="s">
        <v>161</v>
      </c>
      <c r="R19" t="s">
        <v>161</v>
      </c>
      <c r="S19" t="s">
        <v>161</v>
      </c>
      <c r="T19" t="s">
        <v>1378</v>
      </c>
      <c r="U19">
        <v>0</v>
      </c>
      <c r="V19" t="b">
        <v>1</v>
      </c>
      <c r="W19" t="b">
        <v>0</v>
      </c>
      <c r="X19" t="b">
        <v>0</v>
      </c>
      <c r="Y19" t="s">
        <v>13212</v>
      </c>
      <c r="Z19">
        <v>561.16</v>
      </c>
      <c r="AA19" t="s">
        <v>13213</v>
      </c>
      <c r="AB19">
        <v>452.67</v>
      </c>
      <c r="AC19" t="s">
        <v>13213</v>
      </c>
      <c r="AD19">
        <v>543.20000000000005</v>
      </c>
      <c r="AE19" t="s">
        <v>13214</v>
      </c>
      <c r="AF19">
        <v>481.1</v>
      </c>
      <c r="AG19" t="s">
        <v>13213</v>
      </c>
      <c r="AH19">
        <v>349.42</v>
      </c>
      <c r="AI19" t="s">
        <v>13215</v>
      </c>
      <c r="AJ19">
        <v>679</v>
      </c>
      <c r="AK19" t="s">
        <v>13213</v>
      </c>
    </row>
    <row r="20" spans="1:37" x14ac:dyDescent="0.25">
      <c r="A20" t="s">
        <v>158</v>
      </c>
      <c r="B20" t="s">
        <v>13205</v>
      </c>
      <c r="C20" t="b">
        <v>1</v>
      </c>
      <c r="D20" t="b">
        <v>1</v>
      </c>
      <c r="E20">
        <v>0</v>
      </c>
      <c r="F20">
        <v>0</v>
      </c>
      <c r="G20">
        <v>0</v>
      </c>
      <c r="H20" t="s">
        <v>13206</v>
      </c>
      <c r="I20">
        <v>6</v>
      </c>
      <c r="J20">
        <v>51</v>
      </c>
      <c r="K20">
        <v>9.1</v>
      </c>
      <c r="L20" t="s">
        <v>13205</v>
      </c>
      <c r="M20" t="s">
        <v>13207</v>
      </c>
      <c r="N20" t="s">
        <v>13205</v>
      </c>
      <c r="O20" t="s">
        <v>874</v>
      </c>
      <c r="P20" t="s">
        <v>685</v>
      </c>
      <c r="Q20" t="s">
        <v>685</v>
      </c>
      <c r="R20" t="s">
        <v>685</v>
      </c>
      <c r="S20" t="s">
        <v>685</v>
      </c>
      <c r="T20" t="s">
        <v>1382</v>
      </c>
      <c r="U20">
        <v>0</v>
      </c>
      <c r="V20" t="b">
        <v>1</v>
      </c>
      <c r="W20" t="b">
        <v>0</v>
      </c>
      <c r="X20" t="b">
        <v>0</v>
      </c>
      <c r="Y20" t="s">
        <v>13212</v>
      </c>
      <c r="Z20">
        <v>561.16</v>
      </c>
      <c r="AA20" t="s">
        <v>13213</v>
      </c>
      <c r="AB20">
        <v>452.67</v>
      </c>
      <c r="AC20" t="s">
        <v>13213</v>
      </c>
      <c r="AD20">
        <v>543.20000000000005</v>
      </c>
      <c r="AE20" t="s">
        <v>13214</v>
      </c>
      <c r="AF20">
        <v>481.1</v>
      </c>
      <c r="AG20" t="s">
        <v>13213</v>
      </c>
      <c r="AH20">
        <v>349.42</v>
      </c>
      <c r="AI20" t="s">
        <v>13215</v>
      </c>
      <c r="AJ20">
        <v>679</v>
      </c>
      <c r="AK20" t="s">
        <v>13213</v>
      </c>
    </row>
    <row r="21" spans="1:37" x14ac:dyDescent="0.25">
      <c r="A21" t="s">
        <v>152</v>
      </c>
      <c r="B21" t="s">
        <v>13205</v>
      </c>
      <c r="C21" t="b">
        <v>1</v>
      </c>
      <c r="D21" t="b">
        <v>1</v>
      </c>
      <c r="E21">
        <v>0</v>
      </c>
      <c r="F21">
        <v>0</v>
      </c>
      <c r="G21">
        <v>0</v>
      </c>
      <c r="H21" t="s">
        <v>13206</v>
      </c>
      <c r="I21">
        <v>6</v>
      </c>
      <c r="J21">
        <v>51</v>
      </c>
      <c r="K21">
        <v>8.6</v>
      </c>
      <c r="L21" t="s">
        <v>13205</v>
      </c>
      <c r="M21" t="s">
        <v>13207</v>
      </c>
      <c r="N21" t="s">
        <v>13205</v>
      </c>
      <c r="O21" t="s">
        <v>874</v>
      </c>
      <c r="P21" t="s">
        <v>670</v>
      </c>
      <c r="Q21" t="s">
        <v>670</v>
      </c>
      <c r="R21" t="s">
        <v>670</v>
      </c>
      <c r="S21" t="s">
        <v>670</v>
      </c>
      <c r="T21" t="s">
        <v>1387</v>
      </c>
      <c r="U21">
        <v>0</v>
      </c>
      <c r="V21" t="b">
        <v>0</v>
      </c>
      <c r="W21" t="b">
        <v>0</v>
      </c>
      <c r="X21" t="b">
        <v>0</v>
      </c>
      <c r="Y21" t="s">
        <v>13212</v>
      </c>
      <c r="Z21">
        <v>544.63</v>
      </c>
      <c r="AA21" t="s">
        <v>13213</v>
      </c>
      <c r="AB21">
        <v>439.33</v>
      </c>
      <c r="AC21" t="s">
        <v>13213</v>
      </c>
      <c r="AD21">
        <v>527.20000000000005</v>
      </c>
      <c r="AE21" t="s">
        <v>13214</v>
      </c>
      <c r="AF21">
        <v>450.61</v>
      </c>
      <c r="AG21" t="s">
        <v>13213</v>
      </c>
      <c r="AH21">
        <v>343.58</v>
      </c>
      <c r="AI21" t="s">
        <v>13215</v>
      </c>
      <c r="AJ21">
        <v>659</v>
      </c>
      <c r="AK21" t="s">
        <v>13213</v>
      </c>
    </row>
    <row r="22" spans="1:37" x14ac:dyDescent="0.25">
      <c r="A22" t="s">
        <v>466</v>
      </c>
      <c r="B22" t="s">
        <v>13205</v>
      </c>
      <c r="C22" t="b">
        <v>1</v>
      </c>
      <c r="D22" t="b">
        <v>1</v>
      </c>
      <c r="E22">
        <v>1</v>
      </c>
      <c r="F22">
        <v>1</v>
      </c>
      <c r="G22">
        <v>1</v>
      </c>
      <c r="H22" t="s">
        <v>13206</v>
      </c>
      <c r="I22">
        <v>1</v>
      </c>
      <c r="J22">
        <v>58.6</v>
      </c>
      <c r="K22">
        <v>10.3</v>
      </c>
      <c r="L22" t="s">
        <v>13205</v>
      </c>
      <c r="M22" t="s">
        <v>833</v>
      </c>
      <c r="N22" t="s">
        <v>13205</v>
      </c>
      <c r="O22" t="s">
        <v>874</v>
      </c>
      <c r="P22" t="s">
        <v>13756</v>
      </c>
      <c r="Q22" t="s">
        <v>13756</v>
      </c>
      <c r="R22" t="s">
        <v>13756</v>
      </c>
      <c r="S22" t="s">
        <v>13756</v>
      </c>
      <c r="T22" t="s">
        <v>1391</v>
      </c>
      <c r="U22">
        <v>0</v>
      </c>
      <c r="V22" t="b">
        <v>1</v>
      </c>
      <c r="W22" t="b">
        <v>0</v>
      </c>
      <c r="X22" t="b">
        <v>0</v>
      </c>
      <c r="Y22" t="s">
        <v>13212</v>
      </c>
      <c r="Z22">
        <v>577.69000000000005</v>
      </c>
      <c r="AA22" t="s">
        <v>13213</v>
      </c>
      <c r="AB22">
        <v>466</v>
      </c>
      <c r="AC22" t="s">
        <v>13213</v>
      </c>
      <c r="AD22">
        <v>532.66999999999996</v>
      </c>
      <c r="AE22" t="s">
        <v>13214</v>
      </c>
      <c r="AF22">
        <v>426.22</v>
      </c>
      <c r="AG22" t="s">
        <v>13213</v>
      </c>
      <c r="AH22">
        <v>355.25</v>
      </c>
      <c r="AI22" t="s">
        <v>13215</v>
      </c>
      <c r="AJ22">
        <v>699</v>
      </c>
      <c r="AK22" t="s">
        <v>13213</v>
      </c>
    </row>
    <row r="23" spans="1:37" x14ac:dyDescent="0.25">
      <c r="A23" t="s">
        <v>1403</v>
      </c>
      <c r="B23" t="s">
        <v>13205</v>
      </c>
      <c r="C23" t="b">
        <v>0</v>
      </c>
      <c r="D23" t="b">
        <v>0</v>
      </c>
      <c r="E23">
        <v>1</v>
      </c>
      <c r="F23">
        <v>1</v>
      </c>
      <c r="G23">
        <v>1</v>
      </c>
      <c r="H23" t="s">
        <v>13206</v>
      </c>
      <c r="I23">
        <v>1</v>
      </c>
      <c r="J23">
        <v>0.01</v>
      </c>
      <c r="K23">
        <v>0</v>
      </c>
      <c r="L23" t="s">
        <v>13205</v>
      </c>
      <c r="M23" t="s">
        <v>833</v>
      </c>
      <c r="N23" t="s">
        <v>13205</v>
      </c>
      <c r="O23" t="s">
        <v>874</v>
      </c>
      <c r="P23" t="s">
        <v>1404</v>
      </c>
      <c r="Q23" t="s">
        <v>1404</v>
      </c>
      <c r="R23" t="s">
        <v>1404</v>
      </c>
      <c r="S23" t="s">
        <v>1404</v>
      </c>
      <c r="T23" t="s">
        <v>1402</v>
      </c>
      <c r="U23">
        <v>0</v>
      </c>
      <c r="V23" t="b">
        <v>1</v>
      </c>
      <c r="W23" t="b">
        <v>1</v>
      </c>
      <c r="X23" t="b">
        <v>0</v>
      </c>
      <c r="Y23" t="s">
        <v>13212</v>
      </c>
    </row>
    <row r="24" spans="1:37" x14ac:dyDescent="0.25">
      <c r="A24" t="s">
        <v>1406</v>
      </c>
      <c r="B24" t="s">
        <v>13205</v>
      </c>
      <c r="C24" t="b">
        <v>0</v>
      </c>
      <c r="D24" t="b">
        <v>0</v>
      </c>
      <c r="E24">
        <v>1</v>
      </c>
      <c r="F24">
        <v>1</v>
      </c>
      <c r="G24">
        <v>1</v>
      </c>
      <c r="H24" t="s">
        <v>13206</v>
      </c>
      <c r="I24">
        <v>1</v>
      </c>
      <c r="J24">
        <v>0.01</v>
      </c>
      <c r="K24">
        <v>0</v>
      </c>
      <c r="L24" t="s">
        <v>13205</v>
      </c>
      <c r="M24" t="s">
        <v>833</v>
      </c>
      <c r="N24" t="s">
        <v>13205</v>
      </c>
      <c r="O24" t="s">
        <v>874</v>
      </c>
      <c r="P24" t="s">
        <v>1407</v>
      </c>
      <c r="Q24" t="s">
        <v>1407</v>
      </c>
      <c r="R24" t="s">
        <v>1407</v>
      </c>
      <c r="S24" t="s">
        <v>1407</v>
      </c>
      <c r="T24" t="s">
        <v>1405</v>
      </c>
      <c r="U24">
        <v>0</v>
      </c>
      <c r="V24" t="b">
        <v>1</v>
      </c>
      <c r="W24" t="b">
        <v>1</v>
      </c>
      <c r="X24" t="b">
        <v>0</v>
      </c>
      <c r="Y24" t="s">
        <v>13212</v>
      </c>
    </row>
    <row r="25" spans="1:37" x14ac:dyDescent="0.25">
      <c r="A25" t="s">
        <v>1409</v>
      </c>
      <c r="B25" t="s">
        <v>13205</v>
      </c>
      <c r="C25" t="b">
        <v>0</v>
      </c>
      <c r="D25" t="b">
        <v>0</v>
      </c>
      <c r="E25">
        <v>1</v>
      </c>
      <c r="F25">
        <v>1</v>
      </c>
      <c r="G25">
        <v>1</v>
      </c>
      <c r="H25" t="s">
        <v>13206</v>
      </c>
      <c r="I25">
        <v>1</v>
      </c>
      <c r="J25">
        <v>0.01</v>
      </c>
      <c r="K25">
        <v>0</v>
      </c>
      <c r="L25" t="s">
        <v>13205</v>
      </c>
      <c r="M25" t="s">
        <v>833</v>
      </c>
      <c r="N25" t="s">
        <v>13205</v>
      </c>
      <c r="O25" t="s">
        <v>874</v>
      </c>
      <c r="P25" t="s">
        <v>1410</v>
      </c>
      <c r="Q25" t="s">
        <v>1410</v>
      </c>
      <c r="R25" t="s">
        <v>1410</v>
      </c>
      <c r="S25" t="s">
        <v>1410</v>
      </c>
      <c r="T25" t="s">
        <v>1408</v>
      </c>
      <c r="U25">
        <v>0</v>
      </c>
      <c r="V25" t="b">
        <v>1</v>
      </c>
      <c r="W25" t="b">
        <v>1</v>
      </c>
      <c r="X25" t="b">
        <v>0</v>
      </c>
      <c r="Y25" t="s">
        <v>13212</v>
      </c>
    </row>
    <row r="26" spans="1:37" x14ac:dyDescent="0.25">
      <c r="A26" t="s">
        <v>1412</v>
      </c>
      <c r="B26" t="s">
        <v>13205</v>
      </c>
      <c r="C26" t="b">
        <v>0</v>
      </c>
      <c r="D26" t="b">
        <v>0</v>
      </c>
      <c r="E26">
        <v>1</v>
      </c>
      <c r="F26">
        <v>1</v>
      </c>
      <c r="G26">
        <v>1</v>
      </c>
      <c r="H26" t="s">
        <v>13206</v>
      </c>
      <c r="I26">
        <v>1</v>
      </c>
      <c r="J26">
        <v>0.01</v>
      </c>
      <c r="K26">
        <v>0</v>
      </c>
      <c r="L26" t="s">
        <v>13205</v>
      </c>
      <c r="M26" t="s">
        <v>833</v>
      </c>
      <c r="N26" t="s">
        <v>13205</v>
      </c>
      <c r="O26" t="s">
        <v>874</v>
      </c>
      <c r="P26" t="s">
        <v>1413</v>
      </c>
      <c r="Q26" t="s">
        <v>1413</v>
      </c>
      <c r="R26" t="s">
        <v>1413</v>
      </c>
      <c r="S26" t="s">
        <v>1413</v>
      </c>
      <c r="T26" t="s">
        <v>1411</v>
      </c>
      <c r="U26">
        <v>0</v>
      </c>
      <c r="V26" t="b">
        <v>1</v>
      </c>
      <c r="W26" t="b">
        <v>1</v>
      </c>
      <c r="X26" t="b">
        <v>0</v>
      </c>
      <c r="Y26" t="s">
        <v>13212</v>
      </c>
    </row>
    <row r="27" spans="1:37" x14ac:dyDescent="0.25">
      <c r="A27" t="s">
        <v>1415</v>
      </c>
      <c r="B27" t="s">
        <v>13205</v>
      </c>
      <c r="C27" t="b">
        <v>0</v>
      </c>
      <c r="D27" t="b">
        <v>0</v>
      </c>
      <c r="E27">
        <v>1</v>
      </c>
      <c r="F27">
        <v>1</v>
      </c>
      <c r="G27">
        <v>1</v>
      </c>
      <c r="H27" t="s">
        <v>13206</v>
      </c>
      <c r="I27">
        <v>1</v>
      </c>
      <c r="J27">
        <v>0.01</v>
      </c>
      <c r="K27">
        <v>0</v>
      </c>
      <c r="L27" t="s">
        <v>13205</v>
      </c>
      <c r="M27" t="s">
        <v>833</v>
      </c>
      <c r="N27" t="s">
        <v>13205</v>
      </c>
      <c r="O27" t="s">
        <v>874</v>
      </c>
      <c r="P27" t="s">
        <v>1416</v>
      </c>
      <c r="Q27" t="s">
        <v>1416</v>
      </c>
      <c r="R27" t="s">
        <v>1416</v>
      </c>
      <c r="S27" t="s">
        <v>1416</v>
      </c>
      <c r="T27" t="s">
        <v>1414</v>
      </c>
      <c r="U27">
        <v>0</v>
      </c>
      <c r="V27" t="b">
        <v>1</v>
      </c>
      <c r="W27" t="b">
        <v>1</v>
      </c>
      <c r="X27" t="b">
        <v>0</v>
      </c>
      <c r="Y27" t="s">
        <v>13212</v>
      </c>
    </row>
    <row r="28" spans="1:37" x14ac:dyDescent="0.25">
      <c r="A28" t="s">
        <v>1418</v>
      </c>
      <c r="B28" t="s">
        <v>13205</v>
      </c>
      <c r="C28" t="b">
        <v>0</v>
      </c>
      <c r="D28" t="b">
        <v>0</v>
      </c>
      <c r="E28">
        <v>1</v>
      </c>
      <c r="F28">
        <v>1</v>
      </c>
      <c r="G28">
        <v>1</v>
      </c>
      <c r="H28" t="s">
        <v>13206</v>
      </c>
      <c r="I28">
        <v>1</v>
      </c>
      <c r="J28">
        <v>0.01</v>
      </c>
      <c r="K28">
        <v>0</v>
      </c>
      <c r="L28" t="s">
        <v>13205</v>
      </c>
      <c r="M28" t="s">
        <v>833</v>
      </c>
      <c r="N28" t="s">
        <v>13205</v>
      </c>
      <c r="O28" t="s">
        <v>874</v>
      </c>
      <c r="P28" t="s">
        <v>1419</v>
      </c>
      <c r="Q28" t="s">
        <v>1419</v>
      </c>
      <c r="R28" t="s">
        <v>1419</v>
      </c>
      <c r="S28" t="s">
        <v>1419</v>
      </c>
      <c r="T28" t="s">
        <v>1417</v>
      </c>
      <c r="U28">
        <v>0</v>
      </c>
      <c r="V28" t="b">
        <v>1</v>
      </c>
      <c r="W28" t="b">
        <v>1</v>
      </c>
      <c r="X28" t="b">
        <v>0</v>
      </c>
      <c r="Y28" t="s">
        <v>13212</v>
      </c>
    </row>
    <row r="29" spans="1:37" x14ac:dyDescent="0.25">
      <c r="A29" t="s">
        <v>1421</v>
      </c>
      <c r="B29" t="s">
        <v>13205</v>
      </c>
      <c r="C29" t="b">
        <v>0</v>
      </c>
      <c r="D29" t="b">
        <v>0</v>
      </c>
      <c r="E29">
        <v>1</v>
      </c>
      <c r="F29">
        <v>1</v>
      </c>
      <c r="G29">
        <v>1</v>
      </c>
      <c r="H29" t="s">
        <v>13206</v>
      </c>
      <c r="I29">
        <v>1</v>
      </c>
      <c r="J29">
        <v>0.01</v>
      </c>
      <c r="K29">
        <v>0</v>
      </c>
      <c r="L29" t="s">
        <v>13205</v>
      </c>
      <c r="M29" t="s">
        <v>833</v>
      </c>
      <c r="N29" t="s">
        <v>13205</v>
      </c>
      <c r="O29" t="s">
        <v>874</v>
      </c>
      <c r="P29" t="s">
        <v>1422</v>
      </c>
      <c r="Q29" t="s">
        <v>1422</v>
      </c>
      <c r="R29" t="s">
        <v>1422</v>
      </c>
      <c r="S29" t="s">
        <v>1422</v>
      </c>
      <c r="T29" t="s">
        <v>1420</v>
      </c>
      <c r="U29">
        <v>0</v>
      </c>
      <c r="V29" t="b">
        <v>1</v>
      </c>
      <c r="W29" t="b">
        <v>1</v>
      </c>
      <c r="X29" t="b">
        <v>0</v>
      </c>
      <c r="Y29" t="s">
        <v>13212</v>
      </c>
    </row>
    <row r="30" spans="1:37" x14ac:dyDescent="0.25">
      <c r="A30" t="s">
        <v>1424</v>
      </c>
      <c r="B30" t="s">
        <v>13205</v>
      </c>
      <c r="C30" t="b">
        <v>0</v>
      </c>
      <c r="D30" t="b">
        <v>0</v>
      </c>
      <c r="E30">
        <v>1</v>
      </c>
      <c r="F30">
        <v>1</v>
      </c>
      <c r="G30">
        <v>1</v>
      </c>
      <c r="H30" t="s">
        <v>13206</v>
      </c>
      <c r="I30">
        <v>1</v>
      </c>
      <c r="J30">
        <v>0.01</v>
      </c>
      <c r="K30">
        <v>0</v>
      </c>
      <c r="L30" t="s">
        <v>13205</v>
      </c>
      <c r="M30" t="s">
        <v>833</v>
      </c>
      <c r="N30" t="s">
        <v>13205</v>
      </c>
      <c r="O30" t="s">
        <v>874</v>
      </c>
      <c r="P30" t="s">
        <v>1425</v>
      </c>
      <c r="Q30" t="s">
        <v>1425</v>
      </c>
      <c r="R30" t="s">
        <v>1425</v>
      </c>
      <c r="S30" t="s">
        <v>1425</v>
      </c>
      <c r="T30" t="s">
        <v>1423</v>
      </c>
      <c r="U30">
        <v>0</v>
      </c>
      <c r="V30" t="b">
        <v>1</v>
      </c>
      <c r="W30" t="b">
        <v>1</v>
      </c>
      <c r="X30" t="b">
        <v>0</v>
      </c>
      <c r="Y30" t="s">
        <v>13212</v>
      </c>
    </row>
    <row r="31" spans="1:37" x14ac:dyDescent="0.25">
      <c r="A31" t="s">
        <v>1427</v>
      </c>
      <c r="B31" t="s">
        <v>13205</v>
      </c>
      <c r="C31" t="b">
        <v>0</v>
      </c>
      <c r="D31" t="b">
        <v>0</v>
      </c>
      <c r="E31">
        <v>1</v>
      </c>
      <c r="F31">
        <v>1</v>
      </c>
      <c r="G31">
        <v>1</v>
      </c>
      <c r="H31" t="s">
        <v>13206</v>
      </c>
      <c r="I31">
        <v>1</v>
      </c>
      <c r="J31">
        <v>0.01</v>
      </c>
      <c r="K31">
        <v>0</v>
      </c>
      <c r="L31" t="s">
        <v>13205</v>
      </c>
      <c r="M31" t="s">
        <v>833</v>
      </c>
      <c r="N31" t="s">
        <v>13205</v>
      </c>
      <c r="O31" t="s">
        <v>874</v>
      </c>
      <c r="P31" t="s">
        <v>1428</v>
      </c>
      <c r="Q31" t="s">
        <v>1428</v>
      </c>
      <c r="R31" t="s">
        <v>1428</v>
      </c>
      <c r="S31" t="s">
        <v>1428</v>
      </c>
      <c r="T31" t="s">
        <v>1426</v>
      </c>
      <c r="U31">
        <v>0</v>
      </c>
      <c r="V31" t="b">
        <v>1</v>
      </c>
      <c r="W31" t="b">
        <v>1</v>
      </c>
      <c r="X31" t="b">
        <v>0</v>
      </c>
      <c r="Y31" t="s">
        <v>13212</v>
      </c>
    </row>
    <row r="32" spans="1:37" x14ac:dyDescent="0.25">
      <c r="A32" t="s">
        <v>1430</v>
      </c>
      <c r="B32" t="s">
        <v>13205</v>
      </c>
      <c r="C32" t="b">
        <v>0</v>
      </c>
      <c r="D32" t="b">
        <v>0</v>
      </c>
      <c r="E32">
        <v>1</v>
      </c>
      <c r="F32">
        <v>1</v>
      </c>
      <c r="G32">
        <v>1</v>
      </c>
      <c r="H32" t="s">
        <v>13206</v>
      </c>
      <c r="I32">
        <v>1</v>
      </c>
      <c r="J32">
        <v>0.01</v>
      </c>
      <c r="K32">
        <v>0</v>
      </c>
      <c r="L32" t="s">
        <v>13205</v>
      </c>
      <c r="M32" t="s">
        <v>833</v>
      </c>
      <c r="N32" t="s">
        <v>13205</v>
      </c>
      <c r="O32" t="s">
        <v>874</v>
      </c>
      <c r="P32" t="s">
        <v>1431</v>
      </c>
      <c r="Q32" t="s">
        <v>1431</v>
      </c>
      <c r="R32" t="s">
        <v>1431</v>
      </c>
      <c r="S32" t="s">
        <v>1431</v>
      </c>
      <c r="T32" t="s">
        <v>1429</v>
      </c>
      <c r="U32">
        <v>0</v>
      </c>
      <c r="V32" t="b">
        <v>1</v>
      </c>
      <c r="W32" t="b">
        <v>1</v>
      </c>
      <c r="X32" t="b">
        <v>0</v>
      </c>
      <c r="Y32" t="s">
        <v>13212</v>
      </c>
    </row>
    <row r="33" spans="1:37" x14ac:dyDescent="0.25">
      <c r="A33" t="s">
        <v>1433</v>
      </c>
      <c r="B33" t="s">
        <v>13205</v>
      </c>
      <c r="C33" t="b">
        <v>0</v>
      </c>
      <c r="D33" t="b">
        <v>0</v>
      </c>
      <c r="E33">
        <v>1</v>
      </c>
      <c r="F33">
        <v>1</v>
      </c>
      <c r="G33">
        <v>1</v>
      </c>
      <c r="H33" t="s">
        <v>13206</v>
      </c>
      <c r="I33">
        <v>1</v>
      </c>
      <c r="J33">
        <v>0.01</v>
      </c>
      <c r="K33">
        <v>0</v>
      </c>
      <c r="L33" t="s">
        <v>13205</v>
      </c>
      <c r="M33" t="s">
        <v>833</v>
      </c>
      <c r="N33" t="s">
        <v>13205</v>
      </c>
      <c r="O33" t="s">
        <v>874</v>
      </c>
      <c r="P33" t="s">
        <v>1434</v>
      </c>
      <c r="Q33" t="s">
        <v>1434</v>
      </c>
      <c r="R33" t="s">
        <v>1434</v>
      </c>
      <c r="S33" t="s">
        <v>1434</v>
      </c>
      <c r="T33" t="s">
        <v>1432</v>
      </c>
      <c r="U33">
        <v>0</v>
      </c>
      <c r="V33" t="b">
        <v>1</v>
      </c>
      <c r="W33" t="b">
        <v>1</v>
      </c>
      <c r="X33" t="b">
        <v>0</v>
      </c>
      <c r="Y33" t="s">
        <v>13212</v>
      </c>
    </row>
    <row r="34" spans="1:37" x14ac:dyDescent="0.25">
      <c r="A34" t="s">
        <v>1436</v>
      </c>
      <c r="B34" t="s">
        <v>13205</v>
      </c>
      <c r="C34" t="b">
        <v>0</v>
      </c>
      <c r="D34" t="b">
        <v>0</v>
      </c>
      <c r="E34">
        <v>1</v>
      </c>
      <c r="F34">
        <v>1</v>
      </c>
      <c r="G34">
        <v>1</v>
      </c>
      <c r="H34" t="s">
        <v>13206</v>
      </c>
      <c r="I34">
        <v>1</v>
      </c>
      <c r="J34">
        <v>0.01</v>
      </c>
      <c r="K34">
        <v>0</v>
      </c>
      <c r="L34" t="s">
        <v>13205</v>
      </c>
      <c r="M34" t="s">
        <v>833</v>
      </c>
      <c r="N34" t="s">
        <v>13205</v>
      </c>
      <c r="O34" t="s">
        <v>874</v>
      </c>
      <c r="P34" t="s">
        <v>1437</v>
      </c>
      <c r="Q34" t="s">
        <v>1437</v>
      </c>
      <c r="R34" t="s">
        <v>1437</v>
      </c>
      <c r="S34" t="s">
        <v>1437</v>
      </c>
      <c r="T34" t="s">
        <v>1435</v>
      </c>
      <c r="U34">
        <v>0</v>
      </c>
      <c r="V34" t="b">
        <v>1</v>
      </c>
      <c r="W34" t="b">
        <v>1</v>
      </c>
      <c r="X34" t="b">
        <v>0</v>
      </c>
      <c r="Y34" t="s">
        <v>13212</v>
      </c>
    </row>
    <row r="35" spans="1:37" x14ac:dyDescent="0.25">
      <c r="A35" t="s">
        <v>1439</v>
      </c>
      <c r="B35" t="s">
        <v>13205</v>
      </c>
      <c r="C35" t="b">
        <v>0</v>
      </c>
      <c r="D35" t="b">
        <v>0</v>
      </c>
      <c r="E35">
        <v>1</v>
      </c>
      <c r="F35">
        <v>1</v>
      </c>
      <c r="G35">
        <v>1</v>
      </c>
      <c r="H35" t="s">
        <v>13206</v>
      </c>
      <c r="I35">
        <v>1</v>
      </c>
      <c r="J35">
        <v>0.01</v>
      </c>
      <c r="K35">
        <v>0</v>
      </c>
      <c r="L35" t="s">
        <v>13205</v>
      </c>
      <c r="M35" t="s">
        <v>833</v>
      </c>
      <c r="N35" t="s">
        <v>13205</v>
      </c>
      <c r="O35" t="s">
        <v>874</v>
      </c>
      <c r="P35" t="s">
        <v>1440</v>
      </c>
      <c r="Q35" t="s">
        <v>1440</v>
      </c>
      <c r="R35" t="s">
        <v>1440</v>
      </c>
      <c r="S35" t="s">
        <v>1440</v>
      </c>
      <c r="T35" t="s">
        <v>1438</v>
      </c>
      <c r="U35">
        <v>0</v>
      </c>
      <c r="V35" t="b">
        <v>1</v>
      </c>
      <c r="W35" t="b">
        <v>1</v>
      </c>
      <c r="X35" t="b">
        <v>0</v>
      </c>
      <c r="Y35" t="s">
        <v>13212</v>
      </c>
    </row>
    <row r="36" spans="1:37" x14ac:dyDescent="0.25">
      <c r="A36" t="s">
        <v>1442</v>
      </c>
      <c r="B36" t="s">
        <v>13205</v>
      </c>
      <c r="C36" t="b">
        <v>0</v>
      </c>
      <c r="D36" t="b">
        <v>0</v>
      </c>
      <c r="E36">
        <v>1</v>
      </c>
      <c r="F36">
        <v>1</v>
      </c>
      <c r="G36">
        <v>1</v>
      </c>
      <c r="H36" t="s">
        <v>13206</v>
      </c>
      <c r="I36">
        <v>1</v>
      </c>
      <c r="J36">
        <v>0.01</v>
      </c>
      <c r="K36">
        <v>0</v>
      </c>
      <c r="L36" t="s">
        <v>13205</v>
      </c>
      <c r="M36" t="s">
        <v>833</v>
      </c>
      <c r="N36" t="s">
        <v>13205</v>
      </c>
      <c r="O36" t="s">
        <v>874</v>
      </c>
      <c r="P36" t="s">
        <v>1443</v>
      </c>
      <c r="Q36" t="s">
        <v>1443</v>
      </c>
      <c r="R36" t="s">
        <v>1443</v>
      </c>
      <c r="S36" t="s">
        <v>1443</v>
      </c>
      <c r="T36" t="s">
        <v>1441</v>
      </c>
      <c r="U36">
        <v>0</v>
      </c>
      <c r="V36" t="b">
        <v>1</v>
      </c>
      <c r="W36" t="b">
        <v>1</v>
      </c>
      <c r="X36" t="b">
        <v>0</v>
      </c>
      <c r="Y36" t="s">
        <v>13212</v>
      </c>
    </row>
    <row r="37" spans="1:37" x14ac:dyDescent="0.25">
      <c r="A37" t="s">
        <v>126</v>
      </c>
      <c r="B37" t="s">
        <v>13205</v>
      </c>
      <c r="C37" t="b">
        <v>1</v>
      </c>
      <c r="D37" t="b">
        <v>1</v>
      </c>
      <c r="E37">
        <v>0</v>
      </c>
      <c r="F37">
        <v>0</v>
      </c>
      <c r="G37">
        <v>0</v>
      </c>
      <c r="H37" t="s">
        <v>13206</v>
      </c>
      <c r="I37">
        <v>6</v>
      </c>
      <c r="J37">
        <v>44.5</v>
      </c>
      <c r="K37">
        <v>8.5</v>
      </c>
      <c r="L37" t="s">
        <v>13205</v>
      </c>
      <c r="M37" t="s">
        <v>13207</v>
      </c>
      <c r="N37" t="s">
        <v>13205</v>
      </c>
      <c r="O37" t="s">
        <v>874</v>
      </c>
      <c r="P37" t="s">
        <v>127</v>
      </c>
      <c r="Q37" t="s">
        <v>127</v>
      </c>
      <c r="R37" t="s">
        <v>127</v>
      </c>
      <c r="S37" t="s">
        <v>127</v>
      </c>
      <c r="T37" t="s">
        <v>1444</v>
      </c>
      <c r="U37">
        <v>0</v>
      </c>
      <c r="V37" t="b">
        <v>1</v>
      </c>
      <c r="W37" t="b">
        <v>0</v>
      </c>
      <c r="X37" t="b">
        <v>0</v>
      </c>
      <c r="Y37" t="s">
        <v>13212</v>
      </c>
      <c r="Z37">
        <v>577.69000000000005</v>
      </c>
      <c r="AA37" t="s">
        <v>13213</v>
      </c>
      <c r="AB37">
        <v>466</v>
      </c>
      <c r="AC37" t="s">
        <v>13213</v>
      </c>
      <c r="AD37">
        <v>559.20000000000005</v>
      </c>
      <c r="AE37" t="s">
        <v>13214</v>
      </c>
      <c r="AF37">
        <v>456.71</v>
      </c>
      <c r="AG37" t="s">
        <v>13213</v>
      </c>
      <c r="AH37">
        <v>361.08</v>
      </c>
      <c r="AI37" t="s">
        <v>13215</v>
      </c>
      <c r="AJ37">
        <v>699</v>
      </c>
      <c r="AK37" t="s">
        <v>13213</v>
      </c>
    </row>
    <row r="38" spans="1:37" x14ac:dyDescent="0.25">
      <c r="A38" t="s">
        <v>150</v>
      </c>
      <c r="B38" t="s">
        <v>13205</v>
      </c>
      <c r="C38" t="b">
        <v>1</v>
      </c>
      <c r="D38" t="b">
        <v>1</v>
      </c>
      <c r="E38">
        <v>0</v>
      </c>
      <c r="F38">
        <v>0</v>
      </c>
      <c r="G38">
        <v>0</v>
      </c>
      <c r="H38" t="s">
        <v>13206</v>
      </c>
      <c r="I38">
        <v>6</v>
      </c>
      <c r="J38">
        <v>50</v>
      </c>
      <c r="K38">
        <v>8.6</v>
      </c>
      <c r="L38" t="s">
        <v>13205</v>
      </c>
      <c r="M38" t="s">
        <v>13207</v>
      </c>
      <c r="N38" t="s">
        <v>13205</v>
      </c>
      <c r="O38" t="s">
        <v>874</v>
      </c>
      <c r="P38" t="s">
        <v>151</v>
      </c>
      <c r="Q38" t="s">
        <v>151</v>
      </c>
      <c r="R38" t="s">
        <v>151</v>
      </c>
      <c r="S38" t="s">
        <v>151</v>
      </c>
      <c r="T38" t="s">
        <v>1448</v>
      </c>
      <c r="U38">
        <v>0</v>
      </c>
      <c r="V38" t="b">
        <v>1</v>
      </c>
      <c r="W38" t="b">
        <v>0</v>
      </c>
      <c r="X38" t="b">
        <v>0</v>
      </c>
      <c r="Y38" t="s">
        <v>13212</v>
      </c>
      <c r="Z38">
        <v>685.12</v>
      </c>
      <c r="AA38" t="s">
        <v>13213</v>
      </c>
      <c r="AB38">
        <v>552.66999999999996</v>
      </c>
      <c r="AC38" t="s">
        <v>13213</v>
      </c>
      <c r="AD38">
        <v>663.2</v>
      </c>
      <c r="AE38" t="s">
        <v>13214</v>
      </c>
      <c r="AF38">
        <v>535.98</v>
      </c>
      <c r="AG38" t="s">
        <v>13213</v>
      </c>
      <c r="AH38">
        <v>425.25</v>
      </c>
      <c r="AI38" t="s">
        <v>13215</v>
      </c>
      <c r="AJ38">
        <v>829</v>
      </c>
      <c r="AK38" t="s">
        <v>13213</v>
      </c>
    </row>
    <row r="39" spans="1:37" x14ac:dyDescent="0.25">
      <c r="A39" t="s">
        <v>142</v>
      </c>
      <c r="B39" t="s">
        <v>13205</v>
      </c>
      <c r="C39" t="b">
        <v>1</v>
      </c>
      <c r="D39" t="b">
        <v>1</v>
      </c>
      <c r="E39">
        <v>0</v>
      </c>
      <c r="F39">
        <v>0</v>
      </c>
      <c r="G39">
        <v>0</v>
      </c>
      <c r="H39" t="s">
        <v>13206</v>
      </c>
      <c r="I39">
        <v>6</v>
      </c>
      <c r="J39">
        <v>47</v>
      </c>
      <c r="K39">
        <v>8.6</v>
      </c>
      <c r="L39" t="s">
        <v>13205</v>
      </c>
      <c r="M39" t="s">
        <v>13207</v>
      </c>
      <c r="N39" t="s">
        <v>13205</v>
      </c>
      <c r="O39" t="s">
        <v>874</v>
      </c>
      <c r="P39" t="s">
        <v>13348</v>
      </c>
      <c r="Q39" t="s">
        <v>13348</v>
      </c>
      <c r="R39" t="s">
        <v>13348</v>
      </c>
      <c r="S39" t="s">
        <v>13348</v>
      </c>
      <c r="T39" t="s">
        <v>1452</v>
      </c>
      <c r="U39">
        <v>0</v>
      </c>
      <c r="V39" t="b">
        <v>1</v>
      </c>
      <c r="W39" t="b">
        <v>0</v>
      </c>
      <c r="X39" t="b">
        <v>0</v>
      </c>
      <c r="Y39" t="s">
        <v>13212</v>
      </c>
      <c r="Z39">
        <v>668.6</v>
      </c>
      <c r="AA39" t="s">
        <v>13213</v>
      </c>
      <c r="AB39">
        <v>539.33000000000004</v>
      </c>
      <c r="AC39" t="s">
        <v>13213</v>
      </c>
      <c r="AD39">
        <v>647.20000000000005</v>
      </c>
      <c r="AE39" t="s">
        <v>13214</v>
      </c>
      <c r="AF39">
        <v>523.78</v>
      </c>
      <c r="AG39" t="s">
        <v>13213</v>
      </c>
      <c r="AH39">
        <v>425.25</v>
      </c>
      <c r="AI39" t="s">
        <v>13215</v>
      </c>
      <c r="AJ39">
        <v>809</v>
      </c>
      <c r="AK39" t="s">
        <v>13213</v>
      </c>
    </row>
    <row r="40" spans="1:37" x14ac:dyDescent="0.25">
      <c r="A40" t="s">
        <v>138</v>
      </c>
      <c r="B40" t="s">
        <v>13205</v>
      </c>
      <c r="C40" t="b">
        <v>1</v>
      </c>
      <c r="D40" t="b">
        <v>1</v>
      </c>
      <c r="E40">
        <v>0</v>
      </c>
      <c r="F40">
        <v>0</v>
      </c>
      <c r="G40">
        <v>0</v>
      </c>
      <c r="H40" t="s">
        <v>13206</v>
      </c>
      <c r="I40">
        <v>6</v>
      </c>
      <c r="J40">
        <v>45.6</v>
      </c>
      <c r="K40">
        <v>8.6</v>
      </c>
      <c r="L40" t="s">
        <v>13205</v>
      </c>
      <c r="M40" t="s">
        <v>13207</v>
      </c>
      <c r="N40" t="s">
        <v>13205</v>
      </c>
      <c r="O40" t="s">
        <v>874</v>
      </c>
      <c r="P40" t="s">
        <v>139</v>
      </c>
      <c r="Q40" t="s">
        <v>139</v>
      </c>
      <c r="R40" t="s">
        <v>139</v>
      </c>
      <c r="S40" t="s">
        <v>139</v>
      </c>
      <c r="T40" t="s">
        <v>1456</v>
      </c>
      <c r="U40">
        <v>0</v>
      </c>
      <c r="V40" t="b">
        <v>1</v>
      </c>
      <c r="W40" t="b">
        <v>0</v>
      </c>
      <c r="X40" t="b">
        <v>0</v>
      </c>
      <c r="Y40" t="s">
        <v>13212</v>
      </c>
      <c r="Z40">
        <v>635.54</v>
      </c>
      <c r="AA40" t="s">
        <v>13213</v>
      </c>
      <c r="AB40">
        <v>512.66999999999996</v>
      </c>
      <c r="AC40" t="s">
        <v>13213</v>
      </c>
      <c r="AD40">
        <v>615.20000000000005</v>
      </c>
      <c r="AE40" t="s">
        <v>13214</v>
      </c>
      <c r="AF40">
        <v>499.39</v>
      </c>
      <c r="AG40" t="s">
        <v>13213</v>
      </c>
      <c r="AH40">
        <v>396.08</v>
      </c>
      <c r="AI40" t="s">
        <v>13215</v>
      </c>
      <c r="AJ40">
        <v>769</v>
      </c>
      <c r="AK40" t="s">
        <v>13213</v>
      </c>
    </row>
    <row r="41" spans="1:37" x14ac:dyDescent="0.25">
      <c r="A41" t="s">
        <v>146</v>
      </c>
      <c r="B41" t="s">
        <v>13205</v>
      </c>
      <c r="C41" t="b">
        <v>1</v>
      </c>
      <c r="D41" t="b">
        <v>1</v>
      </c>
      <c r="E41">
        <v>0</v>
      </c>
      <c r="F41">
        <v>0</v>
      </c>
      <c r="G41">
        <v>0</v>
      </c>
      <c r="H41" t="s">
        <v>13206</v>
      </c>
      <c r="I41">
        <v>6</v>
      </c>
      <c r="J41">
        <v>52.5</v>
      </c>
      <c r="K41">
        <v>9.1</v>
      </c>
      <c r="L41" t="s">
        <v>13205</v>
      </c>
      <c r="M41" t="s">
        <v>13207</v>
      </c>
      <c r="N41" t="s">
        <v>13205</v>
      </c>
      <c r="O41" t="s">
        <v>874</v>
      </c>
      <c r="P41" t="s">
        <v>147</v>
      </c>
      <c r="Q41" t="s">
        <v>147</v>
      </c>
      <c r="R41" t="s">
        <v>147</v>
      </c>
      <c r="S41" t="s">
        <v>147</v>
      </c>
      <c r="T41" t="s">
        <v>1460</v>
      </c>
      <c r="U41">
        <v>0</v>
      </c>
      <c r="V41" t="b">
        <v>1</v>
      </c>
      <c r="W41" t="b">
        <v>0</v>
      </c>
      <c r="X41" t="b">
        <v>0</v>
      </c>
      <c r="Y41" t="s">
        <v>13212</v>
      </c>
      <c r="Z41">
        <v>709.92</v>
      </c>
      <c r="AA41" t="s">
        <v>13213</v>
      </c>
      <c r="AB41">
        <v>572.66999999999996</v>
      </c>
      <c r="AC41" t="s">
        <v>13213</v>
      </c>
      <c r="AD41">
        <v>687.2</v>
      </c>
      <c r="AE41" t="s">
        <v>13214</v>
      </c>
      <c r="AF41">
        <v>548.16999999999996</v>
      </c>
      <c r="AG41" t="s">
        <v>13213</v>
      </c>
      <c r="AH41">
        <v>442.75</v>
      </c>
      <c r="AI41" t="s">
        <v>13215</v>
      </c>
      <c r="AJ41">
        <v>859</v>
      </c>
      <c r="AK41" t="s">
        <v>13213</v>
      </c>
    </row>
    <row r="42" spans="1:37" x14ac:dyDescent="0.25">
      <c r="A42" t="s">
        <v>134</v>
      </c>
      <c r="B42" t="s">
        <v>13205</v>
      </c>
      <c r="C42" t="b">
        <v>1</v>
      </c>
      <c r="D42" t="b">
        <v>1</v>
      </c>
      <c r="E42">
        <v>0</v>
      </c>
      <c r="F42">
        <v>0</v>
      </c>
      <c r="G42">
        <v>0</v>
      </c>
      <c r="H42" t="s">
        <v>13206</v>
      </c>
      <c r="I42">
        <v>6</v>
      </c>
      <c r="J42">
        <v>45.1</v>
      </c>
      <c r="K42">
        <v>8.6</v>
      </c>
      <c r="L42" t="s">
        <v>13205</v>
      </c>
      <c r="M42" t="s">
        <v>13207</v>
      </c>
      <c r="N42" t="s">
        <v>13205</v>
      </c>
      <c r="O42" t="s">
        <v>874</v>
      </c>
      <c r="P42" t="s">
        <v>135</v>
      </c>
      <c r="Q42" t="s">
        <v>135</v>
      </c>
      <c r="R42" t="s">
        <v>135</v>
      </c>
      <c r="S42" t="s">
        <v>135</v>
      </c>
      <c r="T42" t="s">
        <v>1464</v>
      </c>
      <c r="U42">
        <v>0</v>
      </c>
      <c r="V42" t="b">
        <v>0</v>
      </c>
      <c r="W42" t="b">
        <v>0</v>
      </c>
      <c r="X42" t="b">
        <v>0</v>
      </c>
      <c r="Y42" t="s">
        <v>13212</v>
      </c>
      <c r="Z42">
        <v>602.48</v>
      </c>
      <c r="AA42" t="s">
        <v>13213</v>
      </c>
      <c r="AB42">
        <v>486</v>
      </c>
      <c r="AC42" t="s">
        <v>13213</v>
      </c>
      <c r="AD42">
        <v>583.20000000000005</v>
      </c>
      <c r="AE42" t="s">
        <v>13214</v>
      </c>
      <c r="AF42">
        <v>475</v>
      </c>
      <c r="AG42" t="s">
        <v>13213</v>
      </c>
      <c r="AH42">
        <v>372.75</v>
      </c>
      <c r="AI42" t="s">
        <v>13215</v>
      </c>
      <c r="AJ42">
        <v>729</v>
      </c>
      <c r="AK42" t="s">
        <v>13213</v>
      </c>
    </row>
    <row r="43" spans="1:37" x14ac:dyDescent="0.25">
      <c r="A43" t="s">
        <v>1469</v>
      </c>
      <c r="B43" t="s">
        <v>13205</v>
      </c>
      <c r="C43" t="b">
        <v>0</v>
      </c>
      <c r="D43" t="b">
        <v>0</v>
      </c>
      <c r="E43">
        <v>1</v>
      </c>
      <c r="F43">
        <v>1</v>
      </c>
      <c r="G43">
        <v>1</v>
      </c>
      <c r="H43" t="s">
        <v>13206</v>
      </c>
      <c r="I43">
        <v>1</v>
      </c>
      <c r="J43">
        <v>0.01</v>
      </c>
      <c r="K43">
        <v>0</v>
      </c>
      <c r="L43" t="s">
        <v>13205</v>
      </c>
      <c r="M43" t="s">
        <v>833</v>
      </c>
      <c r="N43" t="s">
        <v>13205</v>
      </c>
      <c r="O43" t="s">
        <v>874</v>
      </c>
      <c r="P43" t="s">
        <v>1470</v>
      </c>
      <c r="Q43" t="s">
        <v>1470</v>
      </c>
      <c r="R43" t="s">
        <v>1470</v>
      </c>
      <c r="S43" t="s">
        <v>1470</v>
      </c>
      <c r="T43" t="s">
        <v>1468</v>
      </c>
      <c r="U43">
        <v>0</v>
      </c>
      <c r="V43" t="b">
        <v>1</v>
      </c>
      <c r="W43" t="b">
        <v>1</v>
      </c>
      <c r="X43" t="b">
        <v>0</v>
      </c>
      <c r="Y43" t="s">
        <v>13212</v>
      </c>
    </row>
    <row r="44" spans="1:37" x14ac:dyDescent="0.25">
      <c r="A44" t="s">
        <v>166</v>
      </c>
      <c r="B44" t="s">
        <v>13205</v>
      </c>
      <c r="C44" t="b">
        <v>1</v>
      </c>
      <c r="D44" t="b">
        <v>1</v>
      </c>
      <c r="E44">
        <v>100</v>
      </c>
      <c r="F44">
        <v>80</v>
      </c>
      <c r="G44">
        <v>58</v>
      </c>
      <c r="H44" t="s">
        <v>13206</v>
      </c>
      <c r="I44">
        <v>4</v>
      </c>
      <c r="J44">
        <v>53</v>
      </c>
      <c r="K44">
        <v>9.1</v>
      </c>
      <c r="L44" t="s">
        <v>13205</v>
      </c>
      <c r="M44" t="s">
        <v>13207</v>
      </c>
      <c r="N44" t="s">
        <v>13205</v>
      </c>
      <c r="O44" t="s">
        <v>874</v>
      </c>
      <c r="P44" t="s">
        <v>167</v>
      </c>
      <c r="Q44" t="s">
        <v>167</v>
      </c>
      <c r="R44" t="s">
        <v>167</v>
      </c>
      <c r="S44" t="s">
        <v>167</v>
      </c>
      <c r="T44" t="s">
        <v>1471</v>
      </c>
      <c r="U44">
        <v>0</v>
      </c>
      <c r="V44" t="b">
        <v>1</v>
      </c>
      <c r="W44" t="b">
        <v>0</v>
      </c>
      <c r="X44" t="b">
        <v>0</v>
      </c>
      <c r="Y44" t="s">
        <v>13212</v>
      </c>
      <c r="Z44">
        <v>726.45</v>
      </c>
      <c r="AA44" t="s">
        <v>13213</v>
      </c>
      <c r="AB44">
        <v>586</v>
      </c>
      <c r="AC44" t="s">
        <v>13213</v>
      </c>
      <c r="AD44">
        <v>703.2</v>
      </c>
      <c r="AE44" t="s">
        <v>13214</v>
      </c>
      <c r="AF44">
        <v>596.95000000000005</v>
      </c>
      <c r="AG44" t="s">
        <v>13213</v>
      </c>
      <c r="AH44">
        <v>448.58</v>
      </c>
      <c r="AI44" t="s">
        <v>13215</v>
      </c>
      <c r="AJ44">
        <v>879</v>
      </c>
      <c r="AK44" t="s">
        <v>13213</v>
      </c>
    </row>
    <row r="45" spans="1:37" x14ac:dyDescent="0.25">
      <c r="A45" t="s">
        <v>157</v>
      </c>
      <c r="B45" t="s">
        <v>13205</v>
      </c>
      <c r="C45" t="b">
        <v>1</v>
      </c>
      <c r="D45" t="b">
        <v>1</v>
      </c>
      <c r="E45">
        <v>0</v>
      </c>
      <c r="F45">
        <v>0</v>
      </c>
      <c r="G45">
        <v>0</v>
      </c>
      <c r="H45" t="s">
        <v>13206</v>
      </c>
      <c r="I45">
        <v>6</v>
      </c>
      <c r="J45">
        <v>53</v>
      </c>
      <c r="K45">
        <v>9.1</v>
      </c>
      <c r="L45" t="s">
        <v>13205</v>
      </c>
      <c r="M45" t="s">
        <v>13207</v>
      </c>
      <c r="N45" t="s">
        <v>13205</v>
      </c>
      <c r="O45" t="s">
        <v>874</v>
      </c>
      <c r="P45" t="s">
        <v>656</v>
      </c>
      <c r="Q45" t="s">
        <v>656</v>
      </c>
      <c r="R45" t="s">
        <v>656</v>
      </c>
      <c r="S45" t="s">
        <v>656</v>
      </c>
      <c r="T45" t="s">
        <v>1475</v>
      </c>
      <c r="U45">
        <v>0</v>
      </c>
      <c r="V45" t="b">
        <v>1</v>
      </c>
      <c r="W45" t="b">
        <v>0</v>
      </c>
      <c r="X45" t="b">
        <v>0</v>
      </c>
      <c r="Y45" t="s">
        <v>13212</v>
      </c>
      <c r="Z45">
        <v>726.45</v>
      </c>
      <c r="AA45" t="s">
        <v>13213</v>
      </c>
      <c r="AB45">
        <v>586</v>
      </c>
      <c r="AC45" t="s">
        <v>13213</v>
      </c>
      <c r="AD45">
        <v>703.2</v>
      </c>
      <c r="AE45" t="s">
        <v>13214</v>
      </c>
      <c r="AF45">
        <v>596.95000000000005</v>
      </c>
      <c r="AG45" t="s">
        <v>13213</v>
      </c>
      <c r="AH45">
        <v>448.58</v>
      </c>
      <c r="AI45" t="s">
        <v>13215</v>
      </c>
      <c r="AJ45">
        <v>879</v>
      </c>
      <c r="AK45" t="s">
        <v>13213</v>
      </c>
    </row>
    <row r="46" spans="1:37" x14ac:dyDescent="0.25">
      <c r="A46" t="s">
        <v>155</v>
      </c>
      <c r="B46" t="s">
        <v>13205</v>
      </c>
      <c r="C46" t="b">
        <v>1</v>
      </c>
      <c r="D46" t="b">
        <v>1</v>
      </c>
      <c r="E46">
        <v>0</v>
      </c>
      <c r="F46">
        <v>0</v>
      </c>
      <c r="G46">
        <v>0</v>
      </c>
      <c r="H46" t="s">
        <v>13206</v>
      </c>
      <c r="I46">
        <v>6</v>
      </c>
      <c r="J46">
        <v>53</v>
      </c>
      <c r="K46">
        <v>9.1</v>
      </c>
      <c r="L46" t="s">
        <v>13205</v>
      </c>
      <c r="M46" t="s">
        <v>13207</v>
      </c>
      <c r="N46" t="s">
        <v>13205</v>
      </c>
      <c r="O46" t="s">
        <v>874</v>
      </c>
      <c r="P46" t="s">
        <v>513</v>
      </c>
      <c r="Q46" t="s">
        <v>513</v>
      </c>
      <c r="R46" t="s">
        <v>513</v>
      </c>
      <c r="S46" t="s">
        <v>513</v>
      </c>
      <c r="T46" t="s">
        <v>1480</v>
      </c>
      <c r="U46">
        <v>0</v>
      </c>
      <c r="V46" t="b">
        <v>1</v>
      </c>
      <c r="W46" t="b">
        <v>0</v>
      </c>
      <c r="X46" t="b">
        <v>0</v>
      </c>
      <c r="Y46" t="s">
        <v>13212</v>
      </c>
      <c r="Z46">
        <v>726.45</v>
      </c>
      <c r="AA46" t="s">
        <v>13213</v>
      </c>
      <c r="AB46">
        <v>586</v>
      </c>
      <c r="AC46" t="s">
        <v>13213</v>
      </c>
      <c r="AD46">
        <v>703.2</v>
      </c>
      <c r="AE46" t="s">
        <v>13214</v>
      </c>
      <c r="AF46">
        <v>596.95000000000005</v>
      </c>
      <c r="AG46" t="s">
        <v>13213</v>
      </c>
      <c r="AH46">
        <v>448.58</v>
      </c>
      <c r="AI46" t="s">
        <v>13215</v>
      </c>
      <c r="AJ46">
        <v>879</v>
      </c>
      <c r="AK46" t="s">
        <v>13213</v>
      </c>
    </row>
    <row r="47" spans="1:37" x14ac:dyDescent="0.25">
      <c r="A47" t="s">
        <v>170</v>
      </c>
      <c r="B47" t="s">
        <v>13205</v>
      </c>
      <c r="C47" t="b">
        <v>1</v>
      </c>
      <c r="D47" t="b">
        <v>1</v>
      </c>
      <c r="E47">
        <v>0</v>
      </c>
      <c r="F47">
        <v>0</v>
      </c>
      <c r="G47">
        <v>0</v>
      </c>
      <c r="H47" t="s">
        <v>13206</v>
      </c>
      <c r="I47">
        <v>6</v>
      </c>
      <c r="J47">
        <v>53</v>
      </c>
      <c r="K47">
        <v>9.1</v>
      </c>
      <c r="L47" t="s">
        <v>13205</v>
      </c>
      <c r="M47" t="s">
        <v>13207</v>
      </c>
      <c r="N47" t="s">
        <v>13205</v>
      </c>
      <c r="O47" t="s">
        <v>874</v>
      </c>
      <c r="P47" t="s">
        <v>171</v>
      </c>
      <c r="Q47" t="s">
        <v>171</v>
      </c>
      <c r="R47" t="s">
        <v>171</v>
      </c>
      <c r="S47" t="s">
        <v>171</v>
      </c>
      <c r="T47" t="s">
        <v>1485</v>
      </c>
      <c r="U47">
        <v>0</v>
      </c>
      <c r="V47" t="b">
        <v>1</v>
      </c>
      <c r="W47" t="b">
        <v>0</v>
      </c>
      <c r="X47" t="b">
        <v>0</v>
      </c>
      <c r="Y47" t="s">
        <v>13212</v>
      </c>
      <c r="Z47">
        <v>726.45</v>
      </c>
      <c r="AA47" t="s">
        <v>13213</v>
      </c>
      <c r="AB47">
        <v>586</v>
      </c>
      <c r="AC47" t="s">
        <v>13213</v>
      </c>
      <c r="AD47">
        <v>703.2</v>
      </c>
      <c r="AE47" t="s">
        <v>13214</v>
      </c>
      <c r="AF47">
        <v>596.95000000000005</v>
      </c>
      <c r="AG47" t="s">
        <v>13213</v>
      </c>
      <c r="AH47">
        <v>448.58</v>
      </c>
      <c r="AI47" t="s">
        <v>13215</v>
      </c>
      <c r="AJ47">
        <v>879</v>
      </c>
      <c r="AK47" t="s">
        <v>13213</v>
      </c>
    </row>
    <row r="48" spans="1:37" x14ac:dyDescent="0.25">
      <c r="A48" t="s">
        <v>162</v>
      </c>
      <c r="B48" t="s">
        <v>13205</v>
      </c>
      <c r="C48" t="b">
        <v>1</v>
      </c>
      <c r="D48" t="b">
        <v>1</v>
      </c>
      <c r="E48">
        <v>0</v>
      </c>
      <c r="F48">
        <v>0</v>
      </c>
      <c r="G48">
        <v>0</v>
      </c>
      <c r="H48" t="s">
        <v>13206</v>
      </c>
      <c r="I48">
        <v>6</v>
      </c>
      <c r="J48">
        <v>53</v>
      </c>
      <c r="K48">
        <v>9.1</v>
      </c>
      <c r="L48" t="s">
        <v>13205</v>
      </c>
      <c r="M48" t="s">
        <v>13207</v>
      </c>
      <c r="N48" t="s">
        <v>13205</v>
      </c>
      <c r="O48" t="s">
        <v>874</v>
      </c>
      <c r="P48" t="s">
        <v>163</v>
      </c>
      <c r="Q48" t="s">
        <v>163</v>
      </c>
      <c r="R48" t="s">
        <v>163</v>
      </c>
      <c r="S48" t="s">
        <v>163</v>
      </c>
      <c r="T48" t="s">
        <v>1489</v>
      </c>
      <c r="U48">
        <v>0</v>
      </c>
      <c r="V48" t="b">
        <v>1</v>
      </c>
      <c r="W48" t="b">
        <v>0</v>
      </c>
      <c r="X48" t="b">
        <v>0</v>
      </c>
      <c r="Y48" t="s">
        <v>13212</v>
      </c>
      <c r="Z48">
        <v>726.45</v>
      </c>
      <c r="AA48" t="s">
        <v>13213</v>
      </c>
      <c r="AB48">
        <v>586</v>
      </c>
      <c r="AC48" t="s">
        <v>13213</v>
      </c>
      <c r="AD48">
        <v>703.2</v>
      </c>
      <c r="AE48" t="s">
        <v>13214</v>
      </c>
      <c r="AF48">
        <v>596.95000000000005</v>
      </c>
      <c r="AG48" t="s">
        <v>13213</v>
      </c>
      <c r="AH48">
        <v>448.58</v>
      </c>
      <c r="AI48" t="s">
        <v>13215</v>
      </c>
      <c r="AJ48">
        <v>879</v>
      </c>
      <c r="AK48" t="s">
        <v>13213</v>
      </c>
    </row>
    <row r="49" spans="1:37" x14ac:dyDescent="0.25">
      <c r="A49" t="s">
        <v>159</v>
      </c>
      <c r="B49" t="s">
        <v>13205</v>
      </c>
      <c r="C49" t="b">
        <v>1</v>
      </c>
      <c r="D49" t="b">
        <v>1</v>
      </c>
      <c r="E49">
        <v>0</v>
      </c>
      <c r="F49">
        <v>0</v>
      </c>
      <c r="G49">
        <v>0</v>
      </c>
      <c r="H49" t="s">
        <v>13206</v>
      </c>
      <c r="I49">
        <v>6</v>
      </c>
      <c r="J49">
        <v>53</v>
      </c>
      <c r="K49">
        <v>9.1</v>
      </c>
      <c r="L49" t="s">
        <v>13205</v>
      </c>
      <c r="M49" t="s">
        <v>13207</v>
      </c>
      <c r="N49" t="s">
        <v>13205</v>
      </c>
      <c r="O49" t="s">
        <v>874</v>
      </c>
      <c r="P49" t="s">
        <v>686</v>
      </c>
      <c r="Q49" t="s">
        <v>686</v>
      </c>
      <c r="R49" t="s">
        <v>686</v>
      </c>
      <c r="S49" t="s">
        <v>686</v>
      </c>
      <c r="T49" t="s">
        <v>1493</v>
      </c>
      <c r="U49">
        <v>0</v>
      </c>
      <c r="V49" t="b">
        <v>1</v>
      </c>
      <c r="W49" t="b">
        <v>0</v>
      </c>
      <c r="X49" t="b">
        <v>0</v>
      </c>
      <c r="Y49" t="s">
        <v>13212</v>
      </c>
      <c r="Z49">
        <v>726.45</v>
      </c>
      <c r="AA49" t="s">
        <v>13213</v>
      </c>
      <c r="AB49">
        <v>586</v>
      </c>
      <c r="AC49" t="s">
        <v>13213</v>
      </c>
      <c r="AD49">
        <v>703.2</v>
      </c>
      <c r="AE49" t="s">
        <v>13214</v>
      </c>
      <c r="AF49">
        <v>596.95000000000005</v>
      </c>
      <c r="AG49" t="s">
        <v>13213</v>
      </c>
      <c r="AH49">
        <v>448.58</v>
      </c>
      <c r="AI49" t="s">
        <v>13215</v>
      </c>
      <c r="AJ49">
        <v>879</v>
      </c>
      <c r="AK49" t="s">
        <v>13213</v>
      </c>
    </row>
    <row r="50" spans="1:37" x14ac:dyDescent="0.25">
      <c r="A50" t="s">
        <v>153</v>
      </c>
      <c r="B50" t="s">
        <v>13205</v>
      </c>
      <c r="C50" t="b">
        <v>1</v>
      </c>
      <c r="D50" t="b">
        <v>1</v>
      </c>
      <c r="E50">
        <v>0</v>
      </c>
      <c r="F50">
        <v>0</v>
      </c>
      <c r="G50">
        <v>0</v>
      </c>
      <c r="H50" t="s">
        <v>13206</v>
      </c>
      <c r="I50">
        <v>6</v>
      </c>
      <c r="J50">
        <v>46.5</v>
      </c>
      <c r="K50">
        <v>8.6</v>
      </c>
      <c r="L50" t="s">
        <v>13205</v>
      </c>
      <c r="M50" t="s">
        <v>13207</v>
      </c>
      <c r="N50" t="s">
        <v>13205</v>
      </c>
      <c r="O50" t="s">
        <v>874</v>
      </c>
      <c r="P50" t="s">
        <v>13353</v>
      </c>
      <c r="Q50" t="s">
        <v>13353</v>
      </c>
      <c r="R50" t="s">
        <v>13353</v>
      </c>
      <c r="S50" t="s">
        <v>13353</v>
      </c>
      <c r="T50" t="s">
        <v>1498</v>
      </c>
      <c r="U50">
        <v>0</v>
      </c>
      <c r="V50" t="b">
        <v>1</v>
      </c>
      <c r="W50" t="b">
        <v>0</v>
      </c>
      <c r="X50" t="b">
        <v>0</v>
      </c>
      <c r="Y50" t="s">
        <v>13212</v>
      </c>
      <c r="Z50">
        <v>709.92</v>
      </c>
      <c r="AA50" t="s">
        <v>13213</v>
      </c>
      <c r="AB50">
        <v>572.66999999999996</v>
      </c>
      <c r="AC50" t="s">
        <v>13213</v>
      </c>
      <c r="AD50">
        <v>687.2</v>
      </c>
      <c r="AE50" t="s">
        <v>13214</v>
      </c>
      <c r="AF50">
        <v>584.76</v>
      </c>
      <c r="AG50" t="s">
        <v>13213</v>
      </c>
      <c r="AH50">
        <v>442.75</v>
      </c>
      <c r="AI50" t="s">
        <v>13215</v>
      </c>
      <c r="AJ50">
        <v>859</v>
      </c>
      <c r="AK50" t="s">
        <v>13213</v>
      </c>
    </row>
    <row r="51" spans="1:37" x14ac:dyDescent="0.25">
      <c r="A51" t="s">
        <v>267</v>
      </c>
      <c r="B51" t="s">
        <v>13205</v>
      </c>
      <c r="C51" t="b">
        <v>1</v>
      </c>
      <c r="D51" t="b">
        <v>1</v>
      </c>
      <c r="E51">
        <v>1</v>
      </c>
      <c r="F51">
        <v>1</v>
      </c>
      <c r="G51">
        <v>1</v>
      </c>
      <c r="H51" t="s">
        <v>13206</v>
      </c>
      <c r="I51">
        <v>1</v>
      </c>
      <c r="J51">
        <v>38.11</v>
      </c>
      <c r="K51">
        <v>6.89</v>
      </c>
      <c r="L51" t="s">
        <v>13281</v>
      </c>
      <c r="M51" t="s">
        <v>13207</v>
      </c>
      <c r="N51" t="s">
        <v>13205</v>
      </c>
      <c r="O51" t="s">
        <v>874</v>
      </c>
      <c r="P51" t="s">
        <v>128</v>
      </c>
      <c r="Q51" t="s">
        <v>128</v>
      </c>
      <c r="R51" t="s">
        <v>128</v>
      </c>
      <c r="S51" t="s">
        <v>128</v>
      </c>
      <c r="T51" t="s">
        <v>299</v>
      </c>
      <c r="U51">
        <v>0</v>
      </c>
      <c r="V51" t="b">
        <v>1</v>
      </c>
      <c r="W51" t="b">
        <v>0</v>
      </c>
      <c r="X51" t="b">
        <v>0</v>
      </c>
      <c r="Y51" t="s">
        <v>13212</v>
      </c>
      <c r="Z51">
        <v>362.81</v>
      </c>
      <c r="AA51" t="s">
        <v>13213</v>
      </c>
      <c r="AB51">
        <v>292.67</v>
      </c>
      <c r="AC51" t="s">
        <v>13213</v>
      </c>
      <c r="AD51">
        <v>335.33</v>
      </c>
      <c r="AE51" t="s">
        <v>13214</v>
      </c>
      <c r="AF51">
        <v>273.77999999999997</v>
      </c>
      <c r="AG51" t="s">
        <v>13213</v>
      </c>
      <c r="AH51">
        <v>226.92</v>
      </c>
      <c r="AI51" t="s">
        <v>13215</v>
      </c>
      <c r="AJ51">
        <v>439</v>
      </c>
      <c r="AK51" t="s">
        <v>13213</v>
      </c>
    </row>
    <row r="52" spans="1:37" x14ac:dyDescent="0.25">
      <c r="A52" t="s">
        <v>266</v>
      </c>
      <c r="B52" t="s">
        <v>13205</v>
      </c>
      <c r="C52" t="b">
        <v>1</v>
      </c>
      <c r="D52" t="b">
        <v>1</v>
      </c>
      <c r="E52">
        <v>1</v>
      </c>
      <c r="F52">
        <v>1</v>
      </c>
      <c r="G52">
        <v>1</v>
      </c>
      <c r="H52" t="s">
        <v>13206</v>
      </c>
      <c r="I52">
        <v>1</v>
      </c>
      <c r="J52">
        <v>38.11</v>
      </c>
      <c r="K52">
        <v>6.89</v>
      </c>
      <c r="L52" t="s">
        <v>13281</v>
      </c>
      <c r="M52" t="s">
        <v>13207</v>
      </c>
      <c r="N52" t="s">
        <v>13205</v>
      </c>
      <c r="O52" t="s">
        <v>874</v>
      </c>
      <c r="P52" t="s">
        <v>129</v>
      </c>
      <c r="Q52" t="s">
        <v>129</v>
      </c>
      <c r="R52" t="s">
        <v>129</v>
      </c>
      <c r="S52" t="s">
        <v>129</v>
      </c>
      <c r="T52" t="s">
        <v>300</v>
      </c>
      <c r="U52">
        <v>0</v>
      </c>
      <c r="V52" t="b">
        <v>1</v>
      </c>
      <c r="W52" t="b">
        <v>0</v>
      </c>
      <c r="X52" t="b">
        <v>0</v>
      </c>
      <c r="Y52" t="s">
        <v>13212</v>
      </c>
      <c r="Z52">
        <v>362.81</v>
      </c>
      <c r="AA52" t="s">
        <v>13213</v>
      </c>
      <c r="AB52">
        <v>292.67</v>
      </c>
      <c r="AC52" t="s">
        <v>13213</v>
      </c>
      <c r="AD52">
        <v>335.33</v>
      </c>
      <c r="AE52" t="s">
        <v>13214</v>
      </c>
      <c r="AF52">
        <v>273.77999999999997</v>
      </c>
      <c r="AG52" t="s">
        <v>13213</v>
      </c>
      <c r="AH52">
        <v>226.92</v>
      </c>
      <c r="AI52" t="s">
        <v>13215</v>
      </c>
      <c r="AJ52">
        <v>439</v>
      </c>
      <c r="AK52" t="s">
        <v>13213</v>
      </c>
    </row>
    <row r="53" spans="1:37" x14ac:dyDescent="0.25">
      <c r="A53" t="s">
        <v>1507</v>
      </c>
      <c r="B53" t="s">
        <v>13205</v>
      </c>
      <c r="C53" t="b">
        <v>0</v>
      </c>
      <c r="D53" t="b">
        <v>0</v>
      </c>
      <c r="E53">
        <v>1</v>
      </c>
      <c r="F53">
        <v>1</v>
      </c>
      <c r="G53">
        <v>1</v>
      </c>
      <c r="H53" t="s">
        <v>13206</v>
      </c>
      <c r="I53">
        <v>1</v>
      </c>
      <c r="J53">
        <v>0.01</v>
      </c>
      <c r="K53">
        <v>0</v>
      </c>
      <c r="L53" t="s">
        <v>13205</v>
      </c>
      <c r="M53" t="s">
        <v>833</v>
      </c>
      <c r="N53" t="s">
        <v>13205</v>
      </c>
      <c r="O53" t="s">
        <v>874</v>
      </c>
      <c r="P53" t="s">
        <v>1508</v>
      </c>
      <c r="Q53" t="s">
        <v>1508</v>
      </c>
      <c r="R53" t="s">
        <v>1508</v>
      </c>
      <c r="S53" t="s">
        <v>1508</v>
      </c>
      <c r="T53" t="s">
        <v>1506</v>
      </c>
      <c r="U53">
        <v>0</v>
      </c>
      <c r="V53" t="b">
        <v>1</v>
      </c>
      <c r="W53" t="b">
        <v>1</v>
      </c>
      <c r="X53" t="b">
        <v>0</v>
      </c>
      <c r="Y53" t="s">
        <v>13212</v>
      </c>
    </row>
    <row r="54" spans="1:37" x14ac:dyDescent="0.25">
      <c r="A54" t="s">
        <v>1510</v>
      </c>
      <c r="B54" t="s">
        <v>13205</v>
      </c>
      <c r="C54" t="b">
        <v>0</v>
      </c>
      <c r="D54" t="b">
        <v>0</v>
      </c>
      <c r="E54">
        <v>1</v>
      </c>
      <c r="F54">
        <v>1</v>
      </c>
      <c r="G54">
        <v>1</v>
      </c>
      <c r="H54" t="s">
        <v>13206</v>
      </c>
      <c r="I54">
        <v>1</v>
      </c>
      <c r="J54">
        <v>0.01</v>
      </c>
      <c r="K54">
        <v>0</v>
      </c>
      <c r="L54" t="s">
        <v>13205</v>
      </c>
      <c r="M54" t="s">
        <v>833</v>
      </c>
      <c r="N54" t="s">
        <v>13205</v>
      </c>
      <c r="O54" t="s">
        <v>874</v>
      </c>
      <c r="P54" t="s">
        <v>1511</v>
      </c>
      <c r="Q54" t="s">
        <v>1511</v>
      </c>
      <c r="R54" t="s">
        <v>1511</v>
      </c>
      <c r="S54" t="s">
        <v>1511</v>
      </c>
      <c r="T54" t="s">
        <v>1509</v>
      </c>
      <c r="U54">
        <v>0</v>
      </c>
      <c r="V54" t="b">
        <v>1</v>
      </c>
      <c r="W54" t="b">
        <v>1</v>
      </c>
      <c r="X54" t="b">
        <v>0</v>
      </c>
      <c r="Y54" t="s">
        <v>13212</v>
      </c>
    </row>
    <row r="55" spans="1:37" x14ac:dyDescent="0.25">
      <c r="A55" t="s">
        <v>1513</v>
      </c>
      <c r="B55" t="s">
        <v>13205</v>
      </c>
      <c r="C55" t="b">
        <v>0</v>
      </c>
      <c r="D55" t="b">
        <v>0</v>
      </c>
      <c r="E55">
        <v>1</v>
      </c>
      <c r="F55">
        <v>1</v>
      </c>
      <c r="G55">
        <v>1</v>
      </c>
      <c r="H55" t="s">
        <v>13206</v>
      </c>
      <c r="I55">
        <v>1</v>
      </c>
      <c r="J55">
        <v>0.01</v>
      </c>
      <c r="K55">
        <v>0</v>
      </c>
      <c r="L55" t="s">
        <v>13205</v>
      </c>
      <c r="M55" t="s">
        <v>833</v>
      </c>
      <c r="N55" t="s">
        <v>13205</v>
      </c>
      <c r="O55" t="s">
        <v>874</v>
      </c>
      <c r="P55" t="s">
        <v>1514</v>
      </c>
      <c r="Q55" t="s">
        <v>1514</v>
      </c>
      <c r="R55" t="s">
        <v>1514</v>
      </c>
      <c r="S55" t="s">
        <v>1514</v>
      </c>
      <c r="T55" t="s">
        <v>1512</v>
      </c>
      <c r="U55">
        <v>0</v>
      </c>
      <c r="V55" t="b">
        <v>1</v>
      </c>
      <c r="W55" t="b">
        <v>1</v>
      </c>
      <c r="X55" t="b">
        <v>0</v>
      </c>
      <c r="Y55" t="s">
        <v>13212</v>
      </c>
    </row>
    <row r="56" spans="1:37" x14ac:dyDescent="0.25">
      <c r="A56" t="s">
        <v>1516</v>
      </c>
      <c r="B56" t="s">
        <v>13205</v>
      </c>
      <c r="C56" t="b">
        <v>0</v>
      </c>
      <c r="D56" t="b">
        <v>0</v>
      </c>
      <c r="E56">
        <v>1</v>
      </c>
      <c r="F56">
        <v>1</v>
      </c>
      <c r="G56">
        <v>1</v>
      </c>
      <c r="H56" t="s">
        <v>13206</v>
      </c>
      <c r="I56">
        <v>1</v>
      </c>
      <c r="J56">
        <v>0.01</v>
      </c>
      <c r="K56">
        <v>0</v>
      </c>
      <c r="L56" t="s">
        <v>13205</v>
      </c>
      <c r="M56" t="s">
        <v>833</v>
      </c>
      <c r="N56" t="s">
        <v>13205</v>
      </c>
      <c r="O56" t="s">
        <v>874</v>
      </c>
      <c r="P56" t="s">
        <v>1517</v>
      </c>
      <c r="Q56" t="s">
        <v>1517</v>
      </c>
      <c r="R56" t="s">
        <v>1517</v>
      </c>
      <c r="S56" t="s">
        <v>1517</v>
      </c>
      <c r="T56" t="s">
        <v>1515</v>
      </c>
      <c r="U56">
        <v>0</v>
      </c>
      <c r="V56" t="b">
        <v>1</v>
      </c>
      <c r="W56" t="b">
        <v>1</v>
      </c>
      <c r="X56" t="b">
        <v>0</v>
      </c>
      <c r="Y56" t="s">
        <v>13212</v>
      </c>
    </row>
    <row r="57" spans="1:37" x14ac:dyDescent="0.25">
      <c r="A57" t="s">
        <v>1519</v>
      </c>
      <c r="B57" t="s">
        <v>13205</v>
      </c>
      <c r="C57" t="b">
        <v>0</v>
      </c>
      <c r="D57" t="b">
        <v>0</v>
      </c>
      <c r="E57">
        <v>1</v>
      </c>
      <c r="F57">
        <v>1</v>
      </c>
      <c r="G57">
        <v>1</v>
      </c>
      <c r="H57" t="s">
        <v>13206</v>
      </c>
      <c r="I57">
        <v>1</v>
      </c>
      <c r="J57">
        <v>0.01</v>
      </c>
      <c r="K57">
        <v>0</v>
      </c>
      <c r="L57" t="s">
        <v>13205</v>
      </c>
      <c r="M57" t="s">
        <v>833</v>
      </c>
      <c r="N57" t="s">
        <v>13205</v>
      </c>
      <c r="O57" t="s">
        <v>874</v>
      </c>
      <c r="P57" t="s">
        <v>1520</v>
      </c>
      <c r="Q57" t="s">
        <v>1520</v>
      </c>
      <c r="R57" t="s">
        <v>1520</v>
      </c>
      <c r="S57" t="s">
        <v>1520</v>
      </c>
      <c r="T57" t="s">
        <v>1518</v>
      </c>
      <c r="U57">
        <v>0</v>
      </c>
      <c r="V57" t="b">
        <v>1</v>
      </c>
      <c r="W57" t="b">
        <v>1</v>
      </c>
      <c r="X57" t="b">
        <v>0</v>
      </c>
      <c r="Y57" t="s">
        <v>13212</v>
      </c>
    </row>
    <row r="58" spans="1:37" x14ac:dyDescent="0.25">
      <c r="A58" t="s">
        <v>1522</v>
      </c>
      <c r="B58" t="s">
        <v>13205</v>
      </c>
      <c r="C58" t="b">
        <v>0</v>
      </c>
      <c r="D58" t="b">
        <v>0</v>
      </c>
      <c r="E58">
        <v>1</v>
      </c>
      <c r="F58">
        <v>1</v>
      </c>
      <c r="G58">
        <v>1</v>
      </c>
      <c r="H58" t="s">
        <v>13206</v>
      </c>
      <c r="I58">
        <v>1</v>
      </c>
      <c r="J58">
        <v>0.01</v>
      </c>
      <c r="K58">
        <v>0</v>
      </c>
      <c r="L58" t="s">
        <v>13205</v>
      </c>
      <c r="M58" t="s">
        <v>833</v>
      </c>
      <c r="N58" t="s">
        <v>13205</v>
      </c>
      <c r="O58" t="s">
        <v>874</v>
      </c>
      <c r="P58" t="s">
        <v>1523</v>
      </c>
      <c r="Q58" t="s">
        <v>1523</v>
      </c>
      <c r="R58" t="s">
        <v>1523</v>
      </c>
      <c r="S58" t="s">
        <v>1523</v>
      </c>
      <c r="T58" t="s">
        <v>1521</v>
      </c>
      <c r="U58">
        <v>0</v>
      </c>
      <c r="V58" t="b">
        <v>1</v>
      </c>
      <c r="W58" t="b">
        <v>1</v>
      </c>
      <c r="X58" t="b">
        <v>0</v>
      </c>
      <c r="Y58" t="s">
        <v>13212</v>
      </c>
    </row>
    <row r="59" spans="1:37" x14ac:dyDescent="0.25">
      <c r="A59" t="s">
        <v>1525</v>
      </c>
      <c r="B59" t="s">
        <v>13205</v>
      </c>
      <c r="C59" t="b">
        <v>0</v>
      </c>
      <c r="D59" t="b">
        <v>0</v>
      </c>
      <c r="E59">
        <v>1</v>
      </c>
      <c r="F59">
        <v>1</v>
      </c>
      <c r="G59">
        <v>1</v>
      </c>
      <c r="H59" t="s">
        <v>13206</v>
      </c>
      <c r="I59">
        <v>1</v>
      </c>
      <c r="J59">
        <v>0.01</v>
      </c>
      <c r="K59">
        <v>0</v>
      </c>
      <c r="L59" t="s">
        <v>13205</v>
      </c>
      <c r="M59" t="s">
        <v>833</v>
      </c>
      <c r="N59" t="s">
        <v>13205</v>
      </c>
      <c r="O59" t="s">
        <v>874</v>
      </c>
      <c r="P59" t="s">
        <v>1526</v>
      </c>
      <c r="Q59" t="s">
        <v>1526</v>
      </c>
      <c r="R59" t="s">
        <v>1526</v>
      </c>
      <c r="S59" t="s">
        <v>1526</v>
      </c>
      <c r="T59" t="s">
        <v>1524</v>
      </c>
      <c r="U59">
        <v>0</v>
      </c>
      <c r="V59" t="b">
        <v>1</v>
      </c>
      <c r="W59" t="b">
        <v>1</v>
      </c>
      <c r="X59" t="b">
        <v>0</v>
      </c>
      <c r="Y59" t="s">
        <v>13212</v>
      </c>
    </row>
    <row r="60" spans="1:37" x14ac:dyDescent="0.25">
      <c r="A60" t="s">
        <v>1528</v>
      </c>
      <c r="B60" t="s">
        <v>13205</v>
      </c>
      <c r="C60" t="b">
        <v>0</v>
      </c>
      <c r="D60" t="b">
        <v>0</v>
      </c>
      <c r="E60">
        <v>1</v>
      </c>
      <c r="F60">
        <v>1</v>
      </c>
      <c r="G60">
        <v>1</v>
      </c>
      <c r="H60" t="s">
        <v>13206</v>
      </c>
      <c r="I60">
        <v>1</v>
      </c>
      <c r="J60">
        <v>0.01</v>
      </c>
      <c r="K60">
        <v>0</v>
      </c>
      <c r="L60" t="s">
        <v>13205</v>
      </c>
      <c r="M60" t="s">
        <v>833</v>
      </c>
      <c r="N60" t="s">
        <v>13205</v>
      </c>
      <c r="O60" t="s">
        <v>874</v>
      </c>
      <c r="P60" t="s">
        <v>1529</v>
      </c>
      <c r="Q60" t="s">
        <v>1529</v>
      </c>
      <c r="R60" t="s">
        <v>1529</v>
      </c>
      <c r="S60" t="s">
        <v>1529</v>
      </c>
      <c r="T60" t="s">
        <v>1527</v>
      </c>
      <c r="U60">
        <v>0</v>
      </c>
      <c r="V60" t="b">
        <v>1</v>
      </c>
      <c r="W60" t="b">
        <v>1</v>
      </c>
      <c r="X60" t="b">
        <v>0</v>
      </c>
      <c r="Y60" t="s">
        <v>13212</v>
      </c>
    </row>
    <row r="61" spans="1:37" x14ac:dyDescent="0.25">
      <c r="A61" t="s">
        <v>1531</v>
      </c>
      <c r="B61" t="s">
        <v>13205</v>
      </c>
      <c r="C61" t="b">
        <v>0</v>
      </c>
      <c r="D61" t="b">
        <v>0</v>
      </c>
      <c r="E61">
        <v>1</v>
      </c>
      <c r="F61">
        <v>1</v>
      </c>
      <c r="G61">
        <v>1</v>
      </c>
      <c r="H61" t="s">
        <v>13206</v>
      </c>
      <c r="I61">
        <v>1</v>
      </c>
      <c r="J61">
        <v>0.01</v>
      </c>
      <c r="K61">
        <v>0</v>
      </c>
      <c r="L61" t="s">
        <v>13205</v>
      </c>
      <c r="M61" t="s">
        <v>833</v>
      </c>
      <c r="N61" t="s">
        <v>13205</v>
      </c>
      <c r="O61" t="s">
        <v>874</v>
      </c>
      <c r="P61" t="s">
        <v>1532</v>
      </c>
      <c r="Q61" t="s">
        <v>1532</v>
      </c>
      <c r="R61" t="s">
        <v>1532</v>
      </c>
      <c r="S61" t="s">
        <v>1532</v>
      </c>
      <c r="T61" t="s">
        <v>1530</v>
      </c>
      <c r="U61">
        <v>0</v>
      </c>
      <c r="V61" t="b">
        <v>1</v>
      </c>
      <c r="W61" t="b">
        <v>1</v>
      </c>
      <c r="X61" t="b">
        <v>0</v>
      </c>
      <c r="Y61" t="s">
        <v>13212</v>
      </c>
    </row>
    <row r="62" spans="1:37" x14ac:dyDescent="0.25">
      <c r="A62" t="s">
        <v>1534</v>
      </c>
      <c r="B62" t="s">
        <v>13205</v>
      </c>
      <c r="C62" t="b">
        <v>0</v>
      </c>
      <c r="D62" t="b">
        <v>0</v>
      </c>
      <c r="E62">
        <v>1</v>
      </c>
      <c r="F62">
        <v>1</v>
      </c>
      <c r="G62">
        <v>1</v>
      </c>
      <c r="H62" t="s">
        <v>13206</v>
      </c>
      <c r="I62">
        <v>1</v>
      </c>
      <c r="J62">
        <v>0.01</v>
      </c>
      <c r="K62">
        <v>0</v>
      </c>
      <c r="L62" t="s">
        <v>13205</v>
      </c>
      <c r="M62" t="s">
        <v>833</v>
      </c>
      <c r="N62" t="s">
        <v>13205</v>
      </c>
      <c r="O62" t="s">
        <v>874</v>
      </c>
      <c r="P62" t="s">
        <v>1535</v>
      </c>
      <c r="Q62" t="s">
        <v>1535</v>
      </c>
      <c r="R62" t="s">
        <v>1535</v>
      </c>
      <c r="S62" t="s">
        <v>1535</v>
      </c>
      <c r="T62" t="s">
        <v>1533</v>
      </c>
      <c r="U62">
        <v>0</v>
      </c>
      <c r="V62" t="b">
        <v>1</v>
      </c>
      <c r="W62" t="b">
        <v>1</v>
      </c>
      <c r="X62" t="b">
        <v>0</v>
      </c>
      <c r="Y62" t="s">
        <v>13212</v>
      </c>
    </row>
    <row r="63" spans="1:37" x14ac:dyDescent="0.25">
      <c r="A63" t="s">
        <v>1537</v>
      </c>
      <c r="B63" t="s">
        <v>13205</v>
      </c>
      <c r="C63" t="b">
        <v>0</v>
      </c>
      <c r="D63" t="b">
        <v>0</v>
      </c>
      <c r="E63">
        <v>1</v>
      </c>
      <c r="F63">
        <v>1</v>
      </c>
      <c r="G63">
        <v>1</v>
      </c>
      <c r="H63" t="s">
        <v>13206</v>
      </c>
      <c r="I63">
        <v>1</v>
      </c>
      <c r="J63">
        <v>0.01</v>
      </c>
      <c r="K63">
        <v>0</v>
      </c>
      <c r="L63" t="s">
        <v>13205</v>
      </c>
      <c r="M63" t="s">
        <v>833</v>
      </c>
      <c r="N63" t="s">
        <v>13205</v>
      </c>
      <c r="O63" t="s">
        <v>874</v>
      </c>
      <c r="P63" t="s">
        <v>1538</v>
      </c>
      <c r="Q63" t="s">
        <v>1538</v>
      </c>
      <c r="R63" t="s">
        <v>1538</v>
      </c>
      <c r="S63" t="s">
        <v>1538</v>
      </c>
      <c r="T63" t="s">
        <v>1536</v>
      </c>
      <c r="U63">
        <v>0</v>
      </c>
      <c r="V63" t="b">
        <v>1</v>
      </c>
      <c r="W63" t="b">
        <v>1</v>
      </c>
      <c r="X63" t="b">
        <v>0</v>
      </c>
      <c r="Y63" t="s">
        <v>13212</v>
      </c>
    </row>
    <row r="64" spans="1:37" x14ac:dyDescent="0.25">
      <c r="A64" t="s">
        <v>1540</v>
      </c>
      <c r="B64" t="s">
        <v>13205</v>
      </c>
      <c r="C64" t="b">
        <v>0</v>
      </c>
      <c r="D64" t="b">
        <v>0</v>
      </c>
      <c r="E64">
        <v>1</v>
      </c>
      <c r="F64">
        <v>1</v>
      </c>
      <c r="G64">
        <v>1</v>
      </c>
      <c r="H64" t="s">
        <v>13206</v>
      </c>
      <c r="I64">
        <v>1</v>
      </c>
      <c r="J64">
        <v>0.01</v>
      </c>
      <c r="K64">
        <v>0</v>
      </c>
      <c r="L64" t="s">
        <v>13205</v>
      </c>
      <c r="M64" t="s">
        <v>833</v>
      </c>
      <c r="N64" t="s">
        <v>13205</v>
      </c>
      <c r="O64" t="s">
        <v>874</v>
      </c>
      <c r="P64" t="s">
        <v>1541</v>
      </c>
      <c r="Q64" t="s">
        <v>1541</v>
      </c>
      <c r="R64" t="s">
        <v>1541</v>
      </c>
      <c r="S64" t="s">
        <v>1541</v>
      </c>
      <c r="T64" t="s">
        <v>1539</v>
      </c>
      <c r="U64">
        <v>0</v>
      </c>
      <c r="V64" t="b">
        <v>1</v>
      </c>
      <c r="W64" t="b">
        <v>1</v>
      </c>
      <c r="X64" t="b">
        <v>0</v>
      </c>
      <c r="Y64" t="s">
        <v>13212</v>
      </c>
    </row>
    <row r="65" spans="1:37" x14ac:dyDescent="0.25">
      <c r="A65" t="s">
        <v>1543</v>
      </c>
      <c r="B65" t="s">
        <v>13205</v>
      </c>
      <c r="C65" t="b">
        <v>0</v>
      </c>
      <c r="D65" t="b">
        <v>0</v>
      </c>
      <c r="E65">
        <v>1</v>
      </c>
      <c r="F65">
        <v>1</v>
      </c>
      <c r="G65">
        <v>1</v>
      </c>
      <c r="H65" t="s">
        <v>13206</v>
      </c>
      <c r="I65">
        <v>1</v>
      </c>
      <c r="J65">
        <v>0.01</v>
      </c>
      <c r="K65">
        <v>0</v>
      </c>
      <c r="L65" t="s">
        <v>13205</v>
      </c>
      <c r="M65" t="s">
        <v>833</v>
      </c>
      <c r="N65" t="s">
        <v>13205</v>
      </c>
      <c r="O65" t="s">
        <v>874</v>
      </c>
      <c r="P65" t="s">
        <v>1544</v>
      </c>
      <c r="Q65" t="s">
        <v>1544</v>
      </c>
      <c r="R65" t="s">
        <v>1544</v>
      </c>
      <c r="S65" t="s">
        <v>1544</v>
      </c>
      <c r="T65" t="s">
        <v>1542</v>
      </c>
      <c r="U65">
        <v>0</v>
      </c>
      <c r="V65" t="b">
        <v>1</v>
      </c>
      <c r="W65" t="b">
        <v>1</v>
      </c>
      <c r="X65" t="b">
        <v>0</v>
      </c>
      <c r="Y65" t="s">
        <v>13212</v>
      </c>
    </row>
    <row r="66" spans="1:37" x14ac:dyDescent="0.25">
      <c r="A66" t="s">
        <v>1546</v>
      </c>
      <c r="B66" t="s">
        <v>13205</v>
      </c>
      <c r="C66" t="b">
        <v>0</v>
      </c>
      <c r="D66" t="b">
        <v>0</v>
      </c>
      <c r="E66">
        <v>1</v>
      </c>
      <c r="F66">
        <v>1</v>
      </c>
      <c r="G66">
        <v>1</v>
      </c>
      <c r="H66" t="s">
        <v>13206</v>
      </c>
      <c r="I66">
        <v>1</v>
      </c>
      <c r="J66">
        <v>0.01</v>
      </c>
      <c r="K66">
        <v>0</v>
      </c>
      <c r="L66" t="s">
        <v>13205</v>
      </c>
      <c r="M66" t="s">
        <v>833</v>
      </c>
      <c r="N66" t="s">
        <v>13205</v>
      </c>
      <c r="O66" t="s">
        <v>874</v>
      </c>
      <c r="P66" t="s">
        <v>1547</v>
      </c>
      <c r="Q66" t="s">
        <v>1547</v>
      </c>
      <c r="R66" t="s">
        <v>1547</v>
      </c>
      <c r="S66" t="s">
        <v>1547</v>
      </c>
      <c r="T66" t="s">
        <v>1545</v>
      </c>
      <c r="U66">
        <v>0</v>
      </c>
      <c r="V66" t="b">
        <v>1</v>
      </c>
      <c r="W66" t="b">
        <v>1</v>
      </c>
      <c r="X66" t="b">
        <v>0</v>
      </c>
      <c r="Y66" t="s">
        <v>13212</v>
      </c>
    </row>
    <row r="67" spans="1:37" x14ac:dyDescent="0.25">
      <c r="A67" t="s">
        <v>1549</v>
      </c>
      <c r="B67" t="s">
        <v>1552</v>
      </c>
      <c r="C67" t="b">
        <v>0</v>
      </c>
      <c r="D67" t="b">
        <v>0</v>
      </c>
      <c r="E67">
        <v>100</v>
      </c>
      <c r="F67">
        <v>40</v>
      </c>
      <c r="G67">
        <v>58.5</v>
      </c>
      <c r="H67" t="s">
        <v>13206</v>
      </c>
      <c r="I67">
        <v>10</v>
      </c>
      <c r="J67">
        <v>27.65</v>
      </c>
      <c r="K67">
        <v>4.3499999999999996</v>
      </c>
      <c r="L67" t="s">
        <v>859</v>
      </c>
      <c r="M67" t="s">
        <v>13308</v>
      </c>
      <c r="N67" t="s">
        <v>13208</v>
      </c>
      <c r="O67" t="s">
        <v>874</v>
      </c>
      <c r="P67" t="s">
        <v>13309</v>
      </c>
      <c r="Q67" t="s">
        <v>13310</v>
      </c>
      <c r="R67" t="s">
        <v>1553</v>
      </c>
      <c r="S67" t="s">
        <v>1553</v>
      </c>
      <c r="T67" t="s">
        <v>1548</v>
      </c>
      <c r="U67">
        <v>296</v>
      </c>
      <c r="V67" t="b">
        <v>1</v>
      </c>
      <c r="W67" t="b">
        <v>0</v>
      </c>
      <c r="X67" t="b">
        <v>0</v>
      </c>
      <c r="Y67" t="s">
        <v>13212</v>
      </c>
      <c r="Z67">
        <v>227.27</v>
      </c>
      <c r="AA67" t="s">
        <v>13213</v>
      </c>
      <c r="AB67">
        <v>183.33</v>
      </c>
      <c r="AC67" t="s">
        <v>13213</v>
      </c>
      <c r="AD67">
        <v>220</v>
      </c>
      <c r="AE67" t="s">
        <v>13214</v>
      </c>
      <c r="AF67">
        <v>192.5</v>
      </c>
      <c r="AG67" t="s">
        <v>13213</v>
      </c>
      <c r="AH67">
        <v>152.16</v>
      </c>
      <c r="AI67" t="s">
        <v>13215</v>
      </c>
      <c r="AJ67">
        <v>275</v>
      </c>
      <c r="AK67" t="s">
        <v>13213</v>
      </c>
    </row>
    <row r="68" spans="1:37" x14ac:dyDescent="0.25">
      <c r="A68" t="s">
        <v>1552</v>
      </c>
      <c r="B68" t="s">
        <v>13205</v>
      </c>
      <c r="C68" t="b">
        <v>1</v>
      </c>
      <c r="D68" t="b">
        <v>1</v>
      </c>
      <c r="E68">
        <v>100</v>
      </c>
      <c r="F68">
        <v>40</v>
      </c>
      <c r="G68">
        <v>58.5</v>
      </c>
      <c r="H68" t="s">
        <v>13206</v>
      </c>
      <c r="I68">
        <v>10</v>
      </c>
      <c r="J68">
        <v>27.64</v>
      </c>
      <c r="K68">
        <v>3.86</v>
      </c>
      <c r="L68" t="s">
        <v>859</v>
      </c>
      <c r="M68" t="s">
        <v>833</v>
      </c>
      <c r="N68" t="s">
        <v>13208</v>
      </c>
      <c r="O68" t="s">
        <v>874</v>
      </c>
      <c r="P68" t="s">
        <v>13309</v>
      </c>
      <c r="Q68" t="s">
        <v>13310</v>
      </c>
      <c r="R68" t="s">
        <v>1553</v>
      </c>
      <c r="S68" t="s">
        <v>1553</v>
      </c>
      <c r="T68" t="s">
        <v>1551</v>
      </c>
      <c r="U68">
        <v>296</v>
      </c>
      <c r="V68" t="b">
        <v>0</v>
      </c>
      <c r="W68" t="b">
        <v>0</v>
      </c>
      <c r="X68" t="b">
        <v>0</v>
      </c>
      <c r="Y68" t="s">
        <v>13212</v>
      </c>
      <c r="Z68">
        <v>227.27</v>
      </c>
      <c r="AA68" t="s">
        <v>13213</v>
      </c>
      <c r="AB68">
        <v>183.33</v>
      </c>
      <c r="AC68" t="s">
        <v>13213</v>
      </c>
      <c r="AD68">
        <v>220</v>
      </c>
      <c r="AE68" t="s">
        <v>13214</v>
      </c>
      <c r="AF68">
        <v>192.5</v>
      </c>
      <c r="AG68" t="s">
        <v>13213</v>
      </c>
      <c r="AH68">
        <v>152.16</v>
      </c>
      <c r="AI68" t="s">
        <v>13215</v>
      </c>
      <c r="AJ68">
        <v>275</v>
      </c>
      <c r="AK68" t="s">
        <v>13213</v>
      </c>
    </row>
    <row r="69" spans="1:37" x14ac:dyDescent="0.25">
      <c r="A69" t="s">
        <v>1558</v>
      </c>
      <c r="B69" t="s">
        <v>1561</v>
      </c>
      <c r="C69" t="b">
        <v>1</v>
      </c>
      <c r="D69" t="b">
        <v>1</v>
      </c>
      <c r="E69">
        <v>100</v>
      </c>
      <c r="F69">
        <v>40</v>
      </c>
      <c r="G69">
        <v>60</v>
      </c>
      <c r="H69" t="s">
        <v>13206</v>
      </c>
      <c r="I69">
        <v>10</v>
      </c>
      <c r="J69">
        <v>28.14</v>
      </c>
      <c r="K69">
        <v>4.16</v>
      </c>
      <c r="L69" t="s">
        <v>859</v>
      </c>
      <c r="M69" t="s">
        <v>13308</v>
      </c>
      <c r="N69" t="s">
        <v>13208</v>
      </c>
      <c r="O69" t="s">
        <v>874</v>
      </c>
      <c r="P69" t="s">
        <v>13322</v>
      </c>
      <c r="Q69" t="s">
        <v>13323</v>
      </c>
      <c r="R69" t="s">
        <v>1562</v>
      </c>
      <c r="S69" t="s">
        <v>1562</v>
      </c>
      <c r="T69" t="s">
        <v>1557</v>
      </c>
      <c r="U69">
        <v>296</v>
      </c>
      <c r="V69" t="b">
        <v>1</v>
      </c>
      <c r="W69" t="b">
        <v>0</v>
      </c>
      <c r="X69" t="b">
        <v>0</v>
      </c>
      <c r="Y69" t="s">
        <v>13212</v>
      </c>
      <c r="Z69">
        <v>227.27</v>
      </c>
      <c r="AA69" t="s">
        <v>13213</v>
      </c>
      <c r="AB69">
        <v>183.33</v>
      </c>
      <c r="AC69" t="s">
        <v>13213</v>
      </c>
      <c r="AD69">
        <v>220</v>
      </c>
      <c r="AE69" t="s">
        <v>13214</v>
      </c>
      <c r="AF69">
        <v>192.5</v>
      </c>
      <c r="AG69" t="s">
        <v>13213</v>
      </c>
      <c r="AH69">
        <v>152.16</v>
      </c>
      <c r="AI69" t="s">
        <v>13215</v>
      </c>
      <c r="AJ69">
        <v>275</v>
      </c>
      <c r="AK69" t="s">
        <v>13213</v>
      </c>
    </row>
    <row r="70" spans="1:37" x14ac:dyDescent="0.25">
      <c r="A70" t="s">
        <v>1561</v>
      </c>
      <c r="B70" t="s">
        <v>13205</v>
      </c>
      <c r="C70" t="b">
        <v>0</v>
      </c>
      <c r="D70" t="b">
        <v>0</v>
      </c>
      <c r="E70">
        <v>100</v>
      </c>
      <c r="F70">
        <v>40</v>
      </c>
      <c r="G70">
        <v>58.5</v>
      </c>
      <c r="H70" t="s">
        <v>13206</v>
      </c>
      <c r="I70">
        <v>10</v>
      </c>
      <c r="J70">
        <v>0.01</v>
      </c>
      <c r="K70">
        <v>0</v>
      </c>
      <c r="L70" t="s">
        <v>859</v>
      </c>
      <c r="M70" t="s">
        <v>833</v>
      </c>
      <c r="N70" t="s">
        <v>13208</v>
      </c>
      <c r="O70" t="s">
        <v>874</v>
      </c>
      <c r="P70" t="s">
        <v>13322</v>
      </c>
      <c r="Q70" t="s">
        <v>13323</v>
      </c>
      <c r="R70" t="s">
        <v>1562</v>
      </c>
      <c r="S70" t="s">
        <v>1562</v>
      </c>
      <c r="T70" t="s">
        <v>1560</v>
      </c>
      <c r="U70">
        <v>296</v>
      </c>
      <c r="V70" t="b">
        <v>1</v>
      </c>
      <c r="W70" t="b">
        <v>1</v>
      </c>
      <c r="X70" t="b">
        <v>0</v>
      </c>
      <c r="Y70" t="s">
        <v>13212</v>
      </c>
    </row>
    <row r="71" spans="1:37" x14ac:dyDescent="0.25">
      <c r="A71" t="s">
        <v>1564</v>
      </c>
      <c r="B71" t="s">
        <v>13205</v>
      </c>
      <c r="C71" t="b">
        <v>1</v>
      </c>
      <c r="D71" t="b">
        <v>1</v>
      </c>
      <c r="E71">
        <v>58</v>
      </c>
      <c r="F71">
        <v>40</v>
      </c>
      <c r="G71">
        <v>100</v>
      </c>
      <c r="H71" t="s">
        <v>13206</v>
      </c>
      <c r="I71">
        <v>10</v>
      </c>
      <c r="J71">
        <v>26.6</v>
      </c>
      <c r="K71">
        <v>5.2</v>
      </c>
      <c r="L71" t="s">
        <v>859</v>
      </c>
      <c r="M71" t="s">
        <v>833</v>
      </c>
      <c r="N71" t="s">
        <v>13208</v>
      </c>
      <c r="O71" t="s">
        <v>874</v>
      </c>
      <c r="P71" t="s">
        <v>13754</v>
      </c>
      <c r="Q71" t="s">
        <v>13754</v>
      </c>
      <c r="R71" t="s">
        <v>13754</v>
      </c>
      <c r="S71" t="s">
        <v>13754</v>
      </c>
      <c r="T71" t="s">
        <v>1563</v>
      </c>
      <c r="U71">
        <v>175</v>
      </c>
      <c r="V71" t="b">
        <v>0</v>
      </c>
      <c r="W71" t="b">
        <v>0</v>
      </c>
      <c r="X71" t="b">
        <v>0</v>
      </c>
      <c r="Y71" t="s">
        <v>13212</v>
      </c>
      <c r="Z71">
        <v>326.45</v>
      </c>
      <c r="AA71" t="s">
        <v>13213</v>
      </c>
      <c r="AB71">
        <v>263.33999999999997</v>
      </c>
      <c r="AC71" t="s">
        <v>13213</v>
      </c>
      <c r="AD71">
        <v>301.01</v>
      </c>
      <c r="AE71" t="s">
        <v>13214</v>
      </c>
      <c r="AF71">
        <v>263.33999999999997</v>
      </c>
      <c r="AG71" t="s">
        <v>13213</v>
      </c>
      <c r="AH71">
        <v>229.43</v>
      </c>
      <c r="AI71" t="s">
        <v>13215</v>
      </c>
      <c r="AJ71">
        <v>395.01</v>
      </c>
      <c r="AK71" t="s">
        <v>13213</v>
      </c>
    </row>
    <row r="72" spans="1:37" x14ac:dyDescent="0.25">
      <c r="A72" t="s">
        <v>1570</v>
      </c>
      <c r="B72" t="s">
        <v>13205</v>
      </c>
      <c r="C72" t="b">
        <v>1</v>
      </c>
      <c r="D72" t="b">
        <v>1</v>
      </c>
      <c r="E72">
        <v>75</v>
      </c>
      <c r="F72">
        <v>75</v>
      </c>
      <c r="G72">
        <v>29.5</v>
      </c>
      <c r="H72" t="s">
        <v>13206</v>
      </c>
      <c r="I72">
        <v>10</v>
      </c>
      <c r="J72">
        <v>17.8</v>
      </c>
      <c r="K72">
        <v>3.1</v>
      </c>
      <c r="L72" t="s">
        <v>859</v>
      </c>
      <c r="M72" t="s">
        <v>833</v>
      </c>
      <c r="N72" t="s">
        <v>13208</v>
      </c>
      <c r="O72" t="s">
        <v>874</v>
      </c>
      <c r="P72" t="s">
        <v>13811</v>
      </c>
      <c r="Q72" t="s">
        <v>13811</v>
      </c>
      <c r="R72" t="s">
        <v>13811</v>
      </c>
      <c r="S72" t="s">
        <v>13811</v>
      </c>
      <c r="T72" t="s">
        <v>1569</v>
      </c>
      <c r="U72">
        <v>175</v>
      </c>
      <c r="V72" t="b">
        <v>0</v>
      </c>
      <c r="W72" t="b">
        <v>0</v>
      </c>
      <c r="X72" t="b">
        <v>0</v>
      </c>
      <c r="Y72" t="s">
        <v>13212</v>
      </c>
      <c r="Z72">
        <v>168.48</v>
      </c>
      <c r="AA72" t="s">
        <v>13213</v>
      </c>
      <c r="AB72">
        <v>135.91</v>
      </c>
      <c r="AC72" t="s">
        <v>13213</v>
      </c>
      <c r="AD72">
        <v>155.35</v>
      </c>
      <c r="AE72" t="s">
        <v>13214</v>
      </c>
      <c r="AF72">
        <v>135.91</v>
      </c>
      <c r="AG72" t="s">
        <v>13213</v>
      </c>
      <c r="AH72">
        <v>118.41</v>
      </c>
      <c r="AI72" t="s">
        <v>13215</v>
      </c>
      <c r="AJ72">
        <v>203.86</v>
      </c>
      <c r="AK72" t="s">
        <v>13213</v>
      </c>
    </row>
    <row r="73" spans="1:37" x14ac:dyDescent="0.25">
      <c r="A73" t="s">
        <v>1585</v>
      </c>
      <c r="B73" t="s">
        <v>1588</v>
      </c>
      <c r="C73" t="b">
        <v>1</v>
      </c>
      <c r="D73" t="b">
        <v>1</v>
      </c>
      <c r="E73">
        <v>60</v>
      </c>
      <c r="F73">
        <v>40</v>
      </c>
      <c r="G73">
        <v>100</v>
      </c>
      <c r="H73" t="s">
        <v>13206</v>
      </c>
      <c r="I73">
        <v>8</v>
      </c>
      <c r="J73">
        <v>23.63</v>
      </c>
      <c r="K73">
        <v>3.77</v>
      </c>
      <c r="L73" t="s">
        <v>859</v>
      </c>
      <c r="M73" t="s">
        <v>13308</v>
      </c>
      <c r="N73" t="s">
        <v>13208</v>
      </c>
      <c r="O73" t="s">
        <v>874</v>
      </c>
      <c r="P73" t="s">
        <v>13457</v>
      </c>
      <c r="Q73" t="s">
        <v>13458</v>
      </c>
      <c r="R73" t="s">
        <v>1586</v>
      </c>
      <c r="S73" t="s">
        <v>1586</v>
      </c>
      <c r="T73" t="s">
        <v>1584</v>
      </c>
      <c r="U73">
        <v>195</v>
      </c>
      <c r="V73" t="b">
        <v>1</v>
      </c>
      <c r="W73" t="b">
        <v>0</v>
      </c>
      <c r="X73" t="b">
        <v>0</v>
      </c>
      <c r="Y73" t="s">
        <v>13212</v>
      </c>
      <c r="Z73">
        <v>198.35</v>
      </c>
      <c r="AA73" t="s">
        <v>13213</v>
      </c>
      <c r="AB73">
        <v>160</v>
      </c>
      <c r="AC73" t="s">
        <v>13213</v>
      </c>
      <c r="AD73">
        <v>192</v>
      </c>
      <c r="AE73" t="s">
        <v>13214</v>
      </c>
      <c r="AF73">
        <v>168</v>
      </c>
      <c r="AG73" t="s">
        <v>13213</v>
      </c>
      <c r="AH73">
        <v>132.80000000000001</v>
      </c>
      <c r="AI73" t="s">
        <v>13215</v>
      </c>
      <c r="AJ73">
        <v>240</v>
      </c>
      <c r="AK73" t="s">
        <v>13213</v>
      </c>
    </row>
    <row r="74" spans="1:37" x14ac:dyDescent="0.25">
      <c r="A74" t="s">
        <v>1588</v>
      </c>
      <c r="B74" t="s">
        <v>13205</v>
      </c>
      <c r="C74" t="b">
        <v>0</v>
      </c>
      <c r="D74" t="b">
        <v>0</v>
      </c>
      <c r="E74">
        <v>100</v>
      </c>
      <c r="F74">
        <v>40</v>
      </c>
      <c r="G74">
        <v>58.5</v>
      </c>
      <c r="H74" t="s">
        <v>13206</v>
      </c>
      <c r="I74">
        <v>10</v>
      </c>
      <c r="J74">
        <v>0.01</v>
      </c>
      <c r="K74">
        <v>0</v>
      </c>
      <c r="L74" t="s">
        <v>859</v>
      </c>
      <c r="M74" t="s">
        <v>833</v>
      </c>
      <c r="N74" t="s">
        <v>13208</v>
      </c>
      <c r="O74" t="s">
        <v>874</v>
      </c>
      <c r="P74" t="s">
        <v>13457</v>
      </c>
      <c r="Q74" t="s">
        <v>13458</v>
      </c>
      <c r="R74" t="s">
        <v>1586</v>
      </c>
      <c r="S74" t="s">
        <v>1586</v>
      </c>
      <c r="T74" t="s">
        <v>1587</v>
      </c>
      <c r="U74">
        <v>0</v>
      </c>
      <c r="V74" t="b">
        <v>0</v>
      </c>
      <c r="W74" t="b">
        <v>0</v>
      </c>
      <c r="X74" t="b">
        <v>0</v>
      </c>
      <c r="Y74" t="s">
        <v>13212</v>
      </c>
    </row>
    <row r="75" spans="1:37" x14ac:dyDescent="0.25">
      <c r="A75" t="s">
        <v>1590</v>
      </c>
      <c r="B75" t="s">
        <v>1593</v>
      </c>
      <c r="C75" t="b">
        <v>0</v>
      </c>
      <c r="D75" t="b">
        <v>0</v>
      </c>
      <c r="E75">
        <v>100</v>
      </c>
      <c r="F75">
        <v>40</v>
      </c>
      <c r="G75">
        <v>58.5</v>
      </c>
      <c r="H75" t="s">
        <v>13206</v>
      </c>
      <c r="I75">
        <v>10</v>
      </c>
      <c r="J75">
        <v>28.45</v>
      </c>
      <c r="K75">
        <v>4.3499999999999996</v>
      </c>
      <c r="L75" t="s">
        <v>859</v>
      </c>
      <c r="M75" t="s">
        <v>13308</v>
      </c>
      <c r="N75" t="s">
        <v>13208</v>
      </c>
      <c r="O75" t="s">
        <v>874</v>
      </c>
      <c r="P75" t="s">
        <v>13349</v>
      </c>
      <c r="Q75" t="s">
        <v>13350</v>
      </c>
      <c r="R75" t="s">
        <v>1594</v>
      </c>
      <c r="S75" t="s">
        <v>1594</v>
      </c>
      <c r="T75" t="s">
        <v>1589</v>
      </c>
      <c r="U75">
        <v>296</v>
      </c>
      <c r="V75" t="b">
        <v>1</v>
      </c>
      <c r="W75" t="b">
        <v>0</v>
      </c>
      <c r="X75" t="b">
        <v>0</v>
      </c>
      <c r="Y75" t="s">
        <v>13212</v>
      </c>
      <c r="Z75">
        <v>409.09</v>
      </c>
      <c r="AA75" t="s">
        <v>13213</v>
      </c>
      <c r="AB75">
        <v>330</v>
      </c>
      <c r="AC75" t="s">
        <v>13213</v>
      </c>
      <c r="AD75">
        <v>396</v>
      </c>
      <c r="AE75" t="s">
        <v>13214</v>
      </c>
      <c r="AF75">
        <v>346.5</v>
      </c>
      <c r="AG75" t="s">
        <v>13213</v>
      </c>
      <c r="AH75">
        <v>273.89999999999998</v>
      </c>
      <c r="AI75" t="s">
        <v>13215</v>
      </c>
      <c r="AJ75">
        <v>495</v>
      </c>
      <c r="AK75" t="s">
        <v>13213</v>
      </c>
    </row>
    <row r="76" spans="1:37" x14ac:dyDescent="0.25">
      <c r="A76" t="s">
        <v>1593</v>
      </c>
      <c r="B76" t="s">
        <v>13205</v>
      </c>
      <c r="C76" t="b">
        <v>1</v>
      </c>
      <c r="D76" t="b">
        <v>1</v>
      </c>
      <c r="E76">
        <v>100</v>
      </c>
      <c r="F76">
        <v>40</v>
      </c>
      <c r="G76">
        <v>58.5</v>
      </c>
      <c r="H76" t="s">
        <v>13206</v>
      </c>
      <c r="I76">
        <v>10</v>
      </c>
      <c r="J76">
        <v>28.45</v>
      </c>
      <c r="K76">
        <v>4.1500000000000004</v>
      </c>
      <c r="L76" t="s">
        <v>859</v>
      </c>
      <c r="M76" t="s">
        <v>833</v>
      </c>
      <c r="N76" t="s">
        <v>13208</v>
      </c>
      <c r="O76" t="s">
        <v>874</v>
      </c>
      <c r="P76" t="s">
        <v>13349</v>
      </c>
      <c r="Q76" t="s">
        <v>13350</v>
      </c>
      <c r="R76" t="s">
        <v>1594</v>
      </c>
      <c r="S76" t="s">
        <v>1594</v>
      </c>
      <c r="T76" t="s">
        <v>1592</v>
      </c>
      <c r="U76">
        <v>296</v>
      </c>
      <c r="V76" t="b">
        <v>0</v>
      </c>
      <c r="W76" t="b">
        <v>0</v>
      </c>
      <c r="X76" t="b">
        <v>0</v>
      </c>
      <c r="Y76" t="s">
        <v>13212</v>
      </c>
      <c r="Z76">
        <v>409.09</v>
      </c>
      <c r="AA76" t="s">
        <v>13213</v>
      </c>
      <c r="AB76">
        <v>330</v>
      </c>
      <c r="AC76" t="s">
        <v>13213</v>
      </c>
      <c r="AD76">
        <v>396</v>
      </c>
      <c r="AE76" t="s">
        <v>13214</v>
      </c>
      <c r="AF76">
        <v>346.5</v>
      </c>
      <c r="AG76" t="s">
        <v>13213</v>
      </c>
      <c r="AH76">
        <v>273.89999999999998</v>
      </c>
      <c r="AI76" t="s">
        <v>13215</v>
      </c>
      <c r="AJ76">
        <v>495</v>
      </c>
      <c r="AK76" t="s">
        <v>13213</v>
      </c>
    </row>
    <row r="77" spans="1:37" x14ac:dyDescent="0.25">
      <c r="A77" t="s">
        <v>1602</v>
      </c>
      <c r="B77" t="s">
        <v>13205</v>
      </c>
      <c r="C77" t="b">
        <v>1</v>
      </c>
      <c r="D77" t="b">
        <v>1</v>
      </c>
      <c r="E77">
        <v>41</v>
      </c>
      <c r="F77">
        <v>50</v>
      </c>
      <c r="G77">
        <v>58</v>
      </c>
      <c r="H77" t="s">
        <v>13206</v>
      </c>
      <c r="I77">
        <v>20</v>
      </c>
      <c r="J77">
        <v>14.9</v>
      </c>
      <c r="K77">
        <v>2</v>
      </c>
      <c r="L77" t="s">
        <v>13281</v>
      </c>
      <c r="M77" t="s">
        <v>13207</v>
      </c>
      <c r="N77" t="s">
        <v>13282</v>
      </c>
      <c r="O77" t="s">
        <v>874</v>
      </c>
      <c r="P77" t="s">
        <v>13352</v>
      </c>
      <c r="Q77" t="s">
        <v>13352</v>
      </c>
      <c r="R77" t="s">
        <v>13352</v>
      </c>
      <c r="S77" t="s">
        <v>13352</v>
      </c>
      <c r="T77" t="s">
        <v>1601</v>
      </c>
      <c r="U77">
        <v>0</v>
      </c>
      <c r="V77" t="b">
        <v>0</v>
      </c>
      <c r="W77" t="b">
        <v>0</v>
      </c>
      <c r="X77" t="b">
        <v>0</v>
      </c>
      <c r="Y77" t="s">
        <v>13286</v>
      </c>
      <c r="Z77">
        <v>180.91</v>
      </c>
      <c r="AA77" t="s">
        <v>13213</v>
      </c>
      <c r="AB77">
        <v>145.93</v>
      </c>
      <c r="AC77" t="s">
        <v>13213</v>
      </c>
      <c r="AD77">
        <v>175.12</v>
      </c>
      <c r="AE77" t="s">
        <v>13214</v>
      </c>
      <c r="AF77">
        <v>153.22999999999999</v>
      </c>
      <c r="AG77" t="s">
        <v>13213</v>
      </c>
      <c r="AH77">
        <v>103.86</v>
      </c>
      <c r="AI77" t="s">
        <v>13215</v>
      </c>
      <c r="AJ77">
        <v>218.9</v>
      </c>
      <c r="AK77" t="s">
        <v>13213</v>
      </c>
    </row>
    <row r="78" spans="1:37" x14ac:dyDescent="0.25">
      <c r="A78" t="s">
        <v>1605</v>
      </c>
      <c r="B78" t="s">
        <v>13205</v>
      </c>
      <c r="C78" t="b">
        <v>1</v>
      </c>
      <c r="D78" t="b">
        <v>1</v>
      </c>
      <c r="E78">
        <v>58</v>
      </c>
      <c r="F78">
        <v>31.5</v>
      </c>
      <c r="G78">
        <v>100</v>
      </c>
      <c r="H78" t="s">
        <v>13206</v>
      </c>
      <c r="I78">
        <v>12</v>
      </c>
      <c r="J78">
        <v>16</v>
      </c>
      <c r="K78">
        <v>4.5999999999999996</v>
      </c>
      <c r="L78" t="s">
        <v>13281</v>
      </c>
      <c r="M78" t="s">
        <v>13207</v>
      </c>
      <c r="N78" t="s">
        <v>13282</v>
      </c>
      <c r="O78" t="s">
        <v>874</v>
      </c>
      <c r="P78" t="s">
        <v>13343</v>
      </c>
      <c r="Q78" t="s">
        <v>13343</v>
      </c>
      <c r="R78" t="s">
        <v>13343</v>
      </c>
      <c r="S78" t="s">
        <v>13343</v>
      </c>
      <c r="T78" t="s">
        <v>1604</v>
      </c>
      <c r="U78">
        <v>0</v>
      </c>
      <c r="V78" t="b">
        <v>0</v>
      </c>
      <c r="W78" t="b">
        <v>0</v>
      </c>
      <c r="X78" t="b">
        <v>0</v>
      </c>
      <c r="Y78" t="s">
        <v>13286</v>
      </c>
      <c r="Z78">
        <v>226.36</v>
      </c>
      <c r="AA78" t="s">
        <v>13213</v>
      </c>
      <c r="AB78">
        <v>182.6</v>
      </c>
      <c r="AC78" t="s">
        <v>13213</v>
      </c>
      <c r="AD78">
        <v>219.12</v>
      </c>
      <c r="AE78" t="s">
        <v>13214</v>
      </c>
      <c r="AF78">
        <v>191.73</v>
      </c>
      <c r="AG78" t="s">
        <v>13213</v>
      </c>
      <c r="AH78">
        <v>135.94999999999999</v>
      </c>
      <c r="AI78" t="s">
        <v>13215</v>
      </c>
      <c r="AJ78">
        <v>273.89999999999998</v>
      </c>
      <c r="AK78" t="s">
        <v>13213</v>
      </c>
    </row>
    <row r="79" spans="1:37" x14ac:dyDescent="0.25">
      <c r="A79" t="s">
        <v>1608</v>
      </c>
      <c r="B79" t="s">
        <v>13205</v>
      </c>
      <c r="C79" t="b">
        <v>1</v>
      </c>
      <c r="D79" t="b">
        <v>1</v>
      </c>
      <c r="E79">
        <v>58</v>
      </c>
      <c r="F79">
        <v>31.5</v>
      </c>
      <c r="G79">
        <v>100</v>
      </c>
      <c r="H79" t="s">
        <v>13206</v>
      </c>
      <c r="I79">
        <v>12</v>
      </c>
      <c r="J79">
        <v>17.8</v>
      </c>
      <c r="K79">
        <v>4.7</v>
      </c>
      <c r="L79" t="s">
        <v>13281</v>
      </c>
      <c r="M79" t="s">
        <v>13207</v>
      </c>
      <c r="N79" t="s">
        <v>13282</v>
      </c>
      <c r="O79" t="s">
        <v>874</v>
      </c>
      <c r="P79" t="s">
        <v>13333</v>
      </c>
      <c r="Q79" t="s">
        <v>13333</v>
      </c>
      <c r="R79" t="s">
        <v>13333</v>
      </c>
      <c r="S79" t="s">
        <v>13333</v>
      </c>
      <c r="T79" t="s">
        <v>1607</v>
      </c>
      <c r="U79">
        <v>0</v>
      </c>
      <c r="V79" t="b">
        <v>0</v>
      </c>
      <c r="W79" t="b">
        <v>0</v>
      </c>
      <c r="X79" t="b">
        <v>0</v>
      </c>
      <c r="Y79" t="s">
        <v>13286</v>
      </c>
      <c r="Z79">
        <v>290</v>
      </c>
      <c r="AA79" t="s">
        <v>13213</v>
      </c>
      <c r="AB79">
        <v>233.93</v>
      </c>
      <c r="AC79" t="s">
        <v>13213</v>
      </c>
      <c r="AD79">
        <v>280.72000000000003</v>
      </c>
      <c r="AE79" t="s">
        <v>13214</v>
      </c>
      <c r="AF79">
        <v>245.63</v>
      </c>
      <c r="AG79" t="s">
        <v>13213</v>
      </c>
      <c r="AH79">
        <v>148.78</v>
      </c>
      <c r="AI79" t="s">
        <v>13215</v>
      </c>
      <c r="AJ79">
        <v>350.9</v>
      </c>
      <c r="AK79" t="s">
        <v>13213</v>
      </c>
    </row>
    <row r="80" spans="1:37" x14ac:dyDescent="0.25">
      <c r="A80" t="s">
        <v>1611</v>
      </c>
      <c r="B80" t="s">
        <v>13205</v>
      </c>
      <c r="C80" t="b">
        <v>1</v>
      </c>
      <c r="D80" t="b">
        <v>1</v>
      </c>
      <c r="E80">
        <v>58</v>
      </c>
      <c r="F80">
        <v>41.5</v>
      </c>
      <c r="G80">
        <v>100</v>
      </c>
      <c r="H80" t="s">
        <v>13206</v>
      </c>
      <c r="I80">
        <v>10</v>
      </c>
      <c r="J80">
        <v>18.899999999999999</v>
      </c>
      <c r="K80">
        <v>4.7</v>
      </c>
      <c r="L80" t="s">
        <v>13281</v>
      </c>
      <c r="M80" t="s">
        <v>13207</v>
      </c>
      <c r="N80" t="s">
        <v>13282</v>
      </c>
      <c r="O80" t="s">
        <v>874</v>
      </c>
      <c r="P80" t="s">
        <v>13337</v>
      </c>
      <c r="Q80" t="s">
        <v>13337</v>
      </c>
      <c r="R80" t="s">
        <v>13337</v>
      </c>
      <c r="S80" t="s">
        <v>13337</v>
      </c>
      <c r="T80" t="s">
        <v>1610</v>
      </c>
      <c r="U80">
        <v>0</v>
      </c>
      <c r="V80" t="b">
        <v>0</v>
      </c>
      <c r="W80" t="b">
        <v>0</v>
      </c>
      <c r="X80" t="b">
        <v>0</v>
      </c>
      <c r="Y80" t="s">
        <v>13286</v>
      </c>
      <c r="Z80">
        <v>371.82</v>
      </c>
      <c r="AA80" t="s">
        <v>13213</v>
      </c>
      <c r="AB80">
        <v>299.93</v>
      </c>
      <c r="AC80" t="s">
        <v>13213</v>
      </c>
      <c r="AD80">
        <v>359.92</v>
      </c>
      <c r="AE80" t="s">
        <v>13214</v>
      </c>
      <c r="AF80">
        <v>314.93</v>
      </c>
      <c r="AG80" t="s">
        <v>13213</v>
      </c>
      <c r="AH80">
        <v>225.78</v>
      </c>
      <c r="AI80" t="s">
        <v>13215</v>
      </c>
      <c r="AJ80">
        <v>449.9</v>
      </c>
      <c r="AK80" t="s">
        <v>13213</v>
      </c>
    </row>
    <row r="81" spans="1:37" x14ac:dyDescent="0.25">
      <c r="A81" t="s">
        <v>1614</v>
      </c>
      <c r="B81" t="s">
        <v>13205</v>
      </c>
      <c r="C81" t="b">
        <v>1</v>
      </c>
      <c r="D81" t="b">
        <v>1</v>
      </c>
      <c r="E81">
        <v>58</v>
      </c>
      <c r="F81">
        <v>41</v>
      </c>
      <c r="G81">
        <v>100</v>
      </c>
      <c r="H81" t="s">
        <v>13206</v>
      </c>
      <c r="I81">
        <v>10</v>
      </c>
      <c r="J81">
        <v>25.4</v>
      </c>
      <c r="K81">
        <v>5.2</v>
      </c>
      <c r="L81" t="s">
        <v>13281</v>
      </c>
      <c r="M81" t="s">
        <v>13207</v>
      </c>
      <c r="N81" t="s">
        <v>13282</v>
      </c>
      <c r="O81" t="s">
        <v>874</v>
      </c>
      <c r="P81" t="s">
        <v>1615</v>
      </c>
      <c r="Q81" t="s">
        <v>1615</v>
      </c>
      <c r="R81" t="s">
        <v>1615</v>
      </c>
      <c r="S81" t="s">
        <v>1615</v>
      </c>
      <c r="T81" t="s">
        <v>1613</v>
      </c>
      <c r="U81">
        <v>0</v>
      </c>
      <c r="V81" t="b">
        <v>0</v>
      </c>
      <c r="W81" t="b">
        <v>0</v>
      </c>
      <c r="X81" t="b">
        <v>0</v>
      </c>
      <c r="Y81" t="s">
        <v>13286</v>
      </c>
      <c r="Z81">
        <v>390</v>
      </c>
      <c r="AA81" t="s">
        <v>13213</v>
      </c>
      <c r="AB81">
        <v>314.60000000000002</v>
      </c>
      <c r="AC81" t="s">
        <v>13213</v>
      </c>
      <c r="AD81">
        <v>377.52</v>
      </c>
      <c r="AE81" t="s">
        <v>13214</v>
      </c>
      <c r="AF81">
        <v>330.33</v>
      </c>
      <c r="AG81" t="s">
        <v>13213</v>
      </c>
      <c r="AH81">
        <v>232.2</v>
      </c>
      <c r="AI81" t="s">
        <v>13215</v>
      </c>
      <c r="AJ81">
        <v>471.9</v>
      </c>
      <c r="AK81" t="s">
        <v>13213</v>
      </c>
    </row>
    <row r="82" spans="1:37" x14ac:dyDescent="0.25">
      <c r="A82" t="s">
        <v>1617</v>
      </c>
      <c r="B82" t="s">
        <v>13205</v>
      </c>
      <c r="C82" t="b">
        <v>1</v>
      </c>
      <c r="D82" t="b">
        <v>1</v>
      </c>
      <c r="E82">
        <v>58</v>
      </c>
      <c r="F82">
        <v>41.5</v>
      </c>
      <c r="G82">
        <v>100</v>
      </c>
      <c r="H82" t="s">
        <v>13206</v>
      </c>
      <c r="I82">
        <v>10</v>
      </c>
      <c r="J82">
        <v>25.4</v>
      </c>
      <c r="K82">
        <v>5.2</v>
      </c>
      <c r="L82" t="s">
        <v>13281</v>
      </c>
      <c r="M82" t="s">
        <v>13207</v>
      </c>
      <c r="N82" t="s">
        <v>13282</v>
      </c>
      <c r="O82" t="s">
        <v>874</v>
      </c>
      <c r="P82" t="s">
        <v>13342</v>
      </c>
      <c r="Q82" t="s">
        <v>13342</v>
      </c>
      <c r="R82" t="s">
        <v>13342</v>
      </c>
      <c r="S82" t="s">
        <v>13342</v>
      </c>
      <c r="T82" t="s">
        <v>1616</v>
      </c>
      <c r="U82">
        <v>0</v>
      </c>
      <c r="V82" t="b">
        <v>0</v>
      </c>
      <c r="W82" t="b">
        <v>0</v>
      </c>
      <c r="X82" t="b">
        <v>0</v>
      </c>
      <c r="Y82" t="s">
        <v>13286</v>
      </c>
      <c r="Z82">
        <v>390</v>
      </c>
      <c r="AA82" t="s">
        <v>13213</v>
      </c>
      <c r="AB82">
        <v>314.60000000000002</v>
      </c>
      <c r="AC82" t="s">
        <v>13213</v>
      </c>
      <c r="AD82">
        <v>377.52</v>
      </c>
      <c r="AE82" t="s">
        <v>13214</v>
      </c>
      <c r="AF82">
        <v>330.33</v>
      </c>
      <c r="AG82" t="s">
        <v>13213</v>
      </c>
      <c r="AH82">
        <v>232.2</v>
      </c>
      <c r="AI82" t="s">
        <v>13215</v>
      </c>
      <c r="AJ82">
        <v>471.9</v>
      </c>
      <c r="AK82" t="s">
        <v>13213</v>
      </c>
    </row>
    <row r="83" spans="1:37" x14ac:dyDescent="0.25">
      <c r="A83" t="s">
        <v>1620</v>
      </c>
      <c r="B83" t="s">
        <v>13205</v>
      </c>
      <c r="C83" t="b">
        <v>1</v>
      </c>
      <c r="D83" t="b">
        <v>1</v>
      </c>
      <c r="E83">
        <v>58</v>
      </c>
      <c r="F83">
        <v>41.5</v>
      </c>
      <c r="G83">
        <v>100</v>
      </c>
      <c r="H83" t="s">
        <v>13206</v>
      </c>
      <c r="I83">
        <v>10</v>
      </c>
      <c r="J83">
        <v>25.4</v>
      </c>
      <c r="K83">
        <v>5.2</v>
      </c>
      <c r="L83" t="s">
        <v>13281</v>
      </c>
      <c r="M83" t="s">
        <v>13207</v>
      </c>
      <c r="N83" t="s">
        <v>13282</v>
      </c>
      <c r="O83" t="s">
        <v>874</v>
      </c>
      <c r="P83" t="s">
        <v>13344</v>
      </c>
      <c r="Q83" t="s">
        <v>13344</v>
      </c>
      <c r="R83" t="s">
        <v>13344</v>
      </c>
      <c r="S83" t="s">
        <v>13344</v>
      </c>
      <c r="T83" t="s">
        <v>1619</v>
      </c>
      <c r="U83">
        <v>0</v>
      </c>
      <c r="V83" t="b">
        <v>0</v>
      </c>
      <c r="W83" t="b">
        <v>0</v>
      </c>
      <c r="X83" t="b">
        <v>0</v>
      </c>
      <c r="Y83" t="s">
        <v>13286</v>
      </c>
      <c r="Z83">
        <v>390</v>
      </c>
      <c r="AA83" t="s">
        <v>13213</v>
      </c>
      <c r="AB83">
        <v>314.60000000000002</v>
      </c>
      <c r="AC83" t="s">
        <v>13213</v>
      </c>
      <c r="AD83">
        <v>377.52</v>
      </c>
      <c r="AE83" t="s">
        <v>13214</v>
      </c>
      <c r="AF83">
        <v>330.33</v>
      </c>
      <c r="AG83" t="s">
        <v>13213</v>
      </c>
      <c r="AH83">
        <v>232.2</v>
      </c>
      <c r="AI83" t="s">
        <v>13215</v>
      </c>
      <c r="AJ83">
        <v>471.9</v>
      </c>
      <c r="AK83" t="s">
        <v>13213</v>
      </c>
    </row>
    <row r="84" spans="1:37" x14ac:dyDescent="0.25">
      <c r="A84" t="s">
        <v>1623</v>
      </c>
      <c r="B84" t="s">
        <v>13205</v>
      </c>
      <c r="C84" t="b">
        <v>1</v>
      </c>
      <c r="D84" t="b">
        <v>1</v>
      </c>
      <c r="E84">
        <v>58</v>
      </c>
      <c r="F84">
        <v>41.5</v>
      </c>
      <c r="G84">
        <v>100</v>
      </c>
      <c r="H84" t="s">
        <v>13206</v>
      </c>
      <c r="I84">
        <v>10</v>
      </c>
      <c r="J84">
        <v>25.2</v>
      </c>
      <c r="K84">
        <v>5.2</v>
      </c>
      <c r="L84" t="s">
        <v>13281</v>
      </c>
      <c r="M84" t="s">
        <v>13207</v>
      </c>
      <c r="N84" t="s">
        <v>13282</v>
      </c>
      <c r="O84" t="s">
        <v>874</v>
      </c>
      <c r="P84" t="s">
        <v>1624</v>
      </c>
      <c r="Q84" t="s">
        <v>1624</v>
      </c>
      <c r="R84" t="s">
        <v>1624</v>
      </c>
      <c r="S84" t="s">
        <v>1624</v>
      </c>
      <c r="T84" t="s">
        <v>1622</v>
      </c>
      <c r="U84">
        <v>0</v>
      </c>
      <c r="V84" t="b">
        <v>0</v>
      </c>
      <c r="W84" t="b">
        <v>0</v>
      </c>
      <c r="X84" t="b">
        <v>0</v>
      </c>
      <c r="Y84" t="s">
        <v>13286</v>
      </c>
      <c r="Z84">
        <v>390</v>
      </c>
      <c r="AA84" t="s">
        <v>13213</v>
      </c>
      <c r="AB84">
        <v>314.60000000000002</v>
      </c>
      <c r="AC84" t="s">
        <v>13213</v>
      </c>
      <c r="AD84">
        <v>377.52</v>
      </c>
      <c r="AE84" t="s">
        <v>13214</v>
      </c>
      <c r="AF84">
        <v>330.33</v>
      </c>
      <c r="AG84" t="s">
        <v>13213</v>
      </c>
      <c r="AH84">
        <v>232.2</v>
      </c>
      <c r="AI84" t="s">
        <v>13215</v>
      </c>
      <c r="AJ84">
        <v>471.9</v>
      </c>
      <c r="AK84" t="s">
        <v>13213</v>
      </c>
    </row>
    <row r="85" spans="1:37" x14ac:dyDescent="0.25">
      <c r="A85" t="s">
        <v>1626</v>
      </c>
      <c r="B85" t="s">
        <v>13205</v>
      </c>
      <c r="C85" t="b">
        <v>1</v>
      </c>
      <c r="D85" t="b">
        <v>1</v>
      </c>
      <c r="E85">
        <v>58</v>
      </c>
      <c r="F85">
        <v>41.5</v>
      </c>
      <c r="G85">
        <v>100</v>
      </c>
      <c r="H85" t="s">
        <v>13206</v>
      </c>
      <c r="I85">
        <v>10</v>
      </c>
      <c r="J85">
        <v>25.4</v>
      </c>
      <c r="K85">
        <v>5.2</v>
      </c>
      <c r="L85" t="s">
        <v>13281</v>
      </c>
      <c r="M85" t="s">
        <v>13207</v>
      </c>
      <c r="N85" t="s">
        <v>13282</v>
      </c>
      <c r="O85" t="s">
        <v>874</v>
      </c>
      <c r="P85" t="s">
        <v>1627</v>
      </c>
      <c r="Q85" t="s">
        <v>1627</v>
      </c>
      <c r="R85" t="s">
        <v>1627</v>
      </c>
      <c r="S85" t="s">
        <v>1627</v>
      </c>
      <c r="T85" t="s">
        <v>1625</v>
      </c>
      <c r="U85">
        <v>0</v>
      </c>
      <c r="V85" t="b">
        <v>0</v>
      </c>
      <c r="W85" t="b">
        <v>0</v>
      </c>
      <c r="X85" t="b">
        <v>0</v>
      </c>
      <c r="Y85" t="s">
        <v>13286</v>
      </c>
      <c r="Z85">
        <v>390</v>
      </c>
      <c r="AA85" t="s">
        <v>13213</v>
      </c>
      <c r="AB85">
        <v>314.60000000000002</v>
      </c>
      <c r="AC85" t="s">
        <v>13213</v>
      </c>
      <c r="AD85">
        <v>377.52</v>
      </c>
      <c r="AE85" t="s">
        <v>13214</v>
      </c>
      <c r="AF85">
        <v>330.33</v>
      </c>
      <c r="AG85" t="s">
        <v>13213</v>
      </c>
      <c r="AH85">
        <v>232.2</v>
      </c>
      <c r="AI85" t="s">
        <v>13215</v>
      </c>
      <c r="AJ85">
        <v>471.9</v>
      </c>
      <c r="AK85" t="s">
        <v>13213</v>
      </c>
    </row>
    <row r="86" spans="1:37" x14ac:dyDescent="0.25">
      <c r="A86" t="s">
        <v>1629</v>
      </c>
      <c r="B86" t="s">
        <v>13205</v>
      </c>
      <c r="C86" t="b">
        <v>1</v>
      </c>
      <c r="D86" t="b">
        <v>1</v>
      </c>
      <c r="E86">
        <v>58</v>
      </c>
      <c r="F86">
        <v>41.5</v>
      </c>
      <c r="G86">
        <v>100</v>
      </c>
      <c r="H86" t="s">
        <v>13206</v>
      </c>
      <c r="I86">
        <v>10</v>
      </c>
      <c r="J86">
        <v>25.4</v>
      </c>
      <c r="K86">
        <v>5.2</v>
      </c>
      <c r="L86" t="s">
        <v>13281</v>
      </c>
      <c r="M86" t="s">
        <v>13207</v>
      </c>
      <c r="N86" t="s">
        <v>13282</v>
      </c>
      <c r="O86" t="s">
        <v>874</v>
      </c>
      <c r="P86" t="s">
        <v>13345</v>
      </c>
      <c r="Q86" t="s">
        <v>13345</v>
      </c>
      <c r="R86" t="s">
        <v>13345</v>
      </c>
      <c r="S86" t="s">
        <v>13345</v>
      </c>
      <c r="T86" t="s">
        <v>1628</v>
      </c>
      <c r="U86">
        <v>0</v>
      </c>
      <c r="V86" t="b">
        <v>0</v>
      </c>
      <c r="W86" t="b">
        <v>0</v>
      </c>
      <c r="X86" t="b">
        <v>0</v>
      </c>
      <c r="Y86" t="s">
        <v>13286</v>
      </c>
      <c r="Z86">
        <v>390</v>
      </c>
      <c r="AA86" t="s">
        <v>13213</v>
      </c>
      <c r="AB86">
        <v>314.60000000000002</v>
      </c>
      <c r="AC86" t="s">
        <v>13213</v>
      </c>
      <c r="AD86">
        <v>377.52</v>
      </c>
      <c r="AE86" t="s">
        <v>13214</v>
      </c>
      <c r="AF86">
        <v>330.33</v>
      </c>
      <c r="AG86" t="s">
        <v>13213</v>
      </c>
      <c r="AH86">
        <v>232.2</v>
      </c>
      <c r="AI86" t="s">
        <v>13215</v>
      </c>
      <c r="AJ86">
        <v>471.9</v>
      </c>
      <c r="AK86" t="s">
        <v>13213</v>
      </c>
    </row>
    <row r="87" spans="1:37" x14ac:dyDescent="0.25">
      <c r="A87" t="s">
        <v>1632</v>
      </c>
      <c r="B87" t="s">
        <v>13205</v>
      </c>
      <c r="C87" t="b">
        <v>1</v>
      </c>
      <c r="D87" t="b">
        <v>1</v>
      </c>
      <c r="E87">
        <v>58</v>
      </c>
      <c r="F87">
        <v>41.5</v>
      </c>
      <c r="G87">
        <v>100</v>
      </c>
      <c r="H87" t="s">
        <v>13206</v>
      </c>
      <c r="I87">
        <v>10</v>
      </c>
      <c r="J87">
        <v>22.4</v>
      </c>
      <c r="K87">
        <v>4.7</v>
      </c>
      <c r="L87" t="s">
        <v>13281</v>
      </c>
      <c r="M87" t="s">
        <v>13207</v>
      </c>
      <c r="N87" t="s">
        <v>13282</v>
      </c>
      <c r="O87" t="s">
        <v>874</v>
      </c>
      <c r="P87" t="s">
        <v>13346</v>
      </c>
      <c r="Q87" t="s">
        <v>13346</v>
      </c>
      <c r="R87" t="s">
        <v>13346</v>
      </c>
      <c r="S87" t="s">
        <v>13346</v>
      </c>
      <c r="T87" t="s">
        <v>1631</v>
      </c>
      <c r="U87">
        <v>0</v>
      </c>
      <c r="V87" t="b">
        <v>0</v>
      </c>
      <c r="W87" t="b">
        <v>0</v>
      </c>
      <c r="X87" t="b">
        <v>0</v>
      </c>
      <c r="Y87" t="s">
        <v>13286</v>
      </c>
      <c r="Z87">
        <v>344.55</v>
      </c>
      <c r="AA87" t="s">
        <v>13213</v>
      </c>
      <c r="AB87">
        <v>277.93</v>
      </c>
      <c r="AC87" t="s">
        <v>13213</v>
      </c>
      <c r="AD87">
        <v>333.52</v>
      </c>
      <c r="AE87" t="s">
        <v>13214</v>
      </c>
      <c r="AF87">
        <v>291.83</v>
      </c>
      <c r="AG87" t="s">
        <v>13213</v>
      </c>
      <c r="AH87">
        <v>289.95</v>
      </c>
      <c r="AI87" t="s">
        <v>13215</v>
      </c>
      <c r="AJ87">
        <v>416.9</v>
      </c>
      <c r="AK87" t="s">
        <v>13213</v>
      </c>
    </row>
    <row r="88" spans="1:37" x14ac:dyDescent="0.25">
      <c r="A88" t="s">
        <v>1635</v>
      </c>
      <c r="B88" t="s">
        <v>13205</v>
      </c>
      <c r="C88" t="b">
        <v>1</v>
      </c>
      <c r="D88" t="b">
        <v>1</v>
      </c>
      <c r="E88">
        <v>58</v>
      </c>
      <c r="F88">
        <v>41.5</v>
      </c>
      <c r="G88">
        <v>100</v>
      </c>
      <c r="H88" t="s">
        <v>13206</v>
      </c>
      <c r="I88">
        <v>10</v>
      </c>
      <c r="J88">
        <v>19.399999999999999</v>
      </c>
      <c r="K88">
        <v>4.7</v>
      </c>
      <c r="L88" t="s">
        <v>13281</v>
      </c>
      <c r="M88" t="s">
        <v>13207</v>
      </c>
      <c r="N88" t="s">
        <v>13282</v>
      </c>
      <c r="O88" t="s">
        <v>874</v>
      </c>
      <c r="P88" t="s">
        <v>1636</v>
      </c>
      <c r="Q88" t="s">
        <v>1636</v>
      </c>
      <c r="R88" t="s">
        <v>1636</v>
      </c>
      <c r="S88" t="s">
        <v>1636</v>
      </c>
      <c r="T88" t="s">
        <v>1634</v>
      </c>
      <c r="U88">
        <v>0</v>
      </c>
      <c r="V88" t="b">
        <v>0</v>
      </c>
      <c r="W88" t="b">
        <v>0</v>
      </c>
      <c r="X88" t="b">
        <v>0</v>
      </c>
      <c r="Y88" t="s">
        <v>13286</v>
      </c>
      <c r="Z88">
        <v>326.36</v>
      </c>
      <c r="AA88" t="s">
        <v>13213</v>
      </c>
      <c r="AB88">
        <v>263.27</v>
      </c>
      <c r="AC88" t="s">
        <v>13213</v>
      </c>
      <c r="AD88">
        <v>315.92</v>
      </c>
      <c r="AE88" t="s">
        <v>13214</v>
      </c>
      <c r="AF88">
        <v>276.43</v>
      </c>
      <c r="AG88" t="s">
        <v>13213</v>
      </c>
      <c r="AH88">
        <v>315.61</v>
      </c>
      <c r="AI88" t="s">
        <v>13215</v>
      </c>
      <c r="AJ88">
        <v>394.9</v>
      </c>
      <c r="AK88" t="s">
        <v>13213</v>
      </c>
    </row>
    <row r="89" spans="1:37" x14ac:dyDescent="0.25">
      <c r="A89" t="s">
        <v>1638</v>
      </c>
      <c r="B89" t="s">
        <v>13205</v>
      </c>
      <c r="C89" t="b">
        <v>1</v>
      </c>
      <c r="D89" t="b">
        <v>1</v>
      </c>
      <c r="E89">
        <v>41</v>
      </c>
      <c r="F89">
        <v>50</v>
      </c>
      <c r="G89">
        <v>58</v>
      </c>
      <c r="H89" t="s">
        <v>13206</v>
      </c>
      <c r="I89">
        <v>20</v>
      </c>
      <c r="J89">
        <v>15</v>
      </c>
      <c r="K89">
        <v>1.7</v>
      </c>
      <c r="L89" t="s">
        <v>13281</v>
      </c>
      <c r="M89" t="s">
        <v>13207</v>
      </c>
      <c r="N89" t="s">
        <v>13282</v>
      </c>
      <c r="O89" t="s">
        <v>874</v>
      </c>
      <c r="P89" t="s">
        <v>1639</v>
      </c>
      <c r="Q89" t="s">
        <v>1639</v>
      </c>
      <c r="R89" t="s">
        <v>1639</v>
      </c>
      <c r="S89" t="s">
        <v>1639</v>
      </c>
      <c r="T89" t="s">
        <v>1637</v>
      </c>
      <c r="U89">
        <v>0</v>
      </c>
      <c r="V89" t="b">
        <v>0</v>
      </c>
      <c r="W89" t="b">
        <v>0</v>
      </c>
      <c r="X89" t="b">
        <v>0</v>
      </c>
      <c r="Y89" t="s">
        <v>13286</v>
      </c>
      <c r="Z89">
        <v>253.64</v>
      </c>
      <c r="AA89" t="s">
        <v>13213</v>
      </c>
      <c r="AB89">
        <v>204.6</v>
      </c>
      <c r="AC89" t="s">
        <v>13213</v>
      </c>
      <c r="AD89">
        <v>245.52</v>
      </c>
      <c r="AE89" t="s">
        <v>13214</v>
      </c>
      <c r="AF89">
        <v>214.83</v>
      </c>
      <c r="AG89" t="s">
        <v>13213</v>
      </c>
      <c r="AH89">
        <v>135.94999999999999</v>
      </c>
      <c r="AI89" t="s">
        <v>13215</v>
      </c>
      <c r="AJ89">
        <v>306.89999999999998</v>
      </c>
      <c r="AK89" t="s">
        <v>13213</v>
      </c>
    </row>
    <row r="90" spans="1:37" x14ac:dyDescent="0.25">
      <c r="A90" t="s">
        <v>1641</v>
      </c>
      <c r="B90" t="s">
        <v>13205</v>
      </c>
      <c r="C90" t="b">
        <v>1</v>
      </c>
      <c r="D90" t="b">
        <v>1</v>
      </c>
      <c r="E90">
        <v>41</v>
      </c>
      <c r="F90">
        <v>50</v>
      </c>
      <c r="G90">
        <v>58</v>
      </c>
      <c r="H90" t="s">
        <v>13206</v>
      </c>
      <c r="I90">
        <v>20</v>
      </c>
      <c r="J90">
        <v>13.2</v>
      </c>
      <c r="K90">
        <v>2</v>
      </c>
      <c r="L90" t="s">
        <v>13281</v>
      </c>
      <c r="M90" t="s">
        <v>13207</v>
      </c>
      <c r="N90" t="s">
        <v>13282</v>
      </c>
      <c r="O90" t="s">
        <v>874</v>
      </c>
      <c r="P90" t="s">
        <v>13351</v>
      </c>
      <c r="Q90" t="s">
        <v>13351</v>
      </c>
      <c r="R90" t="s">
        <v>13351</v>
      </c>
      <c r="S90" t="s">
        <v>13351</v>
      </c>
      <c r="T90" t="s">
        <v>1640</v>
      </c>
      <c r="U90">
        <v>0</v>
      </c>
      <c r="V90" t="b">
        <v>0</v>
      </c>
      <c r="W90" t="b">
        <v>0</v>
      </c>
      <c r="X90" t="b">
        <v>0</v>
      </c>
      <c r="Y90" t="s">
        <v>13286</v>
      </c>
      <c r="Z90">
        <v>153.63999999999999</v>
      </c>
      <c r="AA90" t="s">
        <v>13213</v>
      </c>
      <c r="AB90">
        <v>123.93</v>
      </c>
      <c r="AC90" t="s">
        <v>13213</v>
      </c>
      <c r="AD90">
        <v>148.72</v>
      </c>
      <c r="AE90" t="s">
        <v>13214</v>
      </c>
      <c r="AF90">
        <v>130.13</v>
      </c>
      <c r="AG90" t="s">
        <v>13213</v>
      </c>
      <c r="AH90">
        <v>71.78</v>
      </c>
      <c r="AI90" t="s">
        <v>13215</v>
      </c>
      <c r="AJ90">
        <v>185.9</v>
      </c>
      <c r="AK90" t="s">
        <v>13213</v>
      </c>
    </row>
    <row r="91" spans="1:37" x14ac:dyDescent="0.25">
      <c r="A91" t="s">
        <v>1644</v>
      </c>
      <c r="B91" t="s">
        <v>13205</v>
      </c>
      <c r="C91" t="b">
        <v>1</v>
      </c>
      <c r="D91" t="b">
        <v>1</v>
      </c>
      <c r="E91">
        <v>58</v>
      </c>
      <c r="F91">
        <v>41.5</v>
      </c>
      <c r="G91">
        <v>100</v>
      </c>
      <c r="H91" t="s">
        <v>13206</v>
      </c>
      <c r="I91">
        <v>10</v>
      </c>
      <c r="J91">
        <v>26</v>
      </c>
      <c r="K91">
        <v>5.2</v>
      </c>
      <c r="L91" t="s">
        <v>13281</v>
      </c>
      <c r="M91" t="s">
        <v>13207</v>
      </c>
      <c r="N91" t="s">
        <v>13282</v>
      </c>
      <c r="O91" t="s">
        <v>874</v>
      </c>
      <c r="P91" t="s">
        <v>1645</v>
      </c>
      <c r="Q91" t="s">
        <v>1645</v>
      </c>
      <c r="R91" t="s">
        <v>1645</v>
      </c>
      <c r="S91" t="s">
        <v>1645</v>
      </c>
      <c r="T91" t="s">
        <v>1643</v>
      </c>
      <c r="U91">
        <v>0</v>
      </c>
      <c r="V91" t="b">
        <v>0</v>
      </c>
      <c r="W91" t="b">
        <v>0</v>
      </c>
      <c r="X91" t="b">
        <v>0</v>
      </c>
      <c r="Y91" t="s">
        <v>13286</v>
      </c>
      <c r="Z91">
        <v>371.82</v>
      </c>
      <c r="AA91" t="s">
        <v>13213</v>
      </c>
      <c r="AB91">
        <v>299.93</v>
      </c>
      <c r="AC91" t="s">
        <v>13213</v>
      </c>
      <c r="AD91">
        <v>359.92</v>
      </c>
      <c r="AE91" t="s">
        <v>13214</v>
      </c>
      <c r="AF91">
        <v>314.93</v>
      </c>
      <c r="AG91" t="s">
        <v>13213</v>
      </c>
      <c r="AH91">
        <v>219.36</v>
      </c>
      <c r="AI91" t="s">
        <v>13215</v>
      </c>
      <c r="AJ91">
        <v>449.9</v>
      </c>
      <c r="AK91" t="s">
        <v>13213</v>
      </c>
    </row>
    <row r="92" spans="1:37" x14ac:dyDescent="0.25">
      <c r="A92" t="s">
        <v>1647</v>
      </c>
      <c r="B92" t="s">
        <v>13205</v>
      </c>
      <c r="C92" t="b">
        <v>1</v>
      </c>
      <c r="D92" t="b">
        <v>1</v>
      </c>
      <c r="E92">
        <v>58</v>
      </c>
      <c r="F92">
        <v>31.5</v>
      </c>
      <c r="G92">
        <v>100</v>
      </c>
      <c r="H92" t="s">
        <v>13206</v>
      </c>
      <c r="I92">
        <v>12</v>
      </c>
      <c r="J92">
        <v>17.7</v>
      </c>
      <c r="K92">
        <v>4.7</v>
      </c>
      <c r="L92" t="s">
        <v>13281</v>
      </c>
      <c r="M92" t="s">
        <v>13207</v>
      </c>
      <c r="N92" t="s">
        <v>13282</v>
      </c>
      <c r="O92" t="s">
        <v>874</v>
      </c>
      <c r="P92" t="s">
        <v>13405</v>
      </c>
      <c r="Q92" t="s">
        <v>13405</v>
      </c>
      <c r="R92" t="s">
        <v>13405</v>
      </c>
      <c r="S92" t="s">
        <v>13405</v>
      </c>
      <c r="T92" t="s">
        <v>1646</v>
      </c>
      <c r="U92">
        <v>0</v>
      </c>
      <c r="V92" t="b">
        <v>0</v>
      </c>
      <c r="W92" t="b">
        <v>0</v>
      </c>
      <c r="X92" t="b">
        <v>0</v>
      </c>
      <c r="Y92" t="s">
        <v>13286</v>
      </c>
      <c r="Z92">
        <v>253.64</v>
      </c>
      <c r="AA92" t="s">
        <v>13213</v>
      </c>
      <c r="AB92">
        <v>204.6</v>
      </c>
      <c r="AC92" t="s">
        <v>13213</v>
      </c>
      <c r="AD92">
        <v>245.52</v>
      </c>
      <c r="AE92" t="s">
        <v>13214</v>
      </c>
      <c r="AF92">
        <v>214.83</v>
      </c>
      <c r="AG92" t="s">
        <v>13213</v>
      </c>
      <c r="AH92">
        <v>135.94999999999999</v>
      </c>
      <c r="AI92" t="s">
        <v>13215</v>
      </c>
      <c r="AJ92">
        <v>306.89999999999998</v>
      </c>
      <c r="AK92" t="s">
        <v>13213</v>
      </c>
    </row>
    <row r="93" spans="1:37" x14ac:dyDescent="0.25">
      <c r="A93" t="s">
        <v>1695</v>
      </c>
      <c r="B93" t="s">
        <v>13205</v>
      </c>
      <c r="C93" t="b">
        <v>1</v>
      </c>
      <c r="D93" t="b">
        <v>1</v>
      </c>
      <c r="E93">
        <v>41</v>
      </c>
      <c r="F93">
        <v>50</v>
      </c>
      <c r="G93">
        <v>58</v>
      </c>
      <c r="H93" t="s">
        <v>13206</v>
      </c>
      <c r="I93">
        <v>20</v>
      </c>
      <c r="J93">
        <v>14.5</v>
      </c>
      <c r="K93">
        <v>2</v>
      </c>
      <c r="L93" t="s">
        <v>13281</v>
      </c>
      <c r="M93" t="s">
        <v>833</v>
      </c>
      <c r="N93" t="s">
        <v>13282</v>
      </c>
      <c r="O93" t="s">
        <v>874</v>
      </c>
      <c r="P93" t="s">
        <v>13755</v>
      </c>
      <c r="Q93" t="s">
        <v>13755</v>
      </c>
      <c r="R93" t="s">
        <v>13755</v>
      </c>
      <c r="S93" t="s">
        <v>13755</v>
      </c>
      <c r="T93" t="s">
        <v>1694</v>
      </c>
      <c r="U93">
        <v>0</v>
      </c>
      <c r="V93" t="b">
        <v>1</v>
      </c>
      <c r="W93" t="b">
        <v>0</v>
      </c>
      <c r="X93" t="b">
        <v>0</v>
      </c>
      <c r="Y93" t="s">
        <v>13286</v>
      </c>
      <c r="Z93">
        <v>140.52000000000001</v>
      </c>
      <c r="AA93" t="s">
        <v>13213</v>
      </c>
      <c r="AB93">
        <v>113.35</v>
      </c>
      <c r="AC93" t="s">
        <v>13213</v>
      </c>
      <c r="AD93">
        <v>129.57</v>
      </c>
      <c r="AE93" t="s">
        <v>13214</v>
      </c>
      <c r="AF93">
        <v>113.35</v>
      </c>
      <c r="AG93" t="s">
        <v>13213</v>
      </c>
      <c r="AH93">
        <v>98.76</v>
      </c>
      <c r="AI93" t="s">
        <v>13215</v>
      </c>
      <c r="AJ93">
        <v>170.03</v>
      </c>
      <c r="AK93" t="s">
        <v>13213</v>
      </c>
    </row>
    <row r="94" spans="1:37" x14ac:dyDescent="0.25">
      <c r="A94" t="s">
        <v>1707</v>
      </c>
      <c r="B94" t="s">
        <v>13205</v>
      </c>
      <c r="C94" t="b">
        <v>0</v>
      </c>
      <c r="D94" t="b">
        <v>0</v>
      </c>
      <c r="E94">
        <v>41</v>
      </c>
      <c r="F94">
        <v>50</v>
      </c>
      <c r="G94">
        <v>58</v>
      </c>
      <c r="H94" t="s">
        <v>13206</v>
      </c>
      <c r="I94">
        <v>20</v>
      </c>
      <c r="J94">
        <v>14.9</v>
      </c>
      <c r="K94">
        <v>2</v>
      </c>
      <c r="L94" t="s">
        <v>13205</v>
      </c>
      <c r="M94" t="s">
        <v>833</v>
      </c>
      <c r="N94" t="s">
        <v>13205</v>
      </c>
      <c r="O94" t="s">
        <v>874</v>
      </c>
      <c r="P94" t="s">
        <v>1708</v>
      </c>
      <c r="Q94" t="s">
        <v>1708</v>
      </c>
      <c r="R94" t="s">
        <v>1708</v>
      </c>
      <c r="S94" t="s">
        <v>1708</v>
      </c>
      <c r="T94" t="s">
        <v>1706</v>
      </c>
      <c r="U94">
        <v>0</v>
      </c>
      <c r="V94" t="b">
        <v>1</v>
      </c>
      <c r="W94" t="b">
        <v>1</v>
      </c>
      <c r="X94" t="b">
        <v>0</v>
      </c>
      <c r="Y94" t="s">
        <v>13286</v>
      </c>
      <c r="Z94">
        <v>180.91</v>
      </c>
      <c r="AA94" t="s">
        <v>13213</v>
      </c>
      <c r="AB94">
        <v>145.93</v>
      </c>
      <c r="AC94" t="s">
        <v>13213</v>
      </c>
      <c r="AD94">
        <v>175.12</v>
      </c>
      <c r="AE94" t="s">
        <v>13214</v>
      </c>
      <c r="AF94">
        <v>153.22999999999999</v>
      </c>
      <c r="AG94" t="s">
        <v>13213</v>
      </c>
      <c r="AH94">
        <v>103.86</v>
      </c>
      <c r="AI94" t="s">
        <v>13215</v>
      </c>
      <c r="AJ94">
        <v>218.9</v>
      </c>
      <c r="AK94" t="s">
        <v>13213</v>
      </c>
    </row>
    <row r="95" spans="1:37" x14ac:dyDescent="0.25">
      <c r="A95" t="s">
        <v>1710</v>
      </c>
      <c r="B95" t="s">
        <v>13205</v>
      </c>
      <c r="C95" t="b">
        <v>0</v>
      </c>
      <c r="D95" t="b">
        <v>0</v>
      </c>
      <c r="E95">
        <v>58</v>
      </c>
      <c r="F95">
        <v>31.5</v>
      </c>
      <c r="G95">
        <v>100</v>
      </c>
      <c r="H95" t="s">
        <v>13206</v>
      </c>
      <c r="I95">
        <v>6</v>
      </c>
      <c r="J95">
        <v>16</v>
      </c>
      <c r="K95">
        <v>4.5999999999999996</v>
      </c>
      <c r="L95" t="s">
        <v>13205</v>
      </c>
      <c r="M95" t="s">
        <v>833</v>
      </c>
      <c r="N95" t="s">
        <v>13205</v>
      </c>
      <c r="O95" t="s">
        <v>874</v>
      </c>
      <c r="P95" t="s">
        <v>1702</v>
      </c>
      <c r="Q95" t="s">
        <v>1702</v>
      </c>
      <c r="R95" t="s">
        <v>1702</v>
      </c>
      <c r="S95" t="s">
        <v>1702</v>
      </c>
      <c r="T95" t="s">
        <v>1709</v>
      </c>
      <c r="U95">
        <v>0</v>
      </c>
      <c r="V95" t="b">
        <v>1</v>
      </c>
      <c r="W95" t="b">
        <v>1</v>
      </c>
      <c r="X95" t="b">
        <v>0</v>
      </c>
      <c r="Y95" t="s">
        <v>13286</v>
      </c>
      <c r="Z95">
        <v>226.36</v>
      </c>
      <c r="AA95" t="s">
        <v>13213</v>
      </c>
      <c r="AB95">
        <v>182.6</v>
      </c>
      <c r="AC95" t="s">
        <v>13213</v>
      </c>
      <c r="AD95">
        <v>219.12</v>
      </c>
      <c r="AE95" t="s">
        <v>13214</v>
      </c>
      <c r="AF95">
        <v>191.73</v>
      </c>
      <c r="AG95" t="s">
        <v>13213</v>
      </c>
      <c r="AH95">
        <v>135.94999999999999</v>
      </c>
      <c r="AI95" t="s">
        <v>13215</v>
      </c>
      <c r="AJ95">
        <v>273.89999999999998</v>
      </c>
      <c r="AK95" t="s">
        <v>13213</v>
      </c>
    </row>
    <row r="96" spans="1:37" x14ac:dyDescent="0.25">
      <c r="A96" t="s">
        <v>1712</v>
      </c>
      <c r="B96" t="s">
        <v>13205</v>
      </c>
      <c r="C96" t="b">
        <v>0</v>
      </c>
      <c r="D96" t="b">
        <v>0</v>
      </c>
      <c r="E96">
        <v>41</v>
      </c>
      <c r="F96">
        <v>50</v>
      </c>
      <c r="G96">
        <v>58</v>
      </c>
      <c r="H96" t="s">
        <v>13206</v>
      </c>
      <c r="I96">
        <v>20</v>
      </c>
      <c r="J96">
        <v>13.2</v>
      </c>
      <c r="K96">
        <v>2</v>
      </c>
      <c r="L96" t="s">
        <v>13205</v>
      </c>
      <c r="M96" t="s">
        <v>833</v>
      </c>
      <c r="N96" t="s">
        <v>13205</v>
      </c>
      <c r="O96" t="s">
        <v>874</v>
      </c>
      <c r="P96" t="s">
        <v>1713</v>
      </c>
      <c r="Q96" t="s">
        <v>1713</v>
      </c>
      <c r="R96" t="s">
        <v>1713</v>
      </c>
      <c r="S96" t="s">
        <v>1713</v>
      </c>
      <c r="T96" t="s">
        <v>1711</v>
      </c>
      <c r="U96">
        <v>0</v>
      </c>
      <c r="V96" t="b">
        <v>1</v>
      </c>
      <c r="W96" t="b">
        <v>1</v>
      </c>
      <c r="X96" t="b">
        <v>0</v>
      </c>
      <c r="Y96" t="s">
        <v>13286</v>
      </c>
      <c r="Z96">
        <v>153.63999999999999</v>
      </c>
      <c r="AA96" t="s">
        <v>13213</v>
      </c>
      <c r="AB96">
        <v>123.93</v>
      </c>
      <c r="AC96" t="s">
        <v>13213</v>
      </c>
      <c r="AD96">
        <v>148.72</v>
      </c>
      <c r="AE96" t="s">
        <v>13214</v>
      </c>
      <c r="AF96">
        <v>130.13</v>
      </c>
      <c r="AG96" t="s">
        <v>13213</v>
      </c>
      <c r="AH96">
        <v>71.78</v>
      </c>
      <c r="AI96" t="s">
        <v>13215</v>
      </c>
      <c r="AJ96">
        <v>185.9</v>
      </c>
      <c r="AK96" t="s">
        <v>13213</v>
      </c>
    </row>
    <row r="97" spans="1:37" x14ac:dyDescent="0.25">
      <c r="A97" t="s">
        <v>1715</v>
      </c>
      <c r="B97" t="s">
        <v>13205</v>
      </c>
      <c r="C97" t="b">
        <v>0</v>
      </c>
      <c r="D97" t="b">
        <v>0</v>
      </c>
      <c r="E97">
        <v>58</v>
      </c>
      <c r="F97">
        <v>31.5</v>
      </c>
      <c r="G97">
        <v>100</v>
      </c>
      <c r="H97" t="s">
        <v>13206</v>
      </c>
      <c r="I97">
        <v>6</v>
      </c>
      <c r="J97">
        <v>0.01</v>
      </c>
      <c r="K97">
        <v>0</v>
      </c>
      <c r="L97" t="s">
        <v>13205</v>
      </c>
      <c r="M97" t="s">
        <v>833</v>
      </c>
      <c r="N97" t="s">
        <v>13205</v>
      </c>
      <c r="O97" t="s">
        <v>874</v>
      </c>
      <c r="P97" t="s">
        <v>1716</v>
      </c>
      <c r="Q97" t="s">
        <v>1716</v>
      </c>
      <c r="R97" t="s">
        <v>1716</v>
      </c>
      <c r="S97" t="s">
        <v>1716</v>
      </c>
      <c r="U97">
        <v>0</v>
      </c>
      <c r="V97" t="b">
        <v>1</v>
      </c>
      <c r="W97" t="b">
        <v>1</v>
      </c>
      <c r="X97" t="b">
        <v>0</v>
      </c>
      <c r="Y97" t="s">
        <v>13286</v>
      </c>
    </row>
    <row r="98" spans="1:37" x14ac:dyDescent="0.25">
      <c r="A98" t="s">
        <v>1723</v>
      </c>
      <c r="B98" t="s">
        <v>13205</v>
      </c>
      <c r="C98" t="b">
        <v>1</v>
      </c>
      <c r="D98" t="b">
        <v>1</v>
      </c>
      <c r="E98">
        <v>60</v>
      </c>
      <c r="F98">
        <v>50</v>
      </c>
      <c r="G98">
        <v>40</v>
      </c>
      <c r="H98" t="s">
        <v>13206</v>
      </c>
      <c r="I98">
        <v>20</v>
      </c>
      <c r="J98">
        <v>14.48</v>
      </c>
      <c r="K98">
        <v>3.12</v>
      </c>
      <c r="L98" t="s">
        <v>859</v>
      </c>
      <c r="M98" t="s">
        <v>13207</v>
      </c>
      <c r="N98" t="s">
        <v>13208</v>
      </c>
      <c r="O98" t="s">
        <v>874</v>
      </c>
      <c r="P98" t="s">
        <v>1724</v>
      </c>
      <c r="Q98" t="s">
        <v>1724</v>
      </c>
      <c r="R98" t="s">
        <v>1724</v>
      </c>
      <c r="S98" t="s">
        <v>1724</v>
      </c>
      <c r="T98" t="s">
        <v>1722</v>
      </c>
      <c r="U98">
        <v>195</v>
      </c>
      <c r="V98" t="b">
        <v>0</v>
      </c>
      <c r="W98" t="b">
        <v>0</v>
      </c>
      <c r="X98" t="b">
        <v>0</v>
      </c>
      <c r="Y98" t="s">
        <v>13212</v>
      </c>
      <c r="Z98">
        <v>198.35</v>
      </c>
      <c r="AA98" t="s">
        <v>13213</v>
      </c>
      <c r="AB98">
        <v>160</v>
      </c>
      <c r="AC98" t="s">
        <v>13213</v>
      </c>
      <c r="AD98">
        <v>192</v>
      </c>
      <c r="AE98" t="s">
        <v>13214</v>
      </c>
      <c r="AF98">
        <v>168</v>
      </c>
      <c r="AG98" t="s">
        <v>13213</v>
      </c>
      <c r="AH98">
        <v>132.80000000000001</v>
      </c>
      <c r="AI98" t="s">
        <v>13215</v>
      </c>
      <c r="AJ98">
        <v>240</v>
      </c>
      <c r="AK98" t="s">
        <v>13213</v>
      </c>
    </row>
    <row r="99" spans="1:37" x14ac:dyDescent="0.25">
      <c r="A99" t="s">
        <v>1729</v>
      </c>
      <c r="B99" t="s">
        <v>13205</v>
      </c>
      <c r="C99" t="b">
        <v>1</v>
      </c>
      <c r="D99" t="b">
        <v>1</v>
      </c>
      <c r="E99">
        <v>60</v>
      </c>
      <c r="F99">
        <v>50</v>
      </c>
      <c r="G99">
        <v>40</v>
      </c>
      <c r="H99" t="s">
        <v>13206</v>
      </c>
      <c r="I99">
        <v>20</v>
      </c>
      <c r="J99">
        <v>14.48</v>
      </c>
      <c r="K99">
        <v>3.12</v>
      </c>
      <c r="L99" t="s">
        <v>859</v>
      </c>
      <c r="M99" t="s">
        <v>13207</v>
      </c>
      <c r="N99" t="s">
        <v>13208</v>
      </c>
      <c r="O99" t="s">
        <v>874</v>
      </c>
      <c r="P99" t="s">
        <v>1730</v>
      </c>
      <c r="Q99" t="s">
        <v>1730</v>
      </c>
      <c r="R99" t="s">
        <v>1730</v>
      </c>
      <c r="S99" t="s">
        <v>1730</v>
      </c>
      <c r="T99" t="s">
        <v>1728</v>
      </c>
      <c r="U99">
        <v>195</v>
      </c>
      <c r="V99" t="b">
        <v>0</v>
      </c>
      <c r="W99" t="b">
        <v>0</v>
      </c>
      <c r="X99" t="b">
        <v>0</v>
      </c>
      <c r="Y99" t="s">
        <v>13212</v>
      </c>
      <c r="Z99">
        <v>198.35</v>
      </c>
      <c r="AA99" t="s">
        <v>13213</v>
      </c>
      <c r="AB99">
        <v>160</v>
      </c>
      <c r="AC99" t="s">
        <v>13213</v>
      </c>
      <c r="AD99">
        <v>192</v>
      </c>
      <c r="AE99" t="s">
        <v>13214</v>
      </c>
      <c r="AF99">
        <v>168</v>
      </c>
      <c r="AG99" t="s">
        <v>13213</v>
      </c>
      <c r="AH99">
        <v>132.80000000000001</v>
      </c>
      <c r="AI99" t="s">
        <v>13215</v>
      </c>
      <c r="AJ99">
        <v>240</v>
      </c>
      <c r="AK99" t="s">
        <v>13213</v>
      </c>
    </row>
    <row r="100" spans="1:37" x14ac:dyDescent="0.25">
      <c r="A100" t="s">
        <v>175</v>
      </c>
      <c r="B100" t="s">
        <v>13205</v>
      </c>
      <c r="C100" t="b">
        <v>1</v>
      </c>
      <c r="D100" t="b">
        <v>1</v>
      </c>
      <c r="E100">
        <v>32</v>
      </c>
      <c r="F100">
        <v>11</v>
      </c>
      <c r="G100">
        <v>18</v>
      </c>
      <c r="H100" t="s">
        <v>13206</v>
      </c>
      <c r="I100">
        <v>120</v>
      </c>
      <c r="J100">
        <v>1</v>
      </c>
      <c r="K100">
        <v>0.01</v>
      </c>
      <c r="L100" t="s">
        <v>13816</v>
      </c>
      <c r="M100" t="s">
        <v>13207</v>
      </c>
      <c r="N100" t="s">
        <v>13817</v>
      </c>
      <c r="O100" t="s">
        <v>13818</v>
      </c>
      <c r="P100" t="s">
        <v>13819</v>
      </c>
      <c r="Q100" t="s">
        <v>13820</v>
      </c>
      <c r="R100" t="s">
        <v>669</v>
      </c>
      <c r="S100" t="s">
        <v>13821</v>
      </c>
      <c r="T100" t="s">
        <v>1985</v>
      </c>
      <c r="U100">
        <v>150</v>
      </c>
      <c r="V100" t="b">
        <v>0</v>
      </c>
      <c r="W100" t="b">
        <v>0</v>
      </c>
      <c r="X100" t="b">
        <v>0</v>
      </c>
      <c r="Y100" t="s">
        <v>13212</v>
      </c>
      <c r="Z100">
        <v>28.1</v>
      </c>
      <c r="AA100" t="s">
        <v>13213</v>
      </c>
      <c r="AB100">
        <v>22.67</v>
      </c>
      <c r="AC100" t="s">
        <v>13213</v>
      </c>
      <c r="AD100">
        <v>27.2</v>
      </c>
      <c r="AE100" t="s">
        <v>13214</v>
      </c>
      <c r="AF100">
        <v>23.78</v>
      </c>
      <c r="AG100" t="s">
        <v>13213</v>
      </c>
      <c r="AH100">
        <v>19.25</v>
      </c>
      <c r="AI100" t="s">
        <v>13215</v>
      </c>
      <c r="AJ100">
        <v>34</v>
      </c>
      <c r="AK100" t="s">
        <v>13213</v>
      </c>
    </row>
    <row r="101" spans="1:37" x14ac:dyDescent="0.25">
      <c r="A101" t="s">
        <v>176</v>
      </c>
      <c r="B101" t="s">
        <v>13205</v>
      </c>
      <c r="C101" t="b">
        <v>0</v>
      </c>
      <c r="D101" t="b">
        <v>1</v>
      </c>
      <c r="E101">
        <v>20</v>
      </c>
      <c r="F101">
        <v>10</v>
      </c>
      <c r="G101">
        <v>10</v>
      </c>
      <c r="H101" t="s">
        <v>13206</v>
      </c>
      <c r="I101">
        <v>0</v>
      </c>
      <c r="J101">
        <v>3.3</v>
      </c>
      <c r="K101">
        <v>0.1</v>
      </c>
      <c r="L101" t="s">
        <v>859</v>
      </c>
      <c r="M101" t="s">
        <v>13207</v>
      </c>
      <c r="N101" t="s">
        <v>13208</v>
      </c>
      <c r="O101" t="s">
        <v>874</v>
      </c>
      <c r="P101" t="s">
        <v>13812</v>
      </c>
      <c r="Q101" t="s">
        <v>13813</v>
      </c>
      <c r="R101" t="s">
        <v>13814</v>
      </c>
      <c r="S101" t="s">
        <v>13815</v>
      </c>
      <c r="T101" t="s">
        <v>2162</v>
      </c>
      <c r="U101">
        <v>250</v>
      </c>
      <c r="V101" t="b">
        <v>0</v>
      </c>
      <c r="W101" t="b">
        <v>0</v>
      </c>
      <c r="X101" t="b">
        <v>0</v>
      </c>
      <c r="Y101" t="s">
        <v>13212</v>
      </c>
      <c r="Z101">
        <v>40.5</v>
      </c>
      <c r="AA101" t="s">
        <v>13213</v>
      </c>
      <c r="AB101">
        <v>32.67</v>
      </c>
      <c r="AC101" t="s">
        <v>13213</v>
      </c>
      <c r="AD101">
        <v>36</v>
      </c>
      <c r="AE101" t="s">
        <v>13214</v>
      </c>
      <c r="AF101">
        <v>35.979999999999997</v>
      </c>
      <c r="AG101" t="s">
        <v>13213</v>
      </c>
      <c r="AH101">
        <v>25.08</v>
      </c>
      <c r="AI101" t="s">
        <v>13215</v>
      </c>
      <c r="AJ101">
        <v>49</v>
      </c>
      <c r="AK101" t="s">
        <v>13213</v>
      </c>
    </row>
    <row r="102" spans="1:37" x14ac:dyDescent="0.25">
      <c r="A102" t="s">
        <v>177</v>
      </c>
      <c r="B102" t="s">
        <v>13205</v>
      </c>
      <c r="C102" t="b">
        <v>1</v>
      </c>
      <c r="D102" t="b">
        <v>1</v>
      </c>
      <c r="E102">
        <v>20</v>
      </c>
      <c r="F102">
        <v>10</v>
      </c>
      <c r="G102">
        <v>10</v>
      </c>
      <c r="H102" t="s">
        <v>13206</v>
      </c>
      <c r="I102">
        <v>200</v>
      </c>
      <c r="J102">
        <v>1.1000000000000001</v>
      </c>
      <c r="K102">
        <v>0.1</v>
      </c>
      <c r="L102" t="s">
        <v>859</v>
      </c>
      <c r="M102" t="s">
        <v>13207</v>
      </c>
      <c r="N102" t="s">
        <v>13208</v>
      </c>
      <c r="O102" t="s">
        <v>874</v>
      </c>
      <c r="P102" t="s">
        <v>13249</v>
      </c>
      <c r="Q102" t="s">
        <v>13250</v>
      </c>
      <c r="R102" t="s">
        <v>13251</v>
      </c>
      <c r="S102" t="s">
        <v>13252</v>
      </c>
      <c r="T102" t="s">
        <v>2178</v>
      </c>
      <c r="U102">
        <v>150</v>
      </c>
      <c r="V102" t="b">
        <v>0</v>
      </c>
      <c r="W102" t="b">
        <v>0</v>
      </c>
      <c r="X102" t="b">
        <v>0</v>
      </c>
      <c r="Y102" t="s">
        <v>13212</v>
      </c>
      <c r="Z102">
        <v>20.66</v>
      </c>
      <c r="AA102" t="s">
        <v>13213</v>
      </c>
      <c r="AB102">
        <v>16.670000000000002</v>
      </c>
      <c r="AC102" t="s">
        <v>13213</v>
      </c>
      <c r="AD102">
        <v>20</v>
      </c>
      <c r="AE102" t="s">
        <v>13214</v>
      </c>
      <c r="AF102">
        <v>17.670000000000002</v>
      </c>
      <c r="AG102" t="s">
        <v>13213</v>
      </c>
      <c r="AH102">
        <v>12.83</v>
      </c>
      <c r="AI102" t="s">
        <v>13215</v>
      </c>
      <c r="AJ102">
        <v>25</v>
      </c>
      <c r="AK102" t="s">
        <v>13213</v>
      </c>
    </row>
    <row r="103" spans="1:37" x14ac:dyDescent="0.25">
      <c r="A103" t="s">
        <v>178</v>
      </c>
      <c r="B103" t="s">
        <v>13205</v>
      </c>
      <c r="C103" t="b">
        <v>1</v>
      </c>
      <c r="D103" t="b">
        <v>1</v>
      </c>
      <c r="E103">
        <v>20</v>
      </c>
      <c r="F103">
        <v>10</v>
      </c>
      <c r="G103">
        <v>10</v>
      </c>
      <c r="H103" t="s">
        <v>13206</v>
      </c>
      <c r="I103">
        <v>144</v>
      </c>
      <c r="J103">
        <v>0.28999999999999998</v>
      </c>
      <c r="K103">
        <v>0.01</v>
      </c>
      <c r="L103" t="s">
        <v>859</v>
      </c>
      <c r="M103" t="s">
        <v>13207</v>
      </c>
      <c r="N103" t="s">
        <v>13208</v>
      </c>
      <c r="O103" t="s">
        <v>874</v>
      </c>
      <c r="P103" t="s">
        <v>13245</v>
      </c>
      <c r="Q103" t="s">
        <v>13246</v>
      </c>
      <c r="R103" t="s">
        <v>659</v>
      </c>
      <c r="S103" t="s">
        <v>13247</v>
      </c>
      <c r="T103" t="s">
        <v>2195</v>
      </c>
      <c r="U103">
        <v>50</v>
      </c>
      <c r="V103" t="b">
        <v>0</v>
      </c>
      <c r="W103" t="b">
        <v>0</v>
      </c>
      <c r="X103" t="b">
        <v>0</v>
      </c>
      <c r="Y103" t="s">
        <v>13212</v>
      </c>
      <c r="Z103">
        <v>23.97</v>
      </c>
      <c r="AA103" t="s">
        <v>13213</v>
      </c>
      <c r="AB103">
        <v>19.329999999999998</v>
      </c>
      <c r="AC103" t="s">
        <v>13213</v>
      </c>
      <c r="AD103">
        <v>23.2</v>
      </c>
      <c r="AE103" t="s">
        <v>13214</v>
      </c>
      <c r="AF103">
        <v>21.32</v>
      </c>
      <c r="AG103" t="s">
        <v>13213</v>
      </c>
      <c r="AH103">
        <v>18.079999999999998</v>
      </c>
      <c r="AI103" t="s">
        <v>13215</v>
      </c>
      <c r="AJ103">
        <v>29</v>
      </c>
      <c r="AK103" t="s">
        <v>13213</v>
      </c>
    </row>
    <row r="104" spans="1:37" x14ac:dyDescent="0.25">
      <c r="A104" t="s">
        <v>179</v>
      </c>
      <c r="B104" t="s">
        <v>13205</v>
      </c>
      <c r="C104" t="b">
        <v>1</v>
      </c>
      <c r="D104" t="b">
        <v>1</v>
      </c>
      <c r="E104">
        <v>20</v>
      </c>
      <c r="F104">
        <v>10</v>
      </c>
      <c r="G104">
        <v>10</v>
      </c>
      <c r="H104" t="s">
        <v>13206</v>
      </c>
      <c r="I104">
        <v>144</v>
      </c>
      <c r="J104">
        <v>0.11</v>
      </c>
      <c r="K104">
        <v>0.01</v>
      </c>
      <c r="L104" t="s">
        <v>859</v>
      </c>
      <c r="M104" t="s">
        <v>13207</v>
      </c>
      <c r="N104" t="s">
        <v>13208</v>
      </c>
      <c r="O104" t="s">
        <v>874</v>
      </c>
      <c r="P104" t="s">
        <v>13242</v>
      </c>
      <c r="Q104" t="s">
        <v>13243</v>
      </c>
      <c r="R104" t="s">
        <v>661</v>
      </c>
      <c r="S104" t="s">
        <v>13244</v>
      </c>
      <c r="T104" t="s">
        <v>2197</v>
      </c>
      <c r="U104">
        <v>100</v>
      </c>
      <c r="V104" t="b">
        <v>0</v>
      </c>
      <c r="W104" t="b">
        <v>0</v>
      </c>
      <c r="X104" t="b">
        <v>0</v>
      </c>
      <c r="Y104" t="s">
        <v>13212</v>
      </c>
      <c r="Z104">
        <v>12.4</v>
      </c>
      <c r="AA104" t="s">
        <v>13213</v>
      </c>
      <c r="AB104">
        <v>10</v>
      </c>
      <c r="AC104" t="s">
        <v>13213</v>
      </c>
      <c r="AD104">
        <v>12</v>
      </c>
      <c r="AE104" t="s">
        <v>13214</v>
      </c>
      <c r="AF104">
        <v>11.57</v>
      </c>
      <c r="AG104" t="s">
        <v>13213</v>
      </c>
      <c r="AH104">
        <v>9.92</v>
      </c>
      <c r="AI104" t="s">
        <v>13215</v>
      </c>
      <c r="AJ104">
        <v>15</v>
      </c>
      <c r="AK104" t="s">
        <v>13213</v>
      </c>
    </row>
    <row r="105" spans="1:37" x14ac:dyDescent="0.25">
      <c r="A105" t="s">
        <v>180</v>
      </c>
      <c r="B105" t="s">
        <v>13205</v>
      </c>
      <c r="C105" t="b">
        <v>1</v>
      </c>
      <c r="D105" t="b">
        <v>1</v>
      </c>
      <c r="E105">
        <v>20</v>
      </c>
      <c r="F105">
        <v>10</v>
      </c>
      <c r="G105">
        <v>10</v>
      </c>
      <c r="H105" t="s">
        <v>13206</v>
      </c>
      <c r="I105">
        <v>144</v>
      </c>
      <c r="J105">
        <v>0.11</v>
      </c>
      <c r="K105">
        <v>0.01</v>
      </c>
      <c r="L105" t="s">
        <v>859</v>
      </c>
      <c r="M105" t="s">
        <v>13207</v>
      </c>
      <c r="N105" t="s">
        <v>13208</v>
      </c>
      <c r="O105" t="s">
        <v>874</v>
      </c>
      <c r="P105" t="s">
        <v>13224</v>
      </c>
      <c r="Q105" t="s">
        <v>13225</v>
      </c>
      <c r="R105" t="s">
        <v>662</v>
      </c>
      <c r="S105" t="s">
        <v>13226</v>
      </c>
      <c r="T105" t="s">
        <v>2199</v>
      </c>
      <c r="U105">
        <v>100</v>
      </c>
      <c r="V105" t="b">
        <v>0</v>
      </c>
      <c r="W105" t="b">
        <v>0</v>
      </c>
      <c r="X105" t="b">
        <v>0</v>
      </c>
      <c r="Y105" t="s">
        <v>13212</v>
      </c>
      <c r="Z105">
        <v>12.4</v>
      </c>
      <c r="AA105" t="s">
        <v>13213</v>
      </c>
      <c r="AB105">
        <v>10</v>
      </c>
      <c r="AC105" t="s">
        <v>13213</v>
      </c>
      <c r="AD105">
        <v>12</v>
      </c>
      <c r="AE105" t="s">
        <v>13214</v>
      </c>
      <c r="AF105">
        <v>11.57</v>
      </c>
      <c r="AG105" t="s">
        <v>13213</v>
      </c>
      <c r="AH105">
        <v>9.92</v>
      </c>
      <c r="AI105" t="s">
        <v>13215</v>
      </c>
      <c r="AJ105">
        <v>15</v>
      </c>
      <c r="AK105" t="s">
        <v>13213</v>
      </c>
    </row>
    <row r="106" spans="1:37" x14ac:dyDescent="0.25">
      <c r="A106" t="s">
        <v>181</v>
      </c>
      <c r="B106" t="s">
        <v>13205</v>
      </c>
      <c r="C106" t="b">
        <v>1</v>
      </c>
      <c r="D106" t="b">
        <v>1</v>
      </c>
      <c r="E106">
        <v>20</v>
      </c>
      <c r="F106">
        <v>10</v>
      </c>
      <c r="G106">
        <v>10</v>
      </c>
      <c r="H106" t="s">
        <v>13206</v>
      </c>
      <c r="I106">
        <v>150</v>
      </c>
      <c r="J106">
        <v>0.56999999999999995</v>
      </c>
      <c r="K106">
        <v>0.01</v>
      </c>
      <c r="L106" t="s">
        <v>859</v>
      </c>
      <c r="M106" t="s">
        <v>13207</v>
      </c>
      <c r="N106" t="s">
        <v>13208</v>
      </c>
      <c r="O106" t="s">
        <v>874</v>
      </c>
      <c r="P106" t="s">
        <v>13221</v>
      </c>
      <c r="Q106" t="s">
        <v>13222</v>
      </c>
      <c r="R106" t="s">
        <v>663</v>
      </c>
      <c r="S106" t="s">
        <v>13223</v>
      </c>
      <c r="T106" t="s">
        <v>2201</v>
      </c>
      <c r="U106">
        <v>500</v>
      </c>
      <c r="V106" t="b">
        <v>0</v>
      </c>
      <c r="W106" t="b">
        <v>0</v>
      </c>
      <c r="X106" t="b">
        <v>0</v>
      </c>
      <c r="Y106" t="s">
        <v>13212</v>
      </c>
      <c r="Z106">
        <v>32.229999999999997</v>
      </c>
      <c r="AA106" t="s">
        <v>13213</v>
      </c>
      <c r="AB106">
        <v>26</v>
      </c>
      <c r="AC106" t="s">
        <v>13213</v>
      </c>
      <c r="AD106">
        <v>31.2</v>
      </c>
      <c r="AE106" t="s">
        <v>13214</v>
      </c>
      <c r="AF106">
        <v>27.41</v>
      </c>
      <c r="AG106" t="s">
        <v>13213</v>
      </c>
      <c r="AH106">
        <v>22.75</v>
      </c>
      <c r="AI106" t="s">
        <v>13215</v>
      </c>
      <c r="AJ106">
        <v>39</v>
      </c>
      <c r="AK106" t="s">
        <v>13213</v>
      </c>
    </row>
    <row r="107" spans="1:37" x14ac:dyDescent="0.25">
      <c r="A107" t="s">
        <v>182</v>
      </c>
      <c r="B107" t="s">
        <v>13205</v>
      </c>
      <c r="C107" t="b">
        <v>1</v>
      </c>
      <c r="D107" t="b">
        <v>1</v>
      </c>
      <c r="E107">
        <v>20</v>
      </c>
      <c r="F107">
        <v>10</v>
      </c>
      <c r="G107">
        <v>10</v>
      </c>
      <c r="H107" t="s">
        <v>13206</v>
      </c>
      <c r="I107">
        <v>300</v>
      </c>
      <c r="J107">
        <v>0.31</v>
      </c>
      <c r="K107">
        <v>0.01</v>
      </c>
      <c r="L107" t="s">
        <v>859</v>
      </c>
      <c r="M107" t="s">
        <v>13207</v>
      </c>
      <c r="N107" t="s">
        <v>13208</v>
      </c>
      <c r="O107" t="s">
        <v>874</v>
      </c>
      <c r="P107" t="s">
        <v>13218</v>
      </c>
      <c r="Q107" t="s">
        <v>13219</v>
      </c>
      <c r="R107" t="s">
        <v>660</v>
      </c>
      <c r="S107" t="s">
        <v>13220</v>
      </c>
      <c r="T107" t="s">
        <v>2218</v>
      </c>
      <c r="U107">
        <v>500</v>
      </c>
      <c r="V107" t="b">
        <v>0</v>
      </c>
      <c r="W107" t="b">
        <v>0</v>
      </c>
      <c r="X107" t="b">
        <v>0</v>
      </c>
      <c r="Y107" t="s">
        <v>13212</v>
      </c>
      <c r="Z107">
        <v>20.66</v>
      </c>
      <c r="AA107" t="s">
        <v>13213</v>
      </c>
      <c r="AB107">
        <v>16.670000000000002</v>
      </c>
      <c r="AC107" t="s">
        <v>13213</v>
      </c>
      <c r="AD107">
        <v>15.2</v>
      </c>
      <c r="AE107" t="s">
        <v>13214</v>
      </c>
      <c r="AF107">
        <v>17.68</v>
      </c>
      <c r="AG107" t="s">
        <v>13213</v>
      </c>
      <c r="AH107">
        <v>14</v>
      </c>
      <c r="AI107" t="s">
        <v>13215</v>
      </c>
      <c r="AJ107">
        <v>25</v>
      </c>
      <c r="AK107" t="s">
        <v>13213</v>
      </c>
    </row>
    <row r="108" spans="1:37" x14ac:dyDescent="0.25">
      <c r="A108" t="s">
        <v>268</v>
      </c>
      <c r="B108" t="s">
        <v>13205</v>
      </c>
      <c r="C108" t="b">
        <v>1</v>
      </c>
      <c r="D108" t="b">
        <v>1</v>
      </c>
      <c r="E108">
        <v>13</v>
      </c>
      <c r="F108">
        <v>9</v>
      </c>
      <c r="G108">
        <v>7.5</v>
      </c>
      <c r="H108" t="s">
        <v>13673</v>
      </c>
      <c r="I108">
        <v>500</v>
      </c>
      <c r="J108">
        <v>0.2</v>
      </c>
      <c r="K108">
        <v>0</v>
      </c>
      <c r="L108" t="s">
        <v>859</v>
      </c>
      <c r="M108" t="s">
        <v>13207</v>
      </c>
      <c r="N108" t="s">
        <v>13208</v>
      </c>
      <c r="O108" t="s">
        <v>874</v>
      </c>
      <c r="P108" t="s">
        <v>269</v>
      </c>
      <c r="Q108" t="s">
        <v>269</v>
      </c>
      <c r="R108" t="s">
        <v>269</v>
      </c>
      <c r="S108" t="s">
        <v>269</v>
      </c>
      <c r="T108" t="s">
        <v>301</v>
      </c>
      <c r="U108">
        <v>1000</v>
      </c>
      <c r="V108" t="b">
        <v>0</v>
      </c>
      <c r="W108" t="b">
        <v>0</v>
      </c>
      <c r="X108" t="b">
        <v>0</v>
      </c>
      <c r="Y108" t="s">
        <v>13212</v>
      </c>
      <c r="Z108">
        <v>32.229999999999997</v>
      </c>
      <c r="AA108" t="s">
        <v>13213</v>
      </c>
      <c r="AB108">
        <v>26</v>
      </c>
      <c r="AC108" t="s">
        <v>13213</v>
      </c>
      <c r="AD108">
        <v>31.2</v>
      </c>
      <c r="AE108" t="s">
        <v>13214</v>
      </c>
      <c r="AF108">
        <v>23.78</v>
      </c>
      <c r="AG108" t="s">
        <v>13213</v>
      </c>
      <c r="AH108">
        <v>20.420000000000002</v>
      </c>
      <c r="AI108" t="s">
        <v>13215</v>
      </c>
      <c r="AJ108">
        <v>39</v>
      </c>
      <c r="AK108" t="s">
        <v>13213</v>
      </c>
    </row>
    <row r="109" spans="1:37" x14ac:dyDescent="0.25">
      <c r="A109" t="s">
        <v>183</v>
      </c>
      <c r="B109" t="s">
        <v>13205</v>
      </c>
      <c r="C109" t="b">
        <v>1</v>
      </c>
      <c r="D109" t="b">
        <v>1</v>
      </c>
      <c r="E109">
        <v>20</v>
      </c>
      <c r="F109">
        <v>10</v>
      </c>
      <c r="G109">
        <v>10</v>
      </c>
      <c r="H109" t="s">
        <v>13206</v>
      </c>
      <c r="I109">
        <v>144</v>
      </c>
      <c r="J109">
        <v>0.23</v>
      </c>
      <c r="K109">
        <v>0.01</v>
      </c>
      <c r="L109" t="s">
        <v>859</v>
      </c>
      <c r="M109" t="s">
        <v>13207</v>
      </c>
      <c r="N109" t="s">
        <v>13208</v>
      </c>
      <c r="O109" t="s">
        <v>874</v>
      </c>
      <c r="P109" t="s">
        <v>13209</v>
      </c>
      <c r="Q109" t="s">
        <v>13210</v>
      </c>
      <c r="R109" t="s">
        <v>664</v>
      </c>
      <c r="S109" t="s">
        <v>13211</v>
      </c>
      <c r="T109" t="s">
        <v>2232</v>
      </c>
      <c r="U109">
        <v>200</v>
      </c>
      <c r="V109" t="b">
        <v>0</v>
      </c>
      <c r="W109" t="b">
        <v>0</v>
      </c>
      <c r="X109" t="b">
        <v>0</v>
      </c>
      <c r="Y109" t="s">
        <v>13212</v>
      </c>
      <c r="Z109">
        <v>12.4</v>
      </c>
      <c r="AA109" t="s">
        <v>13213</v>
      </c>
      <c r="AB109">
        <v>10</v>
      </c>
      <c r="AC109" t="s">
        <v>13213</v>
      </c>
      <c r="AD109">
        <v>12</v>
      </c>
      <c r="AE109" t="s">
        <v>13214</v>
      </c>
      <c r="AF109">
        <v>11.59</v>
      </c>
      <c r="AG109" t="s">
        <v>13213</v>
      </c>
      <c r="AH109">
        <v>8.75</v>
      </c>
      <c r="AI109" t="s">
        <v>13215</v>
      </c>
      <c r="AJ109">
        <v>15</v>
      </c>
      <c r="AK109" t="s">
        <v>13213</v>
      </c>
    </row>
    <row r="110" spans="1:37" x14ac:dyDescent="0.25">
      <c r="A110" t="s">
        <v>184</v>
      </c>
      <c r="B110" t="s">
        <v>13205</v>
      </c>
      <c r="C110" t="b">
        <v>1</v>
      </c>
      <c r="D110" t="b">
        <v>1</v>
      </c>
      <c r="E110">
        <v>20</v>
      </c>
      <c r="F110">
        <v>10</v>
      </c>
      <c r="G110">
        <v>10</v>
      </c>
      <c r="H110" t="s">
        <v>13206</v>
      </c>
      <c r="I110">
        <v>250</v>
      </c>
      <c r="J110">
        <v>0.33</v>
      </c>
      <c r="K110">
        <v>0.01</v>
      </c>
      <c r="L110" t="s">
        <v>859</v>
      </c>
      <c r="M110" t="s">
        <v>13207</v>
      </c>
      <c r="N110" t="s">
        <v>13208</v>
      </c>
      <c r="O110" t="s">
        <v>874</v>
      </c>
      <c r="P110" t="s">
        <v>665</v>
      </c>
      <c r="Q110" t="s">
        <v>13216</v>
      </c>
      <c r="R110" t="s">
        <v>665</v>
      </c>
      <c r="S110" t="s">
        <v>13217</v>
      </c>
      <c r="T110" t="s">
        <v>2237</v>
      </c>
      <c r="U110">
        <v>500</v>
      </c>
      <c r="V110" t="b">
        <v>0</v>
      </c>
      <c r="W110" t="b">
        <v>0</v>
      </c>
      <c r="X110" t="b">
        <v>0</v>
      </c>
      <c r="Y110" t="s">
        <v>13212</v>
      </c>
      <c r="Z110">
        <v>19.829999999999998</v>
      </c>
      <c r="AA110" t="s">
        <v>13213</v>
      </c>
      <c r="AB110">
        <v>16</v>
      </c>
      <c r="AC110" t="s">
        <v>13213</v>
      </c>
      <c r="AD110">
        <v>15.2</v>
      </c>
      <c r="AE110" t="s">
        <v>13214</v>
      </c>
      <c r="AF110">
        <v>17.68</v>
      </c>
      <c r="AG110" t="s">
        <v>13213</v>
      </c>
      <c r="AH110">
        <v>11.67</v>
      </c>
      <c r="AI110" t="s">
        <v>13215</v>
      </c>
      <c r="AJ110">
        <v>24</v>
      </c>
      <c r="AK110" t="s">
        <v>13213</v>
      </c>
    </row>
    <row r="111" spans="1:37" x14ac:dyDescent="0.25">
      <c r="A111" t="s">
        <v>185</v>
      </c>
      <c r="B111" t="s">
        <v>13205</v>
      </c>
      <c r="C111" t="b">
        <v>1</v>
      </c>
      <c r="D111" t="b">
        <v>1</v>
      </c>
      <c r="E111">
        <v>12</v>
      </c>
      <c r="F111">
        <v>14</v>
      </c>
      <c r="G111">
        <v>119</v>
      </c>
      <c r="H111" t="s">
        <v>13206</v>
      </c>
      <c r="I111">
        <v>75</v>
      </c>
      <c r="J111">
        <v>1.6</v>
      </c>
      <c r="K111">
        <v>0.34</v>
      </c>
      <c r="L111" t="s">
        <v>859</v>
      </c>
      <c r="M111" t="s">
        <v>13207</v>
      </c>
      <c r="N111" t="s">
        <v>13253</v>
      </c>
      <c r="O111" t="s">
        <v>874</v>
      </c>
      <c r="P111" t="s">
        <v>13294</v>
      </c>
      <c r="Q111" t="s">
        <v>13295</v>
      </c>
      <c r="R111" t="s">
        <v>13296</v>
      </c>
      <c r="S111" t="s">
        <v>13297</v>
      </c>
      <c r="T111" t="s">
        <v>2241</v>
      </c>
      <c r="U111">
        <v>500</v>
      </c>
      <c r="V111" t="b">
        <v>0</v>
      </c>
      <c r="W111" t="b">
        <v>0</v>
      </c>
      <c r="X111" t="b">
        <v>0</v>
      </c>
      <c r="Y111" t="s">
        <v>13212</v>
      </c>
      <c r="Z111">
        <v>40.5</v>
      </c>
      <c r="AA111" t="s">
        <v>13213</v>
      </c>
      <c r="AB111">
        <v>32.67</v>
      </c>
      <c r="AC111" t="s">
        <v>13213</v>
      </c>
      <c r="AD111">
        <v>39.200000000000003</v>
      </c>
      <c r="AE111" t="s">
        <v>13214</v>
      </c>
      <c r="AF111">
        <v>35.94</v>
      </c>
      <c r="AG111" t="s">
        <v>13213</v>
      </c>
      <c r="AH111">
        <v>29.75</v>
      </c>
      <c r="AI111" t="s">
        <v>13215</v>
      </c>
      <c r="AJ111">
        <v>49</v>
      </c>
      <c r="AK111" t="s">
        <v>13213</v>
      </c>
    </row>
    <row r="112" spans="1:37" x14ac:dyDescent="0.25">
      <c r="A112" t="s">
        <v>270</v>
      </c>
      <c r="B112" t="s">
        <v>13205</v>
      </c>
      <c r="C112" t="b">
        <v>1</v>
      </c>
      <c r="D112" t="b">
        <v>1</v>
      </c>
      <c r="E112">
        <v>14</v>
      </c>
      <c r="F112">
        <v>11</v>
      </c>
      <c r="G112">
        <v>15</v>
      </c>
      <c r="H112" t="s">
        <v>13206</v>
      </c>
      <c r="I112">
        <v>144</v>
      </c>
      <c r="J112">
        <v>0.6</v>
      </c>
      <c r="K112">
        <v>0.1</v>
      </c>
      <c r="L112" t="s">
        <v>859</v>
      </c>
      <c r="M112" t="s">
        <v>13207</v>
      </c>
      <c r="N112" t="s">
        <v>13208</v>
      </c>
      <c r="O112" t="s">
        <v>874</v>
      </c>
      <c r="P112" t="s">
        <v>13454</v>
      </c>
      <c r="Q112" t="s">
        <v>13455</v>
      </c>
      <c r="R112" t="s">
        <v>666</v>
      </c>
      <c r="S112" t="s">
        <v>13456</v>
      </c>
      <c r="T112" t="s">
        <v>302</v>
      </c>
      <c r="U112">
        <v>500</v>
      </c>
      <c r="V112" t="b">
        <v>0</v>
      </c>
      <c r="W112" t="b">
        <v>0</v>
      </c>
      <c r="X112" t="b">
        <v>0</v>
      </c>
      <c r="Y112" t="s">
        <v>13212</v>
      </c>
      <c r="Z112">
        <v>23.97</v>
      </c>
      <c r="AA112" t="s">
        <v>13213</v>
      </c>
      <c r="AB112">
        <v>19.329999999999998</v>
      </c>
      <c r="AC112" t="s">
        <v>13213</v>
      </c>
      <c r="AD112">
        <v>23.2</v>
      </c>
      <c r="AE112" t="s">
        <v>13214</v>
      </c>
      <c r="AF112">
        <v>21.34</v>
      </c>
      <c r="AG112" t="s">
        <v>13213</v>
      </c>
      <c r="AH112">
        <v>17.5</v>
      </c>
      <c r="AI112" t="s">
        <v>13215</v>
      </c>
      <c r="AJ112">
        <v>29</v>
      </c>
      <c r="AK112" t="s">
        <v>13213</v>
      </c>
    </row>
    <row r="113" spans="1:37" x14ac:dyDescent="0.25">
      <c r="A113" t="s">
        <v>204</v>
      </c>
      <c r="B113" t="s">
        <v>13205</v>
      </c>
      <c r="C113" t="b">
        <v>1</v>
      </c>
      <c r="D113" t="b">
        <v>1</v>
      </c>
      <c r="E113">
        <v>56</v>
      </c>
      <c r="F113">
        <v>23</v>
      </c>
      <c r="G113">
        <v>38</v>
      </c>
      <c r="H113" t="s">
        <v>13206</v>
      </c>
      <c r="I113">
        <v>45</v>
      </c>
      <c r="J113">
        <v>4.5999999999999996</v>
      </c>
      <c r="K113">
        <v>0.8</v>
      </c>
      <c r="L113" t="s">
        <v>859</v>
      </c>
      <c r="M113" t="s">
        <v>13207</v>
      </c>
      <c r="N113" t="s">
        <v>13282</v>
      </c>
      <c r="O113" t="s">
        <v>874</v>
      </c>
      <c r="P113" t="s">
        <v>13428</v>
      </c>
      <c r="Q113" t="s">
        <v>13429</v>
      </c>
      <c r="R113" t="s">
        <v>518</v>
      </c>
      <c r="S113" t="s">
        <v>13430</v>
      </c>
      <c r="T113" t="s">
        <v>2280</v>
      </c>
      <c r="U113">
        <v>0</v>
      </c>
      <c r="V113" t="b">
        <v>0</v>
      </c>
      <c r="W113" t="b">
        <v>0</v>
      </c>
      <c r="X113" t="b">
        <v>0</v>
      </c>
      <c r="Y113" t="s">
        <v>13286</v>
      </c>
      <c r="Z113">
        <v>65.290000000000006</v>
      </c>
      <c r="AA113" t="s">
        <v>13213</v>
      </c>
      <c r="AB113">
        <v>52.67</v>
      </c>
      <c r="AC113" t="s">
        <v>13213</v>
      </c>
      <c r="AD113">
        <v>63.2</v>
      </c>
      <c r="AE113" t="s">
        <v>13214</v>
      </c>
      <c r="AF113">
        <v>51.83</v>
      </c>
      <c r="AG113" t="s">
        <v>13213</v>
      </c>
      <c r="AH113">
        <v>42</v>
      </c>
      <c r="AI113" t="s">
        <v>13215</v>
      </c>
      <c r="AJ113">
        <v>79</v>
      </c>
      <c r="AK113" t="s">
        <v>13213</v>
      </c>
    </row>
    <row r="114" spans="1:37" x14ac:dyDescent="0.25">
      <c r="A114" t="s">
        <v>205</v>
      </c>
      <c r="B114" t="s">
        <v>13205</v>
      </c>
      <c r="C114" t="b">
        <v>1</v>
      </c>
      <c r="D114" t="b">
        <v>1</v>
      </c>
      <c r="E114">
        <v>56</v>
      </c>
      <c r="F114">
        <v>23</v>
      </c>
      <c r="G114">
        <v>38</v>
      </c>
      <c r="H114" t="s">
        <v>13206</v>
      </c>
      <c r="I114">
        <v>45</v>
      </c>
      <c r="J114">
        <v>4.5999999999999996</v>
      </c>
      <c r="K114">
        <v>0.8</v>
      </c>
      <c r="L114" t="s">
        <v>859</v>
      </c>
      <c r="M114" t="s">
        <v>13207</v>
      </c>
      <c r="N114" t="s">
        <v>13282</v>
      </c>
      <c r="O114" t="s">
        <v>874</v>
      </c>
      <c r="P114" t="s">
        <v>13435</v>
      </c>
      <c r="Q114" t="s">
        <v>13436</v>
      </c>
      <c r="R114" t="s">
        <v>13437</v>
      </c>
      <c r="S114" t="s">
        <v>13438</v>
      </c>
      <c r="T114" t="s">
        <v>2282</v>
      </c>
      <c r="U114">
        <v>0</v>
      </c>
      <c r="V114" t="b">
        <v>0</v>
      </c>
      <c r="W114" t="b">
        <v>0</v>
      </c>
      <c r="X114" t="b">
        <v>0</v>
      </c>
      <c r="Y114" t="s">
        <v>13286</v>
      </c>
      <c r="Z114">
        <v>65.290000000000006</v>
      </c>
      <c r="AA114" t="s">
        <v>13213</v>
      </c>
      <c r="AB114">
        <v>52.67</v>
      </c>
      <c r="AC114" t="s">
        <v>13213</v>
      </c>
      <c r="AD114">
        <v>63.2</v>
      </c>
      <c r="AE114" t="s">
        <v>13214</v>
      </c>
      <c r="AF114">
        <v>51.83</v>
      </c>
      <c r="AG114" t="s">
        <v>13213</v>
      </c>
      <c r="AH114">
        <v>42</v>
      </c>
      <c r="AI114" t="s">
        <v>13215</v>
      </c>
      <c r="AJ114">
        <v>79</v>
      </c>
      <c r="AK114" t="s">
        <v>13213</v>
      </c>
    </row>
    <row r="115" spans="1:37" x14ac:dyDescent="0.25">
      <c r="A115" t="s">
        <v>206</v>
      </c>
      <c r="B115" t="s">
        <v>13205</v>
      </c>
      <c r="C115" t="b">
        <v>1</v>
      </c>
      <c r="D115" t="b">
        <v>1</v>
      </c>
      <c r="E115">
        <v>56</v>
      </c>
      <c r="F115">
        <v>23</v>
      </c>
      <c r="G115">
        <v>38</v>
      </c>
      <c r="H115" t="s">
        <v>13206</v>
      </c>
      <c r="I115">
        <v>45</v>
      </c>
      <c r="J115">
        <v>4.5999999999999996</v>
      </c>
      <c r="K115">
        <v>0.8</v>
      </c>
      <c r="L115" t="s">
        <v>859</v>
      </c>
      <c r="M115" t="s">
        <v>13207</v>
      </c>
      <c r="N115" t="s">
        <v>13282</v>
      </c>
      <c r="O115" t="s">
        <v>874</v>
      </c>
      <c r="P115" t="s">
        <v>13364</v>
      </c>
      <c r="Q115" t="s">
        <v>13365</v>
      </c>
      <c r="R115" t="s">
        <v>519</v>
      </c>
      <c r="S115" t="s">
        <v>13366</v>
      </c>
      <c r="T115" t="s">
        <v>2284</v>
      </c>
      <c r="U115">
        <v>0</v>
      </c>
      <c r="V115" t="b">
        <v>0</v>
      </c>
      <c r="W115" t="b">
        <v>0</v>
      </c>
      <c r="X115" t="b">
        <v>0</v>
      </c>
      <c r="Y115" t="s">
        <v>13286</v>
      </c>
      <c r="Z115">
        <v>65.290000000000006</v>
      </c>
      <c r="AA115" t="s">
        <v>13213</v>
      </c>
      <c r="AB115">
        <v>52.67</v>
      </c>
      <c r="AC115" t="s">
        <v>13213</v>
      </c>
      <c r="AD115">
        <v>63.2</v>
      </c>
      <c r="AE115" t="s">
        <v>13214</v>
      </c>
      <c r="AF115">
        <v>51.83</v>
      </c>
      <c r="AG115" t="s">
        <v>13213</v>
      </c>
      <c r="AH115">
        <v>42</v>
      </c>
      <c r="AI115" t="s">
        <v>13215</v>
      </c>
      <c r="AJ115">
        <v>79</v>
      </c>
      <c r="AK115" t="s">
        <v>13213</v>
      </c>
    </row>
    <row r="116" spans="1:37" x14ac:dyDescent="0.25">
      <c r="A116" t="s">
        <v>207</v>
      </c>
      <c r="B116" t="s">
        <v>13205</v>
      </c>
      <c r="C116" t="b">
        <v>1</v>
      </c>
      <c r="D116" t="b">
        <v>1</v>
      </c>
      <c r="E116">
        <v>56</v>
      </c>
      <c r="F116">
        <v>23</v>
      </c>
      <c r="G116">
        <v>38</v>
      </c>
      <c r="H116" t="s">
        <v>13206</v>
      </c>
      <c r="I116">
        <v>45</v>
      </c>
      <c r="J116">
        <v>4.5999999999999996</v>
      </c>
      <c r="K116">
        <v>0.8</v>
      </c>
      <c r="L116" t="s">
        <v>859</v>
      </c>
      <c r="M116" t="s">
        <v>13207</v>
      </c>
      <c r="N116" t="s">
        <v>13282</v>
      </c>
      <c r="O116" t="s">
        <v>874</v>
      </c>
      <c r="P116" t="s">
        <v>13431</v>
      </c>
      <c r="Q116" t="s">
        <v>13432</v>
      </c>
      <c r="R116" t="s">
        <v>13433</v>
      </c>
      <c r="S116" t="s">
        <v>13434</v>
      </c>
      <c r="T116" t="s">
        <v>2286</v>
      </c>
      <c r="U116">
        <v>0</v>
      </c>
      <c r="V116" t="b">
        <v>0</v>
      </c>
      <c r="W116" t="b">
        <v>0</v>
      </c>
      <c r="X116" t="b">
        <v>0</v>
      </c>
      <c r="Y116" t="s">
        <v>13286</v>
      </c>
      <c r="Z116">
        <v>65.290000000000006</v>
      </c>
      <c r="AA116" t="s">
        <v>13213</v>
      </c>
      <c r="AB116">
        <v>52.67</v>
      </c>
      <c r="AC116" t="s">
        <v>13213</v>
      </c>
      <c r="AD116">
        <v>63.2</v>
      </c>
      <c r="AE116" t="s">
        <v>13214</v>
      </c>
      <c r="AF116">
        <v>51.83</v>
      </c>
      <c r="AG116" t="s">
        <v>13213</v>
      </c>
      <c r="AH116">
        <v>42</v>
      </c>
      <c r="AI116" t="s">
        <v>13215</v>
      </c>
      <c r="AJ116">
        <v>79</v>
      </c>
      <c r="AK116" t="s">
        <v>13213</v>
      </c>
    </row>
    <row r="117" spans="1:37" x14ac:dyDescent="0.25">
      <c r="A117" t="s">
        <v>208</v>
      </c>
      <c r="B117" t="s">
        <v>13205</v>
      </c>
      <c r="C117" t="b">
        <v>1</v>
      </c>
      <c r="D117" t="b">
        <v>1</v>
      </c>
      <c r="E117">
        <v>56</v>
      </c>
      <c r="F117">
        <v>23</v>
      </c>
      <c r="G117">
        <v>38</v>
      </c>
      <c r="H117" t="s">
        <v>13206</v>
      </c>
      <c r="I117">
        <v>45</v>
      </c>
      <c r="J117">
        <v>4.5999999999999996</v>
      </c>
      <c r="K117">
        <v>0.8</v>
      </c>
      <c r="L117" t="s">
        <v>859</v>
      </c>
      <c r="M117" t="s">
        <v>13207</v>
      </c>
      <c r="N117" t="s">
        <v>13282</v>
      </c>
      <c r="O117" t="s">
        <v>874</v>
      </c>
      <c r="P117" t="s">
        <v>13367</v>
      </c>
      <c r="Q117" t="s">
        <v>13368</v>
      </c>
      <c r="R117" t="s">
        <v>13369</v>
      </c>
      <c r="S117" t="s">
        <v>13370</v>
      </c>
      <c r="T117" t="s">
        <v>2288</v>
      </c>
      <c r="U117">
        <v>0</v>
      </c>
      <c r="V117" t="b">
        <v>0</v>
      </c>
      <c r="W117" t="b">
        <v>0</v>
      </c>
      <c r="X117" t="b">
        <v>0</v>
      </c>
      <c r="Y117" t="s">
        <v>13286</v>
      </c>
      <c r="Z117">
        <v>65.290000000000006</v>
      </c>
      <c r="AA117" t="s">
        <v>13213</v>
      </c>
      <c r="AB117">
        <v>52.67</v>
      </c>
      <c r="AC117" t="s">
        <v>13213</v>
      </c>
      <c r="AD117">
        <v>63.2</v>
      </c>
      <c r="AE117" t="s">
        <v>13214</v>
      </c>
      <c r="AF117">
        <v>51.83</v>
      </c>
      <c r="AG117" t="s">
        <v>13213</v>
      </c>
      <c r="AH117">
        <v>42</v>
      </c>
      <c r="AI117" t="s">
        <v>13215</v>
      </c>
      <c r="AJ117">
        <v>79</v>
      </c>
      <c r="AK117" t="s">
        <v>13213</v>
      </c>
    </row>
    <row r="118" spans="1:37" x14ac:dyDescent="0.25">
      <c r="A118" t="s">
        <v>209</v>
      </c>
      <c r="B118" t="s">
        <v>13205</v>
      </c>
      <c r="C118" t="b">
        <v>1</v>
      </c>
      <c r="D118" t="b">
        <v>1</v>
      </c>
      <c r="E118">
        <v>56</v>
      </c>
      <c r="F118">
        <v>23</v>
      </c>
      <c r="G118">
        <v>38</v>
      </c>
      <c r="H118" t="s">
        <v>13206</v>
      </c>
      <c r="I118">
        <v>45</v>
      </c>
      <c r="J118">
        <v>4.5999999999999996</v>
      </c>
      <c r="K118">
        <v>0.8</v>
      </c>
      <c r="L118" t="s">
        <v>859</v>
      </c>
      <c r="M118" t="s">
        <v>13207</v>
      </c>
      <c r="N118" t="s">
        <v>13282</v>
      </c>
      <c r="O118" t="s">
        <v>874</v>
      </c>
      <c r="P118" t="s">
        <v>13371</v>
      </c>
      <c r="Q118" t="s">
        <v>13372</v>
      </c>
      <c r="R118" t="s">
        <v>13373</v>
      </c>
      <c r="S118" t="s">
        <v>13374</v>
      </c>
      <c r="T118" t="s">
        <v>2290</v>
      </c>
      <c r="U118">
        <v>0</v>
      </c>
      <c r="V118" t="b">
        <v>0</v>
      </c>
      <c r="W118" t="b">
        <v>0</v>
      </c>
      <c r="X118" t="b">
        <v>0</v>
      </c>
      <c r="Y118" t="s">
        <v>13286</v>
      </c>
      <c r="Z118">
        <v>65.290000000000006</v>
      </c>
      <c r="AA118" t="s">
        <v>13213</v>
      </c>
      <c r="AB118">
        <v>52.67</v>
      </c>
      <c r="AC118" t="s">
        <v>13213</v>
      </c>
      <c r="AD118">
        <v>63.2</v>
      </c>
      <c r="AE118" t="s">
        <v>13214</v>
      </c>
      <c r="AF118">
        <v>51.83</v>
      </c>
      <c r="AG118" t="s">
        <v>13213</v>
      </c>
      <c r="AH118">
        <v>42</v>
      </c>
      <c r="AI118" t="s">
        <v>13215</v>
      </c>
      <c r="AJ118">
        <v>79</v>
      </c>
      <c r="AK118" t="s">
        <v>13213</v>
      </c>
    </row>
    <row r="119" spans="1:37" x14ac:dyDescent="0.25">
      <c r="A119" t="s">
        <v>210</v>
      </c>
      <c r="B119" t="s">
        <v>13205</v>
      </c>
      <c r="C119" t="b">
        <v>1</v>
      </c>
      <c r="D119" t="b">
        <v>1</v>
      </c>
      <c r="E119">
        <v>56</v>
      </c>
      <c r="F119">
        <v>23</v>
      </c>
      <c r="G119">
        <v>38</v>
      </c>
      <c r="H119" t="s">
        <v>13206</v>
      </c>
      <c r="I119">
        <v>45</v>
      </c>
      <c r="J119">
        <v>4.5999999999999996</v>
      </c>
      <c r="K119">
        <v>0.8</v>
      </c>
      <c r="L119" t="s">
        <v>859</v>
      </c>
      <c r="M119" t="s">
        <v>13207</v>
      </c>
      <c r="N119" t="s">
        <v>13282</v>
      </c>
      <c r="O119" t="s">
        <v>874</v>
      </c>
      <c r="P119" t="s">
        <v>13375</v>
      </c>
      <c r="Q119" t="s">
        <v>13376</v>
      </c>
      <c r="R119" t="s">
        <v>13377</v>
      </c>
      <c r="S119" t="s">
        <v>13378</v>
      </c>
      <c r="T119" t="s">
        <v>2292</v>
      </c>
      <c r="U119">
        <v>0</v>
      </c>
      <c r="V119" t="b">
        <v>0</v>
      </c>
      <c r="W119" t="b">
        <v>0</v>
      </c>
      <c r="X119" t="b">
        <v>0</v>
      </c>
      <c r="Y119" t="s">
        <v>13286</v>
      </c>
      <c r="Z119">
        <v>65.290000000000006</v>
      </c>
      <c r="AA119" t="s">
        <v>13213</v>
      </c>
      <c r="AB119">
        <v>52.67</v>
      </c>
      <c r="AC119" t="s">
        <v>13213</v>
      </c>
      <c r="AD119">
        <v>63.2</v>
      </c>
      <c r="AE119" t="s">
        <v>13214</v>
      </c>
      <c r="AF119">
        <v>51.83</v>
      </c>
      <c r="AG119" t="s">
        <v>13213</v>
      </c>
      <c r="AH119">
        <v>42</v>
      </c>
      <c r="AI119" t="s">
        <v>13215</v>
      </c>
      <c r="AJ119">
        <v>79</v>
      </c>
      <c r="AK119" t="s">
        <v>13213</v>
      </c>
    </row>
    <row r="120" spans="1:37" x14ac:dyDescent="0.25">
      <c r="A120" t="s">
        <v>211</v>
      </c>
      <c r="B120" t="s">
        <v>13205</v>
      </c>
      <c r="C120" t="b">
        <v>1</v>
      </c>
      <c r="D120" t="b">
        <v>1</v>
      </c>
      <c r="E120">
        <v>56</v>
      </c>
      <c r="F120">
        <v>23</v>
      </c>
      <c r="G120">
        <v>38</v>
      </c>
      <c r="H120" t="s">
        <v>13206</v>
      </c>
      <c r="I120">
        <v>45</v>
      </c>
      <c r="J120">
        <v>4.5999999999999996</v>
      </c>
      <c r="K120">
        <v>0.8</v>
      </c>
      <c r="L120" t="s">
        <v>859</v>
      </c>
      <c r="M120" t="s">
        <v>13207</v>
      </c>
      <c r="N120" t="s">
        <v>13282</v>
      </c>
      <c r="O120" t="s">
        <v>874</v>
      </c>
      <c r="P120" t="s">
        <v>13379</v>
      </c>
      <c r="Q120" t="s">
        <v>13380</v>
      </c>
      <c r="R120" t="s">
        <v>684</v>
      </c>
      <c r="S120" t="s">
        <v>13381</v>
      </c>
      <c r="T120" t="s">
        <v>2294</v>
      </c>
      <c r="U120">
        <v>0</v>
      </c>
      <c r="V120" t="b">
        <v>0</v>
      </c>
      <c r="W120" t="b">
        <v>0</v>
      </c>
      <c r="X120" t="b">
        <v>0</v>
      </c>
      <c r="Y120" t="s">
        <v>13286</v>
      </c>
      <c r="Z120">
        <v>65.290000000000006</v>
      </c>
      <c r="AA120" t="s">
        <v>13213</v>
      </c>
      <c r="AB120">
        <v>52.67</v>
      </c>
      <c r="AC120" t="s">
        <v>13213</v>
      </c>
      <c r="AD120">
        <v>63.2</v>
      </c>
      <c r="AE120" t="s">
        <v>13214</v>
      </c>
      <c r="AF120">
        <v>51.83</v>
      </c>
      <c r="AG120" t="s">
        <v>13213</v>
      </c>
      <c r="AH120">
        <v>42</v>
      </c>
      <c r="AI120" t="s">
        <v>13215</v>
      </c>
      <c r="AJ120">
        <v>79</v>
      </c>
      <c r="AK120" t="s">
        <v>13213</v>
      </c>
    </row>
    <row r="121" spans="1:37" x14ac:dyDescent="0.25">
      <c r="A121" t="s">
        <v>212</v>
      </c>
      <c r="B121" t="s">
        <v>13205</v>
      </c>
      <c r="C121" t="b">
        <v>1</v>
      </c>
      <c r="D121" t="b">
        <v>1</v>
      </c>
      <c r="E121">
        <v>56</v>
      </c>
      <c r="F121">
        <v>23</v>
      </c>
      <c r="G121">
        <v>38</v>
      </c>
      <c r="H121" t="s">
        <v>13206</v>
      </c>
      <c r="I121">
        <v>45</v>
      </c>
      <c r="J121">
        <v>4.5999999999999996</v>
      </c>
      <c r="K121">
        <v>0.8</v>
      </c>
      <c r="L121" t="s">
        <v>859</v>
      </c>
      <c r="M121" t="s">
        <v>13207</v>
      </c>
      <c r="N121" t="s">
        <v>13282</v>
      </c>
      <c r="O121" t="s">
        <v>874</v>
      </c>
      <c r="P121" t="s">
        <v>13382</v>
      </c>
      <c r="Q121" t="s">
        <v>13383</v>
      </c>
      <c r="R121" t="s">
        <v>13384</v>
      </c>
      <c r="S121" t="s">
        <v>13385</v>
      </c>
      <c r="T121" t="s">
        <v>2296</v>
      </c>
      <c r="U121">
        <v>0</v>
      </c>
      <c r="V121" t="b">
        <v>0</v>
      </c>
      <c r="W121" t="b">
        <v>0</v>
      </c>
      <c r="X121" t="b">
        <v>0</v>
      </c>
      <c r="Y121" t="s">
        <v>13286</v>
      </c>
      <c r="Z121">
        <v>65.290000000000006</v>
      </c>
      <c r="AA121" t="s">
        <v>13213</v>
      </c>
      <c r="AB121">
        <v>52.67</v>
      </c>
      <c r="AC121" t="s">
        <v>13213</v>
      </c>
      <c r="AD121">
        <v>63.2</v>
      </c>
      <c r="AE121" t="s">
        <v>13214</v>
      </c>
      <c r="AF121">
        <v>51.83</v>
      </c>
      <c r="AG121" t="s">
        <v>13213</v>
      </c>
      <c r="AH121">
        <v>42</v>
      </c>
      <c r="AI121" t="s">
        <v>13215</v>
      </c>
      <c r="AJ121">
        <v>79</v>
      </c>
      <c r="AK121" t="s">
        <v>13213</v>
      </c>
    </row>
    <row r="122" spans="1:37" x14ac:dyDescent="0.25">
      <c r="A122" t="s">
        <v>213</v>
      </c>
      <c r="B122" t="s">
        <v>13205</v>
      </c>
      <c r="C122" t="b">
        <v>1</v>
      </c>
      <c r="D122" t="b">
        <v>1</v>
      </c>
      <c r="E122">
        <v>56</v>
      </c>
      <c r="F122">
        <v>23</v>
      </c>
      <c r="G122">
        <v>38</v>
      </c>
      <c r="H122" t="s">
        <v>13206</v>
      </c>
      <c r="I122">
        <v>45</v>
      </c>
      <c r="J122">
        <v>4.5999999999999996</v>
      </c>
      <c r="K122">
        <v>0.8</v>
      </c>
      <c r="L122" t="s">
        <v>859</v>
      </c>
      <c r="M122" t="s">
        <v>13207</v>
      </c>
      <c r="N122" t="s">
        <v>13282</v>
      </c>
      <c r="O122" t="s">
        <v>874</v>
      </c>
      <c r="P122" t="s">
        <v>13386</v>
      </c>
      <c r="Q122" t="s">
        <v>13387</v>
      </c>
      <c r="R122" t="s">
        <v>13388</v>
      </c>
      <c r="S122" t="s">
        <v>13389</v>
      </c>
      <c r="T122" t="s">
        <v>2298</v>
      </c>
      <c r="U122">
        <v>0</v>
      </c>
      <c r="V122" t="b">
        <v>0</v>
      </c>
      <c r="W122" t="b">
        <v>0</v>
      </c>
      <c r="X122" t="b">
        <v>0</v>
      </c>
      <c r="Y122" t="s">
        <v>13286</v>
      </c>
      <c r="Z122">
        <v>65.290000000000006</v>
      </c>
      <c r="AA122" t="s">
        <v>13213</v>
      </c>
      <c r="AB122">
        <v>52.67</v>
      </c>
      <c r="AC122" t="s">
        <v>13213</v>
      </c>
      <c r="AD122">
        <v>63.2</v>
      </c>
      <c r="AE122" t="s">
        <v>13214</v>
      </c>
      <c r="AF122">
        <v>51.83</v>
      </c>
      <c r="AG122" t="s">
        <v>13213</v>
      </c>
      <c r="AH122">
        <v>42</v>
      </c>
      <c r="AI122" t="s">
        <v>13215</v>
      </c>
      <c r="AJ122">
        <v>79</v>
      </c>
      <c r="AK122" t="s">
        <v>13213</v>
      </c>
    </row>
    <row r="123" spans="1:37" x14ac:dyDescent="0.25">
      <c r="A123" t="s">
        <v>214</v>
      </c>
      <c r="B123" t="s">
        <v>13205</v>
      </c>
      <c r="C123" t="b">
        <v>1</v>
      </c>
      <c r="D123" t="b">
        <v>1</v>
      </c>
      <c r="E123">
        <v>56</v>
      </c>
      <c r="F123">
        <v>23</v>
      </c>
      <c r="G123">
        <v>38</v>
      </c>
      <c r="H123" t="s">
        <v>13206</v>
      </c>
      <c r="I123">
        <v>45</v>
      </c>
      <c r="J123">
        <v>4.5999999999999996</v>
      </c>
      <c r="K123">
        <v>0.8</v>
      </c>
      <c r="L123" t="s">
        <v>859</v>
      </c>
      <c r="M123" t="s">
        <v>13207</v>
      </c>
      <c r="N123" t="s">
        <v>13282</v>
      </c>
      <c r="O123" t="s">
        <v>874</v>
      </c>
      <c r="P123" t="s">
        <v>13390</v>
      </c>
      <c r="Q123" t="s">
        <v>13391</v>
      </c>
      <c r="R123" t="s">
        <v>13392</v>
      </c>
      <c r="S123" t="s">
        <v>13393</v>
      </c>
      <c r="T123" t="s">
        <v>2300</v>
      </c>
      <c r="U123">
        <v>0</v>
      </c>
      <c r="V123" t="b">
        <v>0</v>
      </c>
      <c r="W123" t="b">
        <v>0</v>
      </c>
      <c r="X123" t="b">
        <v>0</v>
      </c>
      <c r="Y123" t="s">
        <v>13286</v>
      </c>
      <c r="Z123">
        <v>65.290000000000006</v>
      </c>
      <c r="AA123" t="s">
        <v>13213</v>
      </c>
      <c r="AB123">
        <v>52.67</v>
      </c>
      <c r="AC123" t="s">
        <v>13213</v>
      </c>
      <c r="AD123">
        <v>63.2</v>
      </c>
      <c r="AE123" t="s">
        <v>13214</v>
      </c>
      <c r="AF123">
        <v>51.83</v>
      </c>
      <c r="AG123" t="s">
        <v>13213</v>
      </c>
      <c r="AH123">
        <v>42</v>
      </c>
      <c r="AI123" t="s">
        <v>13215</v>
      </c>
      <c r="AJ123">
        <v>79</v>
      </c>
      <c r="AK123" t="s">
        <v>13213</v>
      </c>
    </row>
    <row r="124" spans="1:37" x14ac:dyDescent="0.25">
      <c r="A124" t="s">
        <v>215</v>
      </c>
      <c r="B124" t="s">
        <v>13205</v>
      </c>
      <c r="C124" t="b">
        <v>1</v>
      </c>
      <c r="D124" t="b">
        <v>1</v>
      </c>
      <c r="E124">
        <v>56</v>
      </c>
      <c r="F124">
        <v>23</v>
      </c>
      <c r="G124">
        <v>38</v>
      </c>
      <c r="H124" t="s">
        <v>13206</v>
      </c>
      <c r="I124">
        <v>45</v>
      </c>
      <c r="J124">
        <v>4.5999999999999996</v>
      </c>
      <c r="K124">
        <v>0.8</v>
      </c>
      <c r="L124" t="s">
        <v>859</v>
      </c>
      <c r="M124" t="s">
        <v>13207</v>
      </c>
      <c r="N124" t="s">
        <v>13282</v>
      </c>
      <c r="O124" t="s">
        <v>874</v>
      </c>
      <c r="P124" t="s">
        <v>13394</v>
      </c>
      <c r="Q124" t="s">
        <v>13395</v>
      </c>
      <c r="R124" t="s">
        <v>13396</v>
      </c>
      <c r="S124" t="s">
        <v>13397</v>
      </c>
      <c r="T124" t="s">
        <v>2302</v>
      </c>
      <c r="U124">
        <v>0</v>
      </c>
      <c r="V124" t="b">
        <v>0</v>
      </c>
      <c r="W124" t="b">
        <v>0</v>
      </c>
      <c r="X124" t="b">
        <v>0</v>
      </c>
      <c r="Y124" t="s">
        <v>13286</v>
      </c>
      <c r="Z124">
        <v>65.290000000000006</v>
      </c>
      <c r="AA124" t="s">
        <v>13213</v>
      </c>
      <c r="AB124">
        <v>52.67</v>
      </c>
      <c r="AC124" t="s">
        <v>13213</v>
      </c>
      <c r="AD124">
        <v>63.2</v>
      </c>
      <c r="AE124" t="s">
        <v>13214</v>
      </c>
      <c r="AF124">
        <v>51.83</v>
      </c>
      <c r="AG124" t="s">
        <v>13213</v>
      </c>
      <c r="AH124">
        <v>42</v>
      </c>
      <c r="AI124" t="s">
        <v>13215</v>
      </c>
      <c r="AJ124">
        <v>79</v>
      </c>
      <c r="AK124" t="s">
        <v>13213</v>
      </c>
    </row>
    <row r="125" spans="1:37" x14ac:dyDescent="0.25">
      <c r="A125" t="s">
        <v>216</v>
      </c>
      <c r="B125" t="s">
        <v>13205</v>
      </c>
      <c r="C125" t="b">
        <v>1</v>
      </c>
      <c r="D125" t="b">
        <v>1</v>
      </c>
      <c r="E125">
        <v>56</v>
      </c>
      <c r="F125">
        <v>23</v>
      </c>
      <c r="G125">
        <v>38</v>
      </c>
      <c r="H125" t="s">
        <v>13206</v>
      </c>
      <c r="I125">
        <v>45</v>
      </c>
      <c r="J125">
        <v>4.5999999999999996</v>
      </c>
      <c r="K125">
        <v>0.8</v>
      </c>
      <c r="L125" t="s">
        <v>859</v>
      </c>
      <c r="M125" t="s">
        <v>13207</v>
      </c>
      <c r="N125" t="s">
        <v>13282</v>
      </c>
      <c r="O125" t="s">
        <v>874</v>
      </c>
      <c r="P125" t="s">
        <v>13398</v>
      </c>
      <c r="Q125" t="s">
        <v>13399</v>
      </c>
      <c r="R125" t="s">
        <v>13400</v>
      </c>
      <c r="S125" t="s">
        <v>13401</v>
      </c>
      <c r="T125" t="s">
        <v>2304</v>
      </c>
      <c r="U125">
        <v>0</v>
      </c>
      <c r="V125" t="b">
        <v>0</v>
      </c>
      <c r="W125" t="b">
        <v>0</v>
      </c>
      <c r="X125" t="b">
        <v>0</v>
      </c>
      <c r="Y125" t="s">
        <v>13286</v>
      </c>
      <c r="Z125">
        <v>65.290000000000006</v>
      </c>
      <c r="AA125" t="s">
        <v>13213</v>
      </c>
      <c r="AB125">
        <v>52.67</v>
      </c>
      <c r="AC125" t="s">
        <v>13213</v>
      </c>
      <c r="AD125">
        <v>63.2</v>
      </c>
      <c r="AE125" t="s">
        <v>13214</v>
      </c>
      <c r="AF125">
        <v>51.83</v>
      </c>
      <c r="AG125" t="s">
        <v>13213</v>
      </c>
      <c r="AH125">
        <v>42</v>
      </c>
      <c r="AI125" t="s">
        <v>13215</v>
      </c>
      <c r="AJ125">
        <v>79</v>
      </c>
      <c r="AK125" t="s">
        <v>13213</v>
      </c>
    </row>
    <row r="126" spans="1:37" x14ac:dyDescent="0.25">
      <c r="A126" t="s">
        <v>217</v>
      </c>
      <c r="B126" t="s">
        <v>13205</v>
      </c>
      <c r="C126" t="b">
        <v>1</v>
      </c>
      <c r="D126" t="b">
        <v>1</v>
      </c>
      <c r="E126">
        <v>56</v>
      </c>
      <c r="F126">
        <v>23</v>
      </c>
      <c r="G126">
        <v>38</v>
      </c>
      <c r="H126" t="s">
        <v>13206</v>
      </c>
      <c r="I126">
        <v>45</v>
      </c>
      <c r="J126">
        <v>4.5999999999999996</v>
      </c>
      <c r="K126">
        <v>0.8</v>
      </c>
      <c r="L126" t="s">
        <v>859</v>
      </c>
      <c r="M126" t="s">
        <v>13207</v>
      </c>
      <c r="N126" t="s">
        <v>13282</v>
      </c>
      <c r="O126" t="s">
        <v>874</v>
      </c>
      <c r="P126" t="s">
        <v>13402</v>
      </c>
      <c r="Q126" t="s">
        <v>13403</v>
      </c>
      <c r="R126" t="s">
        <v>520</v>
      </c>
      <c r="S126" t="s">
        <v>13404</v>
      </c>
      <c r="T126" t="s">
        <v>2306</v>
      </c>
      <c r="U126">
        <v>0</v>
      </c>
      <c r="V126" t="b">
        <v>0</v>
      </c>
      <c r="W126" t="b">
        <v>0</v>
      </c>
      <c r="X126" t="b">
        <v>0</v>
      </c>
      <c r="Y126" t="s">
        <v>13286</v>
      </c>
      <c r="Z126">
        <v>65.290000000000006</v>
      </c>
      <c r="AA126" t="s">
        <v>13213</v>
      </c>
      <c r="AB126">
        <v>52.67</v>
      </c>
      <c r="AC126" t="s">
        <v>13213</v>
      </c>
      <c r="AD126">
        <v>63.2</v>
      </c>
      <c r="AE126" t="s">
        <v>13214</v>
      </c>
      <c r="AF126">
        <v>51.83</v>
      </c>
      <c r="AG126" t="s">
        <v>13213</v>
      </c>
      <c r="AH126">
        <v>42</v>
      </c>
      <c r="AI126" t="s">
        <v>13215</v>
      </c>
      <c r="AJ126">
        <v>79</v>
      </c>
      <c r="AK126" t="s">
        <v>13213</v>
      </c>
    </row>
    <row r="127" spans="1:37" x14ac:dyDescent="0.25">
      <c r="A127" t="s">
        <v>298</v>
      </c>
      <c r="B127" t="s">
        <v>13205</v>
      </c>
      <c r="C127" t="b">
        <v>1</v>
      </c>
      <c r="D127" t="b">
        <v>1</v>
      </c>
      <c r="E127">
        <v>42</v>
      </c>
      <c r="F127">
        <v>11</v>
      </c>
      <c r="G127">
        <v>24</v>
      </c>
      <c r="H127" t="s">
        <v>13206</v>
      </c>
      <c r="I127">
        <v>90</v>
      </c>
      <c r="J127">
        <v>5.7</v>
      </c>
      <c r="K127">
        <v>0.2</v>
      </c>
      <c r="L127" t="s">
        <v>859</v>
      </c>
      <c r="M127" t="s">
        <v>13207</v>
      </c>
      <c r="N127" t="s">
        <v>13253</v>
      </c>
      <c r="O127" t="s">
        <v>874</v>
      </c>
      <c r="P127" t="s">
        <v>13659</v>
      </c>
      <c r="Q127" t="s">
        <v>13660</v>
      </c>
      <c r="R127" t="s">
        <v>13661</v>
      </c>
      <c r="S127" t="s">
        <v>13662</v>
      </c>
      <c r="T127" t="s">
        <v>303</v>
      </c>
      <c r="U127">
        <v>500</v>
      </c>
      <c r="V127" t="b">
        <v>0</v>
      </c>
      <c r="W127" t="b">
        <v>0</v>
      </c>
      <c r="X127" t="b">
        <v>0</v>
      </c>
      <c r="Y127" t="s">
        <v>13212</v>
      </c>
      <c r="Z127">
        <v>73.55</v>
      </c>
      <c r="AA127" t="s">
        <v>13213</v>
      </c>
      <c r="AB127">
        <v>59.33</v>
      </c>
      <c r="AC127" t="s">
        <v>13213</v>
      </c>
      <c r="AD127">
        <v>63.2</v>
      </c>
      <c r="AE127" t="s">
        <v>13214</v>
      </c>
      <c r="AF127">
        <v>60.37</v>
      </c>
      <c r="AG127" t="s">
        <v>13213</v>
      </c>
      <c r="AH127">
        <v>49</v>
      </c>
      <c r="AI127" t="s">
        <v>13215</v>
      </c>
      <c r="AJ127">
        <v>89</v>
      </c>
      <c r="AK127" t="s">
        <v>13213</v>
      </c>
    </row>
    <row r="128" spans="1:37" x14ac:dyDescent="0.25">
      <c r="A128" t="s">
        <v>187</v>
      </c>
      <c r="B128" t="s">
        <v>13205</v>
      </c>
      <c r="C128" t="b">
        <v>1</v>
      </c>
      <c r="D128" t="b">
        <v>1</v>
      </c>
      <c r="E128">
        <v>62</v>
      </c>
      <c r="F128">
        <v>19.5</v>
      </c>
      <c r="G128">
        <v>38.5</v>
      </c>
      <c r="H128" t="s">
        <v>13206</v>
      </c>
      <c r="I128">
        <v>35</v>
      </c>
      <c r="J128">
        <v>5.8</v>
      </c>
      <c r="K128">
        <v>0.7</v>
      </c>
      <c r="L128" t="s">
        <v>859</v>
      </c>
      <c r="M128" t="s">
        <v>13207</v>
      </c>
      <c r="N128" t="s">
        <v>13253</v>
      </c>
      <c r="O128" t="s">
        <v>874</v>
      </c>
      <c r="P128" t="s">
        <v>13257</v>
      </c>
      <c r="Q128" t="s">
        <v>13258</v>
      </c>
      <c r="R128" t="s">
        <v>13259</v>
      </c>
      <c r="S128" t="s">
        <v>13260</v>
      </c>
      <c r="T128" t="s">
        <v>2343</v>
      </c>
      <c r="U128">
        <v>0</v>
      </c>
      <c r="V128" t="b">
        <v>0</v>
      </c>
      <c r="W128" t="b">
        <v>0</v>
      </c>
      <c r="X128" t="b">
        <v>0</v>
      </c>
      <c r="Y128" t="s">
        <v>13212</v>
      </c>
      <c r="Z128">
        <v>73.55</v>
      </c>
      <c r="AA128" t="s">
        <v>13213</v>
      </c>
      <c r="AB128">
        <v>59.33</v>
      </c>
      <c r="AC128" t="s">
        <v>13213</v>
      </c>
      <c r="AD128">
        <v>63.2</v>
      </c>
      <c r="AE128" t="s">
        <v>13214</v>
      </c>
      <c r="AF128">
        <v>60.37</v>
      </c>
      <c r="AG128" t="s">
        <v>13213</v>
      </c>
      <c r="AH128">
        <v>49</v>
      </c>
      <c r="AI128" t="s">
        <v>13215</v>
      </c>
      <c r="AJ128">
        <v>89</v>
      </c>
      <c r="AK128" t="s">
        <v>13213</v>
      </c>
    </row>
    <row r="129" spans="1:37" x14ac:dyDescent="0.25">
      <c r="A129" t="s">
        <v>188</v>
      </c>
      <c r="B129" t="s">
        <v>13205</v>
      </c>
      <c r="C129" t="b">
        <v>1</v>
      </c>
      <c r="D129" t="b">
        <v>1</v>
      </c>
      <c r="E129">
        <v>58</v>
      </c>
      <c r="F129">
        <v>28</v>
      </c>
      <c r="G129">
        <v>32</v>
      </c>
      <c r="H129" t="s">
        <v>13206</v>
      </c>
      <c r="I129">
        <v>36</v>
      </c>
      <c r="J129">
        <v>7.79</v>
      </c>
      <c r="K129">
        <v>0.38</v>
      </c>
      <c r="L129" t="s">
        <v>859</v>
      </c>
      <c r="M129" t="s">
        <v>13207</v>
      </c>
      <c r="N129" t="s">
        <v>13253</v>
      </c>
      <c r="O129" t="s">
        <v>874</v>
      </c>
      <c r="P129" t="s">
        <v>13254</v>
      </c>
      <c r="Q129" t="s">
        <v>13255</v>
      </c>
      <c r="R129" t="s">
        <v>521</v>
      </c>
      <c r="S129" t="s">
        <v>13256</v>
      </c>
      <c r="T129" t="s">
        <v>2348</v>
      </c>
      <c r="U129">
        <v>0</v>
      </c>
      <c r="V129" t="b">
        <v>0</v>
      </c>
      <c r="W129" t="b">
        <v>0</v>
      </c>
      <c r="X129" t="b">
        <v>0</v>
      </c>
      <c r="Y129" t="s">
        <v>13212</v>
      </c>
      <c r="Z129">
        <v>81.819999999999993</v>
      </c>
      <c r="AA129" t="s">
        <v>13213</v>
      </c>
      <c r="AB129">
        <v>66</v>
      </c>
      <c r="AC129" t="s">
        <v>13213</v>
      </c>
      <c r="AD129">
        <v>79.2</v>
      </c>
      <c r="AE129" t="s">
        <v>13214</v>
      </c>
      <c r="AF129">
        <v>70.05</v>
      </c>
      <c r="AG129" t="s">
        <v>13213</v>
      </c>
      <c r="AH129">
        <v>57.75</v>
      </c>
      <c r="AI129" t="s">
        <v>13215</v>
      </c>
      <c r="AJ129">
        <v>99</v>
      </c>
      <c r="AK129" t="s">
        <v>13213</v>
      </c>
    </row>
    <row r="130" spans="1:37" x14ac:dyDescent="0.25">
      <c r="A130" t="s">
        <v>189</v>
      </c>
      <c r="B130" t="s">
        <v>13205</v>
      </c>
      <c r="C130" t="b">
        <v>1</v>
      </c>
      <c r="D130" t="b">
        <v>1</v>
      </c>
      <c r="E130">
        <v>51</v>
      </c>
      <c r="F130">
        <v>60</v>
      </c>
      <c r="G130">
        <v>27</v>
      </c>
      <c r="H130" t="s">
        <v>13206</v>
      </c>
      <c r="I130">
        <v>36</v>
      </c>
      <c r="J130">
        <v>5.5</v>
      </c>
      <c r="K130">
        <v>0.7</v>
      </c>
      <c r="L130" t="s">
        <v>859</v>
      </c>
      <c r="M130" t="s">
        <v>13207</v>
      </c>
      <c r="N130" t="s">
        <v>13253</v>
      </c>
      <c r="O130" t="s">
        <v>874</v>
      </c>
      <c r="P130" t="s">
        <v>13261</v>
      </c>
      <c r="Q130" t="s">
        <v>13262</v>
      </c>
      <c r="R130" t="s">
        <v>522</v>
      </c>
      <c r="S130" t="s">
        <v>13263</v>
      </c>
      <c r="T130" t="s">
        <v>2355</v>
      </c>
      <c r="U130">
        <v>0</v>
      </c>
      <c r="V130" t="b">
        <v>0</v>
      </c>
      <c r="W130" t="b">
        <v>0</v>
      </c>
      <c r="X130" t="b">
        <v>0</v>
      </c>
      <c r="Y130" t="s">
        <v>13212</v>
      </c>
      <c r="Z130">
        <v>81.819999999999993</v>
      </c>
      <c r="AA130" t="s">
        <v>13213</v>
      </c>
      <c r="AB130">
        <v>66</v>
      </c>
      <c r="AC130" t="s">
        <v>13213</v>
      </c>
      <c r="AD130">
        <v>79.2</v>
      </c>
      <c r="AE130" t="s">
        <v>13214</v>
      </c>
      <c r="AF130">
        <v>70.05</v>
      </c>
      <c r="AG130" t="s">
        <v>13213</v>
      </c>
      <c r="AH130">
        <v>57.75</v>
      </c>
      <c r="AI130" t="s">
        <v>13215</v>
      </c>
      <c r="AJ130">
        <v>99</v>
      </c>
      <c r="AK130" t="s">
        <v>13213</v>
      </c>
    </row>
    <row r="131" spans="1:37" x14ac:dyDescent="0.25">
      <c r="A131" t="s">
        <v>190</v>
      </c>
      <c r="B131" t="s">
        <v>13205</v>
      </c>
      <c r="C131" t="b">
        <v>1</v>
      </c>
      <c r="D131" t="b">
        <v>1</v>
      </c>
      <c r="E131">
        <v>73</v>
      </c>
      <c r="F131">
        <v>17</v>
      </c>
      <c r="G131">
        <v>25</v>
      </c>
      <c r="H131" t="s">
        <v>13206</v>
      </c>
      <c r="I131">
        <v>50</v>
      </c>
      <c r="J131">
        <v>7.5</v>
      </c>
      <c r="K131">
        <v>0.7</v>
      </c>
      <c r="L131" t="s">
        <v>859</v>
      </c>
      <c r="M131" t="s">
        <v>13207</v>
      </c>
      <c r="N131" t="s">
        <v>13253</v>
      </c>
      <c r="O131" t="s">
        <v>874</v>
      </c>
      <c r="P131" t="s">
        <v>13264</v>
      </c>
      <c r="Q131" t="s">
        <v>13265</v>
      </c>
      <c r="R131" t="s">
        <v>523</v>
      </c>
      <c r="S131" t="s">
        <v>13266</v>
      </c>
      <c r="T131" t="s">
        <v>2359</v>
      </c>
      <c r="U131">
        <v>500</v>
      </c>
      <c r="V131" t="b">
        <v>0</v>
      </c>
      <c r="W131" t="b">
        <v>0</v>
      </c>
      <c r="X131" t="b">
        <v>0</v>
      </c>
      <c r="Y131" t="s">
        <v>13212</v>
      </c>
      <c r="Z131">
        <v>81.819999999999993</v>
      </c>
      <c r="AA131" t="s">
        <v>13213</v>
      </c>
      <c r="AB131">
        <v>66</v>
      </c>
      <c r="AC131" t="s">
        <v>13213</v>
      </c>
      <c r="AD131">
        <v>79.2</v>
      </c>
      <c r="AE131" t="s">
        <v>13214</v>
      </c>
      <c r="AF131">
        <v>70.05</v>
      </c>
      <c r="AG131" t="s">
        <v>13213</v>
      </c>
      <c r="AH131">
        <v>57.75</v>
      </c>
      <c r="AI131" t="s">
        <v>13215</v>
      </c>
      <c r="AJ131">
        <v>99</v>
      </c>
      <c r="AK131" t="s">
        <v>13213</v>
      </c>
    </row>
    <row r="132" spans="1:37" x14ac:dyDescent="0.25">
      <c r="A132" t="s">
        <v>191</v>
      </c>
      <c r="B132" t="s">
        <v>13205</v>
      </c>
      <c r="C132" t="b">
        <v>1</v>
      </c>
      <c r="D132" t="b">
        <v>1</v>
      </c>
      <c r="E132">
        <v>52</v>
      </c>
      <c r="F132">
        <v>52</v>
      </c>
      <c r="G132">
        <v>16</v>
      </c>
      <c r="H132" t="s">
        <v>13206</v>
      </c>
      <c r="I132">
        <v>40</v>
      </c>
      <c r="J132">
        <v>5.2</v>
      </c>
      <c r="K132">
        <v>1</v>
      </c>
      <c r="L132" t="s">
        <v>859</v>
      </c>
      <c r="M132" t="s">
        <v>13207</v>
      </c>
      <c r="N132" t="s">
        <v>13253</v>
      </c>
      <c r="O132" t="s">
        <v>874</v>
      </c>
      <c r="P132" t="s">
        <v>13305</v>
      </c>
      <c r="Q132" t="s">
        <v>13306</v>
      </c>
      <c r="R132" t="s">
        <v>667</v>
      </c>
      <c r="S132" t="s">
        <v>13307</v>
      </c>
      <c r="T132" t="s">
        <v>2384</v>
      </c>
      <c r="U132">
        <v>500</v>
      </c>
      <c r="V132" t="b">
        <v>0</v>
      </c>
      <c r="W132" t="b">
        <v>0</v>
      </c>
      <c r="X132" t="b">
        <v>0</v>
      </c>
      <c r="Y132" t="s">
        <v>13212</v>
      </c>
      <c r="Z132">
        <v>65.290000000000006</v>
      </c>
      <c r="AA132" t="s">
        <v>13213</v>
      </c>
      <c r="AB132">
        <v>52.67</v>
      </c>
      <c r="AC132" t="s">
        <v>13213</v>
      </c>
      <c r="AD132">
        <v>63.2</v>
      </c>
      <c r="AE132" t="s">
        <v>13214</v>
      </c>
      <c r="AF132">
        <v>54.27</v>
      </c>
      <c r="AG132" t="s">
        <v>13213</v>
      </c>
      <c r="AH132">
        <v>43.75</v>
      </c>
      <c r="AI132" t="s">
        <v>13215</v>
      </c>
      <c r="AJ132">
        <v>79</v>
      </c>
      <c r="AK132" t="s">
        <v>13213</v>
      </c>
    </row>
    <row r="133" spans="1:37" x14ac:dyDescent="0.25">
      <c r="A133" t="s">
        <v>192</v>
      </c>
      <c r="B133" t="s">
        <v>13205</v>
      </c>
      <c r="C133" t="b">
        <v>1</v>
      </c>
      <c r="D133" t="b">
        <v>1</v>
      </c>
      <c r="E133">
        <v>47</v>
      </c>
      <c r="F133">
        <v>16</v>
      </c>
      <c r="G133">
        <v>47</v>
      </c>
      <c r="H133" t="s">
        <v>13206</v>
      </c>
      <c r="I133">
        <v>42</v>
      </c>
      <c r="J133">
        <v>5.75</v>
      </c>
      <c r="K133">
        <v>0.47</v>
      </c>
      <c r="L133" t="s">
        <v>859</v>
      </c>
      <c r="M133" t="s">
        <v>13207</v>
      </c>
      <c r="N133" t="s">
        <v>13253</v>
      </c>
      <c r="O133" t="s">
        <v>874</v>
      </c>
      <c r="P133" t="s">
        <v>13301</v>
      </c>
      <c r="Q133" t="s">
        <v>13302</v>
      </c>
      <c r="R133" t="s">
        <v>13303</v>
      </c>
      <c r="S133" t="s">
        <v>13304</v>
      </c>
      <c r="T133" t="s">
        <v>2389</v>
      </c>
      <c r="U133">
        <v>500</v>
      </c>
      <c r="V133" t="b">
        <v>0</v>
      </c>
      <c r="W133" t="b">
        <v>0</v>
      </c>
      <c r="X133" t="b">
        <v>0</v>
      </c>
      <c r="Y133" t="s">
        <v>13212</v>
      </c>
      <c r="Z133">
        <v>65.290000000000006</v>
      </c>
      <c r="AA133" t="s">
        <v>13213</v>
      </c>
      <c r="AB133">
        <v>52.67</v>
      </c>
      <c r="AC133" t="s">
        <v>13213</v>
      </c>
      <c r="AD133">
        <v>63.2</v>
      </c>
      <c r="AE133" t="s">
        <v>13214</v>
      </c>
      <c r="AF133">
        <v>54.27</v>
      </c>
      <c r="AG133" t="s">
        <v>13213</v>
      </c>
      <c r="AH133">
        <v>43.75</v>
      </c>
      <c r="AI133" t="s">
        <v>13215</v>
      </c>
      <c r="AJ133">
        <v>79</v>
      </c>
      <c r="AK133" t="s">
        <v>13213</v>
      </c>
    </row>
    <row r="134" spans="1:37" x14ac:dyDescent="0.25">
      <c r="A134" t="s">
        <v>200</v>
      </c>
      <c r="B134" t="s">
        <v>13205</v>
      </c>
      <c r="C134" t="b">
        <v>1</v>
      </c>
      <c r="D134" t="b">
        <v>1</v>
      </c>
      <c r="E134">
        <v>51</v>
      </c>
      <c r="F134">
        <v>46</v>
      </c>
      <c r="G134">
        <v>19</v>
      </c>
      <c r="H134" t="s">
        <v>13206</v>
      </c>
      <c r="I134">
        <v>28</v>
      </c>
      <c r="J134">
        <v>3.62</v>
      </c>
      <c r="K134">
        <v>0.64</v>
      </c>
      <c r="L134" t="s">
        <v>13281</v>
      </c>
      <c r="M134" t="s">
        <v>13207</v>
      </c>
      <c r="N134" t="s">
        <v>13282</v>
      </c>
      <c r="O134" t="s">
        <v>874</v>
      </c>
      <c r="P134" t="s">
        <v>13283</v>
      </c>
      <c r="Q134" t="s">
        <v>13284</v>
      </c>
      <c r="R134" t="s">
        <v>524</v>
      </c>
      <c r="S134" t="s">
        <v>13285</v>
      </c>
      <c r="T134" t="s">
        <v>2397</v>
      </c>
      <c r="U134">
        <v>0</v>
      </c>
      <c r="V134" t="b">
        <v>0</v>
      </c>
      <c r="W134" t="b">
        <v>0</v>
      </c>
      <c r="X134" t="b">
        <v>0</v>
      </c>
      <c r="Y134" t="s">
        <v>13286</v>
      </c>
      <c r="Z134">
        <v>65.290000000000006</v>
      </c>
      <c r="AA134" t="s">
        <v>13213</v>
      </c>
      <c r="AB134">
        <v>52.67</v>
      </c>
      <c r="AC134" t="s">
        <v>13213</v>
      </c>
      <c r="AD134">
        <v>63.2</v>
      </c>
      <c r="AE134" t="s">
        <v>13214</v>
      </c>
      <c r="AF134">
        <v>60.37</v>
      </c>
      <c r="AG134" t="s">
        <v>13213</v>
      </c>
      <c r="AH134">
        <v>49.58</v>
      </c>
      <c r="AI134" t="s">
        <v>13215</v>
      </c>
      <c r="AJ134">
        <v>79</v>
      </c>
      <c r="AK134" t="s">
        <v>13213</v>
      </c>
    </row>
    <row r="135" spans="1:37" x14ac:dyDescent="0.25">
      <c r="A135" t="s">
        <v>202</v>
      </c>
      <c r="B135" t="s">
        <v>13205</v>
      </c>
      <c r="C135" t="b">
        <v>1</v>
      </c>
      <c r="D135" t="b">
        <v>1</v>
      </c>
      <c r="E135">
        <v>51</v>
      </c>
      <c r="F135">
        <v>46</v>
      </c>
      <c r="G135">
        <v>19</v>
      </c>
      <c r="H135" t="s">
        <v>13206</v>
      </c>
      <c r="I135">
        <v>28</v>
      </c>
      <c r="J135">
        <v>4.66</v>
      </c>
      <c r="K135">
        <v>0.64</v>
      </c>
      <c r="L135" t="s">
        <v>13281</v>
      </c>
      <c r="M135" t="s">
        <v>13207</v>
      </c>
      <c r="N135" t="s">
        <v>13282</v>
      </c>
      <c r="O135" t="s">
        <v>874</v>
      </c>
      <c r="P135" t="s">
        <v>13287</v>
      </c>
      <c r="Q135" t="s">
        <v>13288</v>
      </c>
      <c r="R135" t="s">
        <v>13289</v>
      </c>
      <c r="S135" t="s">
        <v>13290</v>
      </c>
      <c r="T135" t="s">
        <v>2399</v>
      </c>
      <c r="U135">
        <v>0</v>
      </c>
      <c r="V135" t="b">
        <v>0</v>
      </c>
      <c r="W135" t="b">
        <v>0</v>
      </c>
      <c r="X135" t="b">
        <v>0</v>
      </c>
      <c r="Y135" t="s">
        <v>13286</v>
      </c>
      <c r="Z135">
        <v>81.819999999999993</v>
      </c>
      <c r="AA135" t="s">
        <v>13213</v>
      </c>
      <c r="AB135">
        <v>66</v>
      </c>
      <c r="AC135" t="s">
        <v>13213</v>
      </c>
      <c r="AD135">
        <v>79.2</v>
      </c>
      <c r="AE135" t="s">
        <v>13214</v>
      </c>
      <c r="AF135">
        <v>66.459999999999994</v>
      </c>
      <c r="AG135" t="s">
        <v>13213</v>
      </c>
      <c r="AH135">
        <v>55.42</v>
      </c>
      <c r="AI135" t="s">
        <v>13215</v>
      </c>
      <c r="AJ135">
        <v>99</v>
      </c>
      <c r="AK135" t="s">
        <v>13213</v>
      </c>
    </row>
    <row r="136" spans="1:37" x14ac:dyDescent="0.25">
      <c r="A136" t="s">
        <v>203</v>
      </c>
      <c r="B136" t="s">
        <v>13205</v>
      </c>
      <c r="C136" t="b">
        <v>1</v>
      </c>
      <c r="D136" t="b">
        <v>1</v>
      </c>
      <c r="E136">
        <v>51</v>
      </c>
      <c r="F136">
        <v>46</v>
      </c>
      <c r="G136">
        <v>19</v>
      </c>
      <c r="H136" t="s">
        <v>13206</v>
      </c>
      <c r="I136">
        <v>28</v>
      </c>
      <c r="J136">
        <v>5.22</v>
      </c>
      <c r="K136">
        <v>0.64</v>
      </c>
      <c r="L136" t="s">
        <v>13281</v>
      </c>
      <c r="M136" t="s">
        <v>13207</v>
      </c>
      <c r="N136" t="s">
        <v>13282</v>
      </c>
      <c r="O136" t="s">
        <v>874</v>
      </c>
      <c r="P136" t="s">
        <v>13318</v>
      </c>
      <c r="Q136" t="s">
        <v>13319</v>
      </c>
      <c r="R136" t="s">
        <v>13320</v>
      </c>
      <c r="S136" t="s">
        <v>13321</v>
      </c>
      <c r="T136" t="s">
        <v>2401</v>
      </c>
      <c r="U136">
        <v>0</v>
      </c>
      <c r="V136" t="b">
        <v>0</v>
      </c>
      <c r="W136" t="b">
        <v>0</v>
      </c>
      <c r="X136" t="b">
        <v>0</v>
      </c>
      <c r="Y136" t="s">
        <v>13286</v>
      </c>
      <c r="Z136">
        <v>73.55</v>
      </c>
      <c r="AA136" t="s">
        <v>13213</v>
      </c>
      <c r="AB136">
        <v>59.33</v>
      </c>
      <c r="AC136" t="s">
        <v>13213</v>
      </c>
      <c r="AD136">
        <v>71.2</v>
      </c>
      <c r="AE136" t="s">
        <v>13214</v>
      </c>
      <c r="AF136">
        <v>66.459999999999994</v>
      </c>
      <c r="AG136" t="s">
        <v>13213</v>
      </c>
      <c r="AH136">
        <v>51.92</v>
      </c>
      <c r="AI136" t="s">
        <v>13215</v>
      </c>
      <c r="AJ136">
        <v>89</v>
      </c>
      <c r="AK136" t="s">
        <v>13213</v>
      </c>
    </row>
    <row r="137" spans="1:37" x14ac:dyDescent="0.25">
      <c r="A137" t="s">
        <v>201</v>
      </c>
      <c r="B137" t="s">
        <v>13205</v>
      </c>
      <c r="C137" t="b">
        <v>1</v>
      </c>
      <c r="D137" t="b">
        <v>1</v>
      </c>
      <c r="E137">
        <v>51</v>
      </c>
      <c r="F137">
        <v>46</v>
      </c>
      <c r="G137">
        <v>19</v>
      </c>
      <c r="H137" t="s">
        <v>13206</v>
      </c>
      <c r="I137">
        <v>28</v>
      </c>
      <c r="J137">
        <v>5.98</v>
      </c>
      <c r="K137">
        <v>0.64</v>
      </c>
      <c r="L137" t="s">
        <v>13205</v>
      </c>
      <c r="M137" t="s">
        <v>13207</v>
      </c>
      <c r="N137" t="s">
        <v>13282</v>
      </c>
      <c r="O137" t="s">
        <v>13449</v>
      </c>
      <c r="P137" t="s">
        <v>13450</v>
      </c>
      <c r="Q137" t="s">
        <v>13451</v>
      </c>
      <c r="R137" t="s">
        <v>657</v>
      </c>
      <c r="S137" t="s">
        <v>13452</v>
      </c>
      <c r="T137" t="s">
        <v>304</v>
      </c>
      <c r="U137">
        <v>0</v>
      </c>
      <c r="V137" t="b">
        <v>0</v>
      </c>
      <c r="W137" t="b">
        <v>0</v>
      </c>
      <c r="X137" t="b">
        <v>0</v>
      </c>
      <c r="Y137" t="s">
        <v>13286</v>
      </c>
      <c r="Z137">
        <v>73.55</v>
      </c>
      <c r="AA137" t="s">
        <v>13213</v>
      </c>
      <c r="AB137">
        <v>59.33</v>
      </c>
      <c r="AC137" t="s">
        <v>13213</v>
      </c>
      <c r="AD137">
        <v>71.2</v>
      </c>
      <c r="AE137" t="s">
        <v>13214</v>
      </c>
      <c r="AF137">
        <v>66.459999999999994</v>
      </c>
      <c r="AG137" t="s">
        <v>13213</v>
      </c>
      <c r="AH137">
        <v>51.92</v>
      </c>
      <c r="AI137" t="s">
        <v>13215</v>
      </c>
      <c r="AJ137">
        <v>89</v>
      </c>
      <c r="AK137" t="s">
        <v>13213</v>
      </c>
    </row>
    <row r="138" spans="1:37" x14ac:dyDescent="0.25">
      <c r="A138" t="s">
        <v>193</v>
      </c>
      <c r="B138" t="s">
        <v>13205</v>
      </c>
      <c r="C138" t="b">
        <v>1</v>
      </c>
      <c r="D138" t="b">
        <v>1</v>
      </c>
      <c r="E138">
        <v>22</v>
      </c>
      <c r="F138">
        <v>17</v>
      </c>
      <c r="G138">
        <v>57</v>
      </c>
      <c r="H138" t="s">
        <v>13206</v>
      </c>
      <c r="I138">
        <v>50</v>
      </c>
      <c r="J138">
        <v>2.2000000000000002</v>
      </c>
      <c r="K138">
        <v>0</v>
      </c>
      <c r="L138" t="s">
        <v>859</v>
      </c>
      <c r="M138" t="s">
        <v>13207</v>
      </c>
      <c r="N138" t="s">
        <v>13208</v>
      </c>
      <c r="O138" t="s">
        <v>874</v>
      </c>
      <c r="P138" t="s">
        <v>13406</v>
      </c>
      <c r="Q138" t="s">
        <v>13407</v>
      </c>
      <c r="R138" t="s">
        <v>668</v>
      </c>
      <c r="S138" t="s">
        <v>13408</v>
      </c>
      <c r="T138" t="s">
        <v>2407</v>
      </c>
      <c r="U138">
        <v>100</v>
      </c>
      <c r="V138" t="b">
        <v>0</v>
      </c>
      <c r="W138" t="b">
        <v>0</v>
      </c>
      <c r="X138" t="b">
        <v>0</v>
      </c>
      <c r="Y138" t="s">
        <v>13212</v>
      </c>
      <c r="Z138">
        <v>32.229999999999997</v>
      </c>
      <c r="AA138" t="s">
        <v>13213</v>
      </c>
      <c r="AB138">
        <v>26</v>
      </c>
      <c r="AC138" t="s">
        <v>13213</v>
      </c>
      <c r="AD138">
        <v>31.2</v>
      </c>
      <c r="AE138" t="s">
        <v>13214</v>
      </c>
      <c r="AF138">
        <v>29.88</v>
      </c>
      <c r="AG138" t="s">
        <v>13213</v>
      </c>
      <c r="AH138">
        <v>25.08</v>
      </c>
      <c r="AI138" t="s">
        <v>13215</v>
      </c>
      <c r="AJ138">
        <v>39</v>
      </c>
      <c r="AK138" t="s">
        <v>13213</v>
      </c>
    </row>
    <row r="139" spans="1:37" x14ac:dyDescent="0.25">
      <c r="A139" t="s">
        <v>194</v>
      </c>
      <c r="B139" t="s">
        <v>13205</v>
      </c>
      <c r="C139" t="b">
        <v>1</v>
      </c>
      <c r="D139" t="b">
        <v>1</v>
      </c>
      <c r="E139">
        <v>12</v>
      </c>
      <c r="F139">
        <v>10</v>
      </c>
      <c r="G139">
        <v>26</v>
      </c>
      <c r="H139" t="s">
        <v>13206</v>
      </c>
      <c r="I139">
        <v>240</v>
      </c>
      <c r="J139">
        <v>1.1000000000000001</v>
      </c>
      <c r="K139">
        <v>0</v>
      </c>
      <c r="L139" t="s">
        <v>859</v>
      </c>
      <c r="M139" t="s">
        <v>13207</v>
      </c>
      <c r="N139" t="s">
        <v>13208</v>
      </c>
      <c r="O139" t="s">
        <v>874</v>
      </c>
      <c r="P139" t="s">
        <v>13409</v>
      </c>
      <c r="Q139" t="s">
        <v>13410</v>
      </c>
      <c r="R139" t="s">
        <v>13411</v>
      </c>
      <c r="S139" t="s">
        <v>13412</v>
      </c>
      <c r="T139" t="s">
        <v>2409</v>
      </c>
      <c r="U139">
        <v>100</v>
      </c>
      <c r="V139" t="b">
        <v>0</v>
      </c>
      <c r="W139" t="b">
        <v>0</v>
      </c>
      <c r="X139" t="b">
        <v>0</v>
      </c>
      <c r="Y139" t="s">
        <v>13212</v>
      </c>
      <c r="Z139">
        <v>12.4</v>
      </c>
      <c r="AA139" t="s">
        <v>13213</v>
      </c>
      <c r="AB139">
        <v>10</v>
      </c>
      <c r="AC139" t="s">
        <v>13213</v>
      </c>
      <c r="AD139">
        <v>12</v>
      </c>
      <c r="AE139" t="s">
        <v>13214</v>
      </c>
      <c r="AF139">
        <v>11.59</v>
      </c>
      <c r="AG139" t="s">
        <v>13213</v>
      </c>
      <c r="AH139">
        <v>9.33</v>
      </c>
      <c r="AI139" t="s">
        <v>13215</v>
      </c>
      <c r="AJ139">
        <v>15</v>
      </c>
      <c r="AK139" t="s">
        <v>13213</v>
      </c>
    </row>
    <row r="140" spans="1:37" x14ac:dyDescent="0.25">
      <c r="A140" t="s">
        <v>195</v>
      </c>
      <c r="B140" t="s">
        <v>13205</v>
      </c>
      <c r="C140" t="b">
        <v>1</v>
      </c>
      <c r="D140" t="b">
        <v>1</v>
      </c>
      <c r="E140">
        <v>12</v>
      </c>
      <c r="F140">
        <v>10</v>
      </c>
      <c r="G140">
        <v>26</v>
      </c>
      <c r="H140" t="s">
        <v>13206</v>
      </c>
      <c r="I140">
        <v>240</v>
      </c>
      <c r="J140">
        <v>0.8</v>
      </c>
      <c r="K140">
        <v>0</v>
      </c>
      <c r="L140" t="s">
        <v>859</v>
      </c>
      <c r="M140" t="s">
        <v>13207</v>
      </c>
      <c r="N140" t="s">
        <v>13208</v>
      </c>
      <c r="O140" t="s">
        <v>874</v>
      </c>
      <c r="P140" t="s">
        <v>13413</v>
      </c>
      <c r="Q140" t="s">
        <v>13414</v>
      </c>
      <c r="R140" t="s">
        <v>13415</v>
      </c>
      <c r="S140" t="s">
        <v>13416</v>
      </c>
      <c r="T140" t="s">
        <v>2411</v>
      </c>
      <c r="U140">
        <v>100</v>
      </c>
      <c r="V140" t="b">
        <v>0</v>
      </c>
      <c r="W140" t="b">
        <v>0</v>
      </c>
      <c r="X140" t="b">
        <v>0</v>
      </c>
      <c r="Y140" t="s">
        <v>13212</v>
      </c>
      <c r="Z140">
        <v>15.7</v>
      </c>
      <c r="AA140" t="s">
        <v>13213</v>
      </c>
      <c r="AB140">
        <v>12.67</v>
      </c>
      <c r="AC140" t="s">
        <v>13213</v>
      </c>
      <c r="AD140">
        <v>15.2</v>
      </c>
      <c r="AE140" t="s">
        <v>13214</v>
      </c>
      <c r="AF140">
        <v>15.23</v>
      </c>
      <c r="AG140" t="s">
        <v>13213</v>
      </c>
      <c r="AH140">
        <v>12.83</v>
      </c>
      <c r="AI140" t="s">
        <v>13215</v>
      </c>
      <c r="AJ140">
        <v>19</v>
      </c>
      <c r="AK140" t="s">
        <v>13213</v>
      </c>
    </row>
    <row r="141" spans="1:37" x14ac:dyDescent="0.25">
      <c r="A141" t="s">
        <v>197</v>
      </c>
      <c r="B141" t="s">
        <v>13205</v>
      </c>
      <c r="C141" t="b">
        <v>1</v>
      </c>
      <c r="D141" t="b">
        <v>1</v>
      </c>
      <c r="E141">
        <v>81</v>
      </c>
      <c r="F141">
        <v>19</v>
      </c>
      <c r="G141">
        <v>27</v>
      </c>
      <c r="H141" t="s">
        <v>13206</v>
      </c>
      <c r="I141">
        <v>36</v>
      </c>
      <c r="J141">
        <v>5.28</v>
      </c>
      <c r="K141">
        <v>0.4</v>
      </c>
      <c r="L141" t="s">
        <v>859</v>
      </c>
      <c r="M141" t="s">
        <v>13207</v>
      </c>
      <c r="N141" t="s">
        <v>13253</v>
      </c>
      <c r="O141" t="s">
        <v>874</v>
      </c>
      <c r="P141" t="s">
        <v>13447</v>
      </c>
      <c r="Q141" t="s">
        <v>13448</v>
      </c>
      <c r="R141" t="s">
        <v>13448</v>
      </c>
      <c r="S141" t="s">
        <v>13448</v>
      </c>
      <c r="T141" t="s">
        <v>2413</v>
      </c>
      <c r="U141">
        <v>450</v>
      </c>
      <c r="V141" t="b">
        <v>0</v>
      </c>
      <c r="W141" t="b">
        <v>0</v>
      </c>
      <c r="X141" t="b">
        <v>0</v>
      </c>
      <c r="Y141" t="s">
        <v>13212</v>
      </c>
      <c r="Z141">
        <v>106.61</v>
      </c>
      <c r="AA141" t="s">
        <v>13213</v>
      </c>
      <c r="AB141">
        <v>86</v>
      </c>
      <c r="AC141" t="s">
        <v>13213</v>
      </c>
      <c r="AD141">
        <v>103.2</v>
      </c>
      <c r="AE141" t="s">
        <v>13214</v>
      </c>
      <c r="AF141">
        <v>90.85</v>
      </c>
      <c r="AG141" t="s">
        <v>13213</v>
      </c>
      <c r="AH141">
        <v>67.08</v>
      </c>
      <c r="AI141" t="s">
        <v>13215</v>
      </c>
      <c r="AJ141">
        <v>129</v>
      </c>
      <c r="AK141" t="s">
        <v>13213</v>
      </c>
    </row>
    <row r="142" spans="1:37" x14ac:dyDescent="0.25">
      <c r="A142" t="s">
        <v>257</v>
      </c>
      <c r="B142" t="s">
        <v>13205</v>
      </c>
      <c r="C142" t="b">
        <v>1</v>
      </c>
      <c r="D142" t="b">
        <v>1</v>
      </c>
      <c r="E142">
        <v>20</v>
      </c>
      <c r="F142">
        <v>8</v>
      </c>
      <c r="G142">
        <v>15</v>
      </c>
      <c r="H142" t="s">
        <v>13206</v>
      </c>
      <c r="I142">
        <v>500</v>
      </c>
      <c r="J142">
        <v>0.24</v>
      </c>
      <c r="K142">
        <v>0.03</v>
      </c>
      <c r="L142" t="s">
        <v>859</v>
      </c>
      <c r="M142" t="s">
        <v>13207</v>
      </c>
      <c r="N142" t="s">
        <v>13208</v>
      </c>
      <c r="O142" t="s">
        <v>874</v>
      </c>
      <c r="P142" t="s">
        <v>676</v>
      </c>
      <c r="Q142" t="s">
        <v>13227</v>
      </c>
      <c r="R142" t="s">
        <v>676</v>
      </c>
      <c r="S142" t="s">
        <v>13228</v>
      </c>
      <c r="T142" t="s">
        <v>2416</v>
      </c>
      <c r="U142">
        <v>500</v>
      </c>
      <c r="V142" t="b">
        <v>0</v>
      </c>
      <c r="W142" t="b">
        <v>0</v>
      </c>
      <c r="X142" t="b">
        <v>0</v>
      </c>
      <c r="Y142" t="s">
        <v>13212</v>
      </c>
      <c r="Z142">
        <v>19.829999999999998</v>
      </c>
      <c r="AA142" t="s">
        <v>13213</v>
      </c>
      <c r="AB142">
        <v>16</v>
      </c>
      <c r="AC142" t="s">
        <v>13213</v>
      </c>
      <c r="AD142">
        <v>15.2</v>
      </c>
      <c r="AE142" t="s">
        <v>13214</v>
      </c>
      <c r="AF142">
        <v>15.24</v>
      </c>
      <c r="AG142" t="s">
        <v>13213</v>
      </c>
      <c r="AH142">
        <v>12.25</v>
      </c>
      <c r="AI142" t="s">
        <v>13215</v>
      </c>
      <c r="AJ142">
        <v>24</v>
      </c>
      <c r="AK142" t="s">
        <v>13213</v>
      </c>
    </row>
    <row r="143" spans="1:37" x14ac:dyDescent="0.25">
      <c r="A143" t="s">
        <v>186</v>
      </c>
      <c r="B143" t="s">
        <v>13205</v>
      </c>
      <c r="C143" t="b">
        <v>1</v>
      </c>
      <c r="D143" t="b">
        <v>1</v>
      </c>
      <c r="E143">
        <v>10</v>
      </c>
      <c r="F143">
        <v>15</v>
      </c>
      <c r="G143">
        <v>10</v>
      </c>
      <c r="H143" t="s">
        <v>13206</v>
      </c>
      <c r="I143">
        <v>500</v>
      </c>
      <c r="J143">
        <v>0.3</v>
      </c>
      <c r="K143">
        <v>0.01</v>
      </c>
      <c r="L143" t="s">
        <v>859</v>
      </c>
      <c r="M143" t="s">
        <v>13207</v>
      </c>
      <c r="N143" t="s">
        <v>13208</v>
      </c>
      <c r="O143" t="s">
        <v>874</v>
      </c>
      <c r="P143" t="s">
        <v>13229</v>
      </c>
      <c r="Q143" t="s">
        <v>13230</v>
      </c>
      <c r="R143" t="s">
        <v>679</v>
      </c>
      <c r="S143" t="s">
        <v>13231</v>
      </c>
      <c r="T143" t="s">
        <v>2418</v>
      </c>
      <c r="U143">
        <v>500</v>
      </c>
      <c r="V143" t="b">
        <v>0</v>
      </c>
      <c r="W143" t="b">
        <v>0</v>
      </c>
      <c r="X143" t="b">
        <v>0</v>
      </c>
      <c r="Y143" t="s">
        <v>13212</v>
      </c>
      <c r="Z143">
        <v>8.26</v>
      </c>
      <c r="AA143" t="s">
        <v>13213</v>
      </c>
      <c r="AB143">
        <v>6.67</v>
      </c>
      <c r="AC143" t="s">
        <v>13213</v>
      </c>
      <c r="AD143">
        <v>8</v>
      </c>
      <c r="AE143" t="s">
        <v>13214</v>
      </c>
      <c r="AF143">
        <v>7.31</v>
      </c>
      <c r="AG143" t="s">
        <v>13213</v>
      </c>
      <c r="AH143">
        <v>5.83</v>
      </c>
      <c r="AI143" t="s">
        <v>13215</v>
      </c>
      <c r="AJ143">
        <v>10</v>
      </c>
      <c r="AK143" t="s">
        <v>13213</v>
      </c>
    </row>
    <row r="144" spans="1:37" x14ac:dyDescent="0.25">
      <c r="A144" t="s">
        <v>256</v>
      </c>
      <c r="B144" t="s">
        <v>13205</v>
      </c>
      <c r="C144" t="b">
        <v>1</v>
      </c>
      <c r="D144" t="b">
        <v>1</v>
      </c>
      <c r="E144">
        <v>12</v>
      </c>
      <c r="F144">
        <v>5</v>
      </c>
      <c r="G144">
        <v>5</v>
      </c>
      <c r="H144" t="s">
        <v>13206</v>
      </c>
      <c r="I144">
        <v>500</v>
      </c>
      <c r="J144">
        <v>0.35</v>
      </c>
      <c r="K144">
        <v>0</v>
      </c>
      <c r="L144" t="s">
        <v>859</v>
      </c>
      <c r="M144" t="s">
        <v>13207</v>
      </c>
      <c r="N144" t="s">
        <v>13208</v>
      </c>
      <c r="O144" t="s">
        <v>874</v>
      </c>
      <c r="P144" t="s">
        <v>13232</v>
      </c>
      <c r="Q144" t="s">
        <v>13233</v>
      </c>
      <c r="R144" t="s">
        <v>678</v>
      </c>
      <c r="S144" t="s">
        <v>13234</v>
      </c>
      <c r="T144" t="s">
        <v>2420</v>
      </c>
      <c r="U144">
        <v>500</v>
      </c>
      <c r="V144" t="b">
        <v>0</v>
      </c>
      <c r="W144" t="b">
        <v>0</v>
      </c>
      <c r="X144" t="b">
        <v>0</v>
      </c>
      <c r="Y144" t="s">
        <v>13212</v>
      </c>
      <c r="Z144">
        <v>8.26</v>
      </c>
      <c r="AA144" t="s">
        <v>13213</v>
      </c>
      <c r="AB144">
        <v>6.67</v>
      </c>
      <c r="AC144" t="s">
        <v>13213</v>
      </c>
      <c r="AD144">
        <v>8</v>
      </c>
      <c r="AE144" t="s">
        <v>13214</v>
      </c>
      <c r="AF144">
        <v>6.1</v>
      </c>
      <c r="AG144" t="s">
        <v>13213</v>
      </c>
      <c r="AH144">
        <v>5.83</v>
      </c>
      <c r="AI144" t="s">
        <v>13215</v>
      </c>
      <c r="AJ144">
        <v>10</v>
      </c>
      <c r="AK144" t="s">
        <v>13213</v>
      </c>
    </row>
    <row r="145" spans="1:37" x14ac:dyDescent="0.25">
      <c r="A145" t="s">
        <v>258</v>
      </c>
      <c r="B145" t="s">
        <v>13205</v>
      </c>
      <c r="C145" t="b">
        <v>1</v>
      </c>
      <c r="D145" t="b">
        <v>1</v>
      </c>
      <c r="E145">
        <v>90</v>
      </c>
      <c r="F145">
        <v>14.5</v>
      </c>
      <c r="G145">
        <v>12.5</v>
      </c>
      <c r="H145" t="s">
        <v>13206</v>
      </c>
      <c r="I145">
        <v>60</v>
      </c>
      <c r="J145">
        <v>2.2000000000000002</v>
      </c>
      <c r="K145">
        <v>0.5</v>
      </c>
      <c r="L145" t="s">
        <v>859</v>
      </c>
      <c r="M145" t="s">
        <v>13207</v>
      </c>
      <c r="N145" t="s">
        <v>13208</v>
      </c>
      <c r="O145" t="s">
        <v>874</v>
      </c>
      <c r="P145" t="s">
        <v>13235</v>
      </c>
      <c r="Q145" t="s">
        <v>13236</v>
      </c>
      <c r="R145" t="s">
        <v>677</v>
      </c>
      <c r="S145" t="s">
        <v>13237</v>
      </c>
      <c r="T145" t="s">
        <v>2425</v>
      </c>
      <c r="U145">
        <v>500</v>
      </c>
      <c r="V145" t="b">
        <v>0</v>
      </c>
      <c r="W145" t="b">
        <v>0</v>
      </c>
      <c r="X145" t="b">
        <v>0</v>
      </c>
      <c r="Y145" t="s">
        <v>13212</v>
      </c>
      <c r="Z145">
        <v>37.19</v>
      </c>
      <c r="AA145" t="s">
        <v>13213</v>
      </c>
      <c r="AB145">
        <v>30</v>
      </c>
      <c r="AC145" t="s">
        <v>13213</v>
      </c>
      <c r="AD145">
        <v>36</v>
      </c>
      <c r="AE145" t="s">
        <v>13214</v>
      </c>
      <c r="AF145">
        <v>27.44</v>
      </c>
      <c r="AG145" t="s">
        <v>13213</v>
      </c>
      <c r="AH145">
        <v>23.33</v>
      </c>
      <c r="AI145" t="s">
        <v>13215</v>
      </c>
      <c r="AJ145">
        <v>45</v>
      </c>
      <c r="AK145" t="s">
        <v>13213</v>
      </c>
    </row>
    <row r="146" spans="1:37" x14ac:dyDescent="0.25">
      <c r="A146" t="s">
        <v>465</v>
      </c>
      <c r="B146" t="s">
        <v>13205</v>
      </c>
      <c r="C146" t="b">
        <v>1</v>
      </c>
      <c r="D146" t="b">
        <v>1</v>
      </c>
      <c r="E146">
        <v>20.5</v>
      </c>
      <c r="F146">
        <v>15</v>
      </c>
      <c r="G146">
        <v>18</v>
      </c>
      <c r="H146" t="s">
        <v>13206</v>
      </c>
      <c r="I146">
        <v>300</v>
      </c>
      <c r="J146">
        <v>0.13</v>
      </c>
      <c r="K146">
        <v>0.13</v>
      </c>
      <c r="L146" t="s">
        <v>859</v>
      </c>
      <c r="M146" t="s">
        <v>13207</v>
      </c>
      <c r="N146" t="s">
        <v>13208</v>
      </c>
      <c r="O146" t="s">
        <v>874</v>
      </c>
      <c r="P146" t="s">
        <v>13761</v>
      </c>
      <c r="Q146" t="s">
        <v>13762</v>
      </c>
      <c r="R146" t="s">
        <v>13763</v>
      </c>
      <c r="S146" t="s">
        <v>13764</v>
      </c>
      <c r="T146" t="s">
        <v>2427</v>
      </c>
      <c r="U146">
        <v>100</v>
      </c>
      <c r="V146" t="b">
        <v>0</v>
      </c>
      <c r="W146" t="b">
        <v>0</v>
      </c>
      <c r="X146" t="b">
        <v>0</v>
      </c>
      <c r="Y146" t="s">
        <v>13212</v>
      </c>
      <c r="Z146">
        <v>12.4</v>
      </c>
      <c r="AA146" t="s">
        <v>13213</v>
      </c>
      <c r="AB146">
        <v>10</v>
      </c>
      <c r="AC146" t="s">
        <v>13213</v>
      </c>
      <c r="AD146">
        <v>11.33</v>
      </c>
      <c r="AE146" t="s">
        <v>13214</v>
      </c>
      <c r="AF146">
        <v>11.59</v>
      </c>
      <c r="AG146" t="s">
        <v>13213</v>
      </c>
      <c r="AH146">
        <v>7.58</v>
      </c>
      <c r="AI146" t="s">
        <v>13215</v>
      </c>
      <c r="AJ146">
        <v>15</v>
      </c>
      <c r="AK146" t="s">
        <v>13213</v>
      </c>
    </row>
    <row r="147" spans="1:37" x14ac:dyDescent="0.25">
      <c r="A147" t="s">
        <v>259</v>
      </c>
      <c r="B147" t="s">
        <v>13205</v>
      </c>
      <c r="C147" t="b">
        <v>1</v>
      </c>
      <c r="D147" t="b">
        <v>1</v>
      </c>
      <c r="E147">
        <v>100</v>
      </c>
      <c r="F147">
        <v>2</v>
      </c>
      <c r="G147">
        <v>20</v>
      </c>
      <c r="H147" t="s">
        <v>13206</v>
      </c>
      <c r="I147">
        <v>300</v>
      </c>
      <c r="J147">
        <v>0.25</v>
      </c>
      <c r="K147">
        <v>0.05</v>
      </c>
      <c r="L147" t="s">
        <v>859</v>
      </c>
      <c r="M147" t="s">
        <v>13207</v>
      </c>
      <c r="N147" t="s">
        <v>13208</v>
      </c>
      <c r="O147" t="s">
        <v>874</v>
      </c>
      <c r="P147" t="s">
        <v>13238</v>
      </c>
      <c r="Q147" t="s">
        <v>13239</v>
      </c>
      <c r="R147" t="s">
        <v>13240</v>
      </c>
      <c r="S147" t="s">
        <v>13241</v>
      </c>
      <c r="T147" t="s">
        <v>2429</v>
      </c>
      <c r="U147">
        <v>500</v>
      </c>
      <c r="V147" t="b">
        <v>0</v>
      </c>
      <c r="W147" t="b">
        <v>0</v>
      </c>
      <c r="X147" t="b">
        <v>0</v>
      </c>
      <c r="Y147" t="s">
        <v>13212</v>
      </c>
      <c r="Z147">
        <v>10.33</v>
      </c>
      <c r="AA147" t="s">
        <v>13213</v>
      </c>
      <c r="AB147">
        <v>8.33</v>
      </c>
      <c r="AC147" t="s">
        <v>13213</v>
      </c>
      <c r="AD147">
        <v>10</v>
      </c>
      <c r="AE147" t="s">
        <v>13214</v>
      </c>
      <c r="AF147">
        <v>7.62</v>
      </c>
      <c r="AG147" t="s">
        <v>13213</v>
      </c>
      <c r="AH147">
        <v>6.42</v>
      </c>
      <c r="AI147" t="s">
        <v>13215</v>
      </c>
      <c r="AJ147">
        <v>12.5</v>
      </c>
      <c r="AK147" t="s">
        <v>13213</v>
      </c>
    </row>
    <row r="148" spans="1:37" x14ac:dyDescent="0.25">
      <c r="A148" t="s">
        <v>172</v>
      </c>
      <c r="B148" t="s">
        <v>13205</v>
      </c>
      <c r="C148" t="b">
        <v>1</v>
      </c>
      <c r="D148" t="b">
        <v>1</v>
      </c>
      <c r="E148">
        <v>95.5</v>
      </c>
      <c r="F148">
        <v>16</v>
      </c>
      <c r="G148">
        <v>50</v>
      </c>
      <c r="H148" t="s">
        <v>13206</v>
      </c>
      <c r="I148">
        <v>1</v>
      </c>
      <c r="J148">
        <v>27</v>
      </c>
      <c r="K148">
        <v>5</v>
      </c>
      <c r="L148" t="s">
        <v>859</v>
      </c>
      <c r="M148" t="s">
        <v>13207</v>
      </c>
      <c r="N148" t="s">
        <v>13205</v>
      </c>
      <c r="O148" t="s">
        <v>874</v>
      </c>
      <c r="P148" t="s">
        <v>13267</v>
      </c>
      <c r="Q148" t="s">
        <v>13268</v>
      </c>
      <c r="R148" t="s">
        <v>674</v>
      </c>
      <c r="S148" t="s">
        <v>13269</v>
      </c>
      <c r="T148" t="s">
        <v>2473</v>
      </c>
      <c r="U148">
        <v>0</v>
      </c>
      <c r="V148" t="b">
        <v>1</v>
      </c>
      <c r="W148" t="b">
        <v>0</v>
      </c>
      <c r="X148" t="b">
        <v>0</v>
      </c>
      <c r="Y148" t="s">
        <v>13212</v>
      </c>
      <c r="Z148">
        <v>197.52</v>
      </c>
      <c r="AA148" t="s">
        <v>13213</v>
      </c>
      <c r="AB148">
        <v>159.33000000000001</v>
      </c>
      <c r="AC148" t="s">
        <v>13213</v>
      </c>
      <c r="AD148">
        <v>183.2</v>
      </c>
      <c r="AE148" t="s">
        <v>13214</v>
      </c>
      <c r="AF148">
        <v>151.83000000000001</v>
      </c>
      <c r="AG148" t="s">
        <v>13213</v>
      </c>
      <c r="AH148">
        <v>121.92</v>
      </c>
      <c r="AI148" t="s">
        <v>13215</v>
      </c>
      <c r="AJ148">
        <v>239</v>
      </c>
      <c r="AK148" t="s">
        <v>13213</v>
      </c>
    </row>
    <row r="149" spans="1:37" x14ac:dyDescent="0.25">
      <c r="A149" t="s">
        <v>173</v>
      </c>
      <c r="B149" t="s">
        <v>13205</v>
      </c>
      <c r="C149" t="b">
        <v>1</v>
      </c>
      <c r="D149" t="b">
        <v>1</v>
      </c>
      <c r="E149">
        <v>119</v>
      </c>
      <c r="F149">
        <v>18</v>
      </c>
      <c r="G149">
        <v>51</v>
      </c>
      <c r="H149" t="s">
        <v>13206</v>
      </c>
      <c r="I149">
        <v>1</v>
      </c>
      <c r="J149">
        <v>32</v>
      </c>
      <c r="K149">
        <v>5.2</v>
      </c>
      <c r="L149" t="s">
        <v>859</v>
      </c>
      <c r="M149" t="s">
        <v>13207</v>
      </c>
      <c r="N149" t="s">
        <v>13205</v>
      </c>
      <c r="O149" t="s">
        <v>874</v>
      </c>
      <c r="P149" t="s">
        <v>13270</v>
      </c>
      <c r="Q149" t="s">
        <v>13271</v>
      </c>
      <c r="R149" t="s">
        <v>675</v>
      </c>
      <c r="S149" t="s">
        <v>13272</v>
      </c>
      <c r="T149" t="s">
        <v>2483</v>
      </c>
      <c r="U149">
        <v>0</v>
      </c>
      <c r="V149" t="b">
        <v>1</v>
      </c>
      <c r="W149" t="b">
        <v>0</v>
      </c>
      <c r="X149" t="b">
        <v>0</v>
      </c>
      <c r="Y149" t="s">
        <v>13212</v>
      </c>
      <c r="Z149">
        <v>222.31</v>
      </c>
      <c r="AA149" t="s">
        <v>13213</v>
      </c>
      <c r="AB149">
        <v>179.33</v>
      </c>
      <c r="AC149" t="s">
        <v>13213</v>
      </c>
      <c r="AD149">
        <v>207.2</v>
      </c>
      <c r="AE149" t="s">
        <v>13214</v>
      </c>
      <c r="AF149">
        <v>170.12</v>
      </c>
      <c r="AG149" t="s">
        <v>13213</v>
      </c>
      <c r="AH149">
        <v>139.41999999999999</v>
      </c>
      <c r="AI149" t="s">
        <v>13215</v>
      </c>
      <c r="AJ149">
        <v>269</v>
      </c>
      <c r="AK149" t="s">
        <v>13213</v>
      </c>
    </row>
    <row r="150" spans="1:37" x14ac:dyDescent="0.25">
      <c r="A150" t="s">
        <v>2486</v>
      </c>
      <c r="B150" t="s">
        <v>13205</v>
      </c>
      <c r="C150" t="b">
        <v>1</v>
      </c>
      <c r="D150" t="b">
        <v>1</v>
      </c>
      <c r="E150">
        <v>86.2</v>
      </c>
      <c r="F150">
        <v>13</v>
      </c>
      <c r="G150">
        <v>55.2</v>
      </c>
      <c r="H150" t="s">
        <v>13206</v>
      </c>
      <c r="I150">
        <v>20</v>
      </c>
      <c r="J150">
        <v>13.9</v>
      </c>
      <c r="K150">
        <v>0.6</v>
      </c>
      <c r="L150" t="s">
        <v>859</v>
      </c>
      <c r="M150" t="s">
        <v>13207</v>
      </c>
      <c r="N150" t="s">
        <v>13253</v>
      </c>
      <c r="O150" t="s">
        <v>874</v>
      </c>
      <c r="P150" t="s">
        <v>13757</v>
      </c>
      <c r="Q150" t="s">
        <v>13758</v>
      </c>
      <c r="R150" t="s">
        <v>13759</v>
      </c>
      <c r="S150" t="s">
        <v>13760</v>
      </c>
      <c r="T150" t="s">
        <v>2485</v>
      </c>
      <c r="U150">
        <v>0</v>
      </c>
      <c r="V150" t="b">
        <v>0</v>
      </c>
      <c r="W150" t="b">
        <v>0</v>
      </c>
      <c r="X150" t="b">
        <v>0</v>
      </c>
      <c r="Y150" t="s">
        <v>13212</v>
      </c>
      <c r="Z150">
        <v>132.77000000000001</v>
      </c>
      <c r="AA150" t="s">
        <v>13213</v>
      </c>
      <c r="AB150">
        <v>107.1</v>
      </c>
      <c r="AC150" t="s">
        <v>13213</v>
      </c>
      <c r="AD150">
        <v>128.52000000000001</v>
      </c>
      <c r="AE150" t="s">
        <v>13214</v>
      </c>
      <c r="AF150">
        <v>107.1</v>
      </c>
      <c r="AG150" t="s">
        <v>13213</v>
      </c>
      <c r="AH150">
        <v>89.25</v>
      </c>
      <c r="AI150" t="s">
        <v>13215</v>
      </c>
      <c r="AJ150">
        <v>160.65</v>
      </c>
      <c r="AK150" t="s">
        <v>13213</v>
      </c>
    </row>
    <row r="151" spans="1:37" x14ac:dyDescent="0.25">
      <c r="A151" t="s">
        <v>174</v>
      </c>
      <c r="B151" t="s">
        <v>13205</v>
      </c>
      <c r="C151" t="b">
        <v>1</v>
      </c>
      <c r="D151" t="b">
        <v>1</v>
      </c>
      <c r="E151">
        <v>57</v>
      </c>
      <c r="F151">
        <v>18</v>
      </c>
      <c r="G151">
        <v>90</v>
      </c>
      <c r="H151" t="s">
        <v>13206</v>
      </c>
      <c r="I151">
        <v>18</v>
      </c>
      <c r="J151">
        <v>14.5</v>
      </c>
      <c r="K151">
        <v>2.5</v>
      </c>
      <c r="L151" t="s">
        <v>859</v>
      </c>
      <c r="M151" t="s">
        <v>13207</v>
      </c>
      <c r="N151" t="s">
        <v>13253</v>
      </c>
      <c r="O151" t="s">
        <v>874</v>
      </c>
      <c r="P151" t="s">
        <v>13453</v>
      </c>
      <c r="Q151" t="s">
        <v>516</v>
      </c>
      <c r="R151" t="s">
        <v>516</v>
      </c>
      <c r="S151" t="s">
        <v>516</v>
      </c>
      <c r="T151" t="s">
        <v>2490</v>
      </c>
      <c r="U151">
        <v>800</v>
      </c>
      <c r="V151" t="b">
        <v>0</v>
      </c>
      <c r="W151" t="b">
        <v>0</v>
      </c>
      <c r="X151" t="b">
        <v>0</v>
      </c>
      <c r="Y151" t="s">
        <v>13212</v>
      </c>
      <c r="Z151">
        <v>147.93</v>
      </c>
      <c r="AA151" t="s">
        <v>13213</v>
      </c>
      <c r="AB151">
        <v>119.33</v>
      </c>
      <c r="AC151" t="s">
        <v>13213</v>
      </c>
      <c r="AD151">
        <v>143.19999999999999</v>
      </c>
      <c r="AE151" t="s">
        <v>13214</v>
      </c>
      <c r="AF151">
        <v>115.13</v>
      </c>
      <c r="AG151" t="s">
        <v>13213</v>
      </c>
      <c r="AH151">
        <v>92.75</v>
      </c>
      <c r="AI151" t="s">
        <v>13215</v>
      </c>
      <c r="AJ151">
        <v>179</v>
      </c>
      <c r="AK151" t="s">
        <v>13213</v>
      </c>
    </row>
    <row r="152" spans="1:37" x14ac:dyDescent="0.25">
      <c r="A152" t="s">
        <v>2493</v>
      </c>
      <c r="B152" t="s">
        <v>13205</v>
      </c>
      <c r="C152" t="b">
        <v>1</v>
      </c>
      <c r="D152" t="b">
        <v>1</v>
      </c>
      <c r="E152">
        <v>57</v>
      </c>
      <c r="F152">
        <v>18</v>
      </c>
      <c r="G152">
        <v>90</v>
      </c>
      <c r="H152" t="s">
        <v>13206</v>
      </c>
      <c r="I152">
        <v>16</v>
      </c>
      <c r="J152">
        <v>15.15</v>
      </c>
      <c r="K152">
        <v>2.85</v>
      </c>
      <c r="L152" t="s">
        <v>859</v>
      </c>
      <c r="M152" t="s">
        <v>13207</v>
      </c>
      <c r="N152" t="s">
        <v>13282</v>
      </c>
      <c r="O152" t="s">
        <v>874</v>
      </c>
      <c r="P152" t="s">
        <v>2494</v>
      </c>
      <c r="Q152" t="s">
        <v>2494</v>
      </c>
      <c r="R152" t="s">
        <v>2494</v>
      </c>
      <c r="S152" t="s">
        <v>2494</v>
      </c>
      <c r="T152" t="s">
        <v>2492</v>
      </c>
      <c r="U152">
        <v>0</v>
      </c>
      <c r="V152" t="b">
        <v>1</v>
      </c>
      <c r="W152" t="b">
        <v>0</v>
      </c>
      <c r="X152" t="b">
        <v>0</v>
      </c>
      <c r="Y152" t="s">
        <v>13286</v>
      </c>
      <c r="Z152">
        <v>180.99</v>
      </c>
      <c r="AA152" t="s">
        <v>13213</v>
      </c>
      <c r="AB152">
        <v>146</v>
      </c>
      <c r="AC152" t="s">
        <v>13213</v>
      </c>
      <c r="AD152">
        <v>175.2</v>
      </c>
      <c r="AE152" t="s">
        <v>13214</v>
      </c>
      <c r="AF152">
        <v>121.33</v>
      </c>
      <c r="AG152" t="s">
        <v>13213</v>
      </c>
      <c r="AH152">
        <v>92.75</v>
      </c>
      <c r="AI152" t="s">
        <v>13215</v>
      </c>
      <c r="AJ152">
        <v>219</v>
      </c>
      <c r="AK152" t="s">
        <v>13213</v>
      </c>
    </row>
    <row r="153" spans="1:37" x14ac:dyDescent="0.25">
      <c r="A153" t="s">
        <v>2496</v>
      </c>
      <c r="B153" t="s">
        <v>13205</v>
      </c>
      <c r="C153" t="b">
        <v>0</v>
      </c>
      <c r="D153" t="b">
        <v>0</v>
      </c>
      <c r="E153">
        <v>1</v>
      </c>
      <c r="F153">
        <v>1</v>
      </c>
      <c r="G153">
        <v>1</v>
      </c>
      <c r="H153" t="s">
        <v>13206</v>
      </c>
      <c r="I153">
        <v>1</v>
      </c>
      <c r="J153">
        <v>0.01</v>
      </c>
      <c r="K153">
        <v>0</v>
      </c>
      <c r="L153" t="s">
        <v>859</v>
      </c>
      <c r="M153" t="s">
        <v>833</v>
      </c>
      <c r="N153" t="s">
        <v>13253</v>
      </c>
      <c r="O153" t="s">
        <v>874</v>
      </c>
      <c r="P153" t="s">
        <v>2497</v>
      </c>
      <c r="Q153" t="s">
        <v>2497</v>
      </c>
      <c r="R153" t="s">
        <v>2497</v>
      </c>
      <c r="S153" t="s">
        <v>2497</v>
      </c>
      <c r="T153" t="s">
        <v>2495</v>
      </c>
      <c r="U153">
        <v>0</v>
      </c>
      <c r="V153" t="b">
        <v>1</v>
      </c>
      <c r="W153" t="b">
        <v>1</v>
      </c>
      <c r="X153" t="b">
        <v>0</v>
      </c>
      <c r="Y153" t="s">
        <v>13212</v>
      </c>
    </row>
    <row r="154" spans="1:37" x14ac:dyDescent="0.25">
      <c r="A154" t="s">
        <v>2499</v>
      </c>
      <c r="B154" t="s">
        <v>13205</v>
      </c>
      <c r="C154" t="b">
        <v>0</v>
      </c>
      <c r="D154" t="b">
        <v>0</v>
      </c>
      <c r="E154">
        <v>1</v>
      </c>
      <c r="F154">
        <v>1</v>
      </c>
      <c r="G154">
        <v>1</v>
      </c>
      <c r="H154" t="s">
        <v>13206</v>
      </c>
      <c r="I154">
        <v>1</v>
      </c>
      <c r="J154">
        <v>0.01</v>
      </c>
      <c r="K154">
        <v>0</v>
      </c>
      <c r="L154" t="s">
        <v>859</v>
      </c>
      <c r="M154" t="s">
        <v>833</v>
      </c>
      <c r="N154" t="s">
        <v>13253</v>
      </c>
      <c r="O154" t="s">
        <v>874</v>
      </c>
      <c r="P154" t="s">
        <v>2500</v>
      </c>
      <c r="Q154" t="s">
        <v>2500</v>
      </c>
      <c r="R154" t="s">
        <v>2500</v>
      </c>
      <c r="S154" t="s">
        <v>2500</v>
      </c>
      <c r="T154" t="s">
        <v>2498</v>
      </c>
      <c r="U154">
        <v>0</v>
      </c>
      <c r="V154" t="b">
        <v>1</v>
      </c>
      <c r="W154" t="b">
        <v>1</v>
      </c>
      <c r="X154" t="b">
        <v>0</v>
      </c>
      <c r="Y154" t="s">
        <v>13212</v>
      </c>
    </row>
    <row r="155" spans="1:37" x14ac:dyDescent="0.25">
      <c r="A155" t="s">
        <v>506</v>
      </c>
      <c r="B155" t="s">
        <v>13205</v>
      </c>
      <c r="C155" t="b">
        <v>1</v>
      </c>
      <c r="D155" t="b">
        <v>1</v>
      </c>
      <c r="E155">
        <v>1</v>
      </c>
      <c r="F155">
        <v>1</v>
      </c>
      <c r="G155">
        <v>1</v>
      </c>
      <c r="H155" t="s">
        <v>13206</v>
      </c>
      <c r="I155">
        <v>1</v>
      </c>
      <c r="J155">
        <v>0.01</v>
      </c>
      <c r="K155">
        <v>0</v>
      </c>
      <c r="L155" t="s">
        <v>859</v>
      </c>
      <c r="M155" t="s">
        <v>833</v>
      </c>
      <c r="N155" t="s">
        <v>13274</v>
      </c>
      <c r="O155" t="s">
        <v>874</v>
      </c>
      <c r="P155" t="s">
        <v>2645</v>
      </c>
      <c r="Q155" t="s">
        <v>2645</v>
      </c>
      <c r="R155" t="s">
        <v>2645</v>
      </c>
      <c r="S155" t="s">
        <v>2645</v>
      </c>
      <c r="T155" t="s">
        <v>2646</v>
      </c>
      <c r="U155">
        <v>355</v>
      </c>
      <c r="V155" t="b">
        <v>0</v>
      </c>
      <c r="W155" t="b">
        <v>0</v>
      </c>
      <c r="X155" t="b">
        <v>0</v>
      </c>
      <c r="Y155" t="s">
        <v>13212</v>
      </c>
      <c r="Z155">
        <v>230.58</v>
      </c>
      <c r="AA155" t="s">
        <v>13213</v>
      </c>
      <c r="AB155">
        <v>186</v>
      </c>
      <c r="AC155" t="s">
        <v>13213</v>
      </c>
      <c r="AD155">
        <v>199.33</v>
      </c>
      <c r="AE155" t="s">
        <v>13214</v>
      </c>
      <c r="AF155">
        <v>176.22</v>
      </c>
      <c r="AG155" t="s">
        <v>13213</v>
      </c>
      <c r="AH155">
        <v>145.25</v>
      </c>
      <c r="AI155" t="s">
        <v>13215</v>
      </c>
      <c r="AJ155">
        <v>279</v>
      </c>
      <c r="AK155" t="s">
        <v>13213</v>
      </c>
    </row>
    <row r="156" spans="1:37" x14ac:dyDescent="0.25">
      <c r="A156" t="s">
        <v>249</v>
      </c>
      <c r="B156" t="s">
        <v>13205</v>
      </c>
      <c r="C156" t="b">
        <v>1</v>
      </c>
      <c r="D156" t="b">
        <v>1</v>
      </c>
      <c r="E156">
        <v>72</v>
      </c>
      <c r="F156">
        <v>68</v>
      </c>
      <c r="G156">
        <v>26</v>
      </c>
      <c r="H156" t="s">
        <v>13206</v>
      </c>
      <c r="I156">
        <v>15</v>
      </c>
      <c r="J156">
        <v>17</v>
      </c>
      <c r="K156">
        <v>2</v>
      </c>
      <c r="L156" t="s">
        <v>859</v>
      </c>
      <c r="M156" t="s">
        <v>13207</v>
      </c>
      <c r="N156" t="s">
        <v>13208</v>
      </c>
      <c r="O156" t="s">
        <v>874</v>
      </c>
      <c r="P156" t="s">
        <v>248</v>
      </c>
      <c r="Q156" t="s">
        <v>248</v>
      </c>
      <c r="R156" t="s">
        <v>248</v>
      </c>
      <c r="S156" t="s">
        <v>248</v>
      </c>
      <c r="T156" t="s">
        <v>2647</v>
      </c>
      <c r="U156">
        <v>570</v>
      </c>
      <c r="V156" t="b">
        <v>0</v>
      </c>
      <c r="W156" t="b">
        <v>0</v>
      </c>
      <c r="X156" t="b">
        <v>0</v>
      </c>
      <c r="Y156" t="s">
        <v>13212</v>
      </c>
      <c r="Z156">
        <v>189.26</v>
      </c>
      <c r="AA156" t="s">
        <v>13213</v>
      </c>
      <c r="AB156">
        <v>152.66999999999999</v>
      </c>
      <c r="AC156" t="s">
        <v>13213</v>
      </c>
      <c r="AD156">
        <v>166</v>
      </c>
      <c r="AE156" t="s">
        <v>13214</v>
      </c>
      <c r="AF156">
        <v>139.63</v>
      </c>
      <c r="AG156" t="s">
        <v>13213</v>
      </c>
      <c r="AH156">
        <v>116.08</v>
      </c>
      <c r="AI156" t="s">
        <v>13215</v>
      </c>
      <c r="AJ156">
        <v>229</v>
      </c>
      <c r="AK156" t="s">
        <v>13213</v>
      </c>
    </row>
    <row r="157" spans="1:37" x14ac:dyDescent="0.25">
      <c r="A157" t="s">
        <v>255</v>
      </c>
      <c r="B157" t="s">
        <v>13205</v>
      </c>
      <c r="C157" t="b">
        <v>1</v>
      </c>
      <c r="D157" t="b">
        <v>1</v>
      </c>
      <c r="E157">
        <v>23</v>
      </c>
      <c r="F157">
        <v>62</v>
      </c>
      <c r="G157">
        <v>42</v>
      </c>
      <c r="H157" t="s">
        <v>13206</v>
      </c>
      <c r="I157">
        <v>30</v>
      </c>
      <c r="J157">
        <v>5.5</v>
      </c>
      <c r="K157">
        <v>0.5</v>
      </c>
      <c r="L157" t="s">
        <v>859</v>
      </c>
      <c r="M157" t="s">
        <v>13207</v>
      </c>
      <c r="N157" t="s">
        <v>13253</v>
      </c>
      <c r="O157" t="s">
        <v>874</v>
      </c>
      <c r="P157" t="s">
        <v>2652</v>
      </c>
      <c r="Q157" t="s">
        <v>13273</v>
      </c>
      <c r="R157" t="s">
        <v>2652</v>
      </c>
      <c r="S157" t="s">
        <v>2652</v>
      </c>
      <c r="T157" t="s">
        <v>2651</v>
      </c>
      <c r="U157">
        <v>500</v>
      </c>
      <c r="V157" t="b">
        <v>0</v>
      </c>
      <c r="W157" t="b">
        <v>0</v>
      </c>
      <c r="X157" t="b">
        <v>0</v>
      </c>
      <c r="Y157" t="s">
        <v>13212</v>
      </c>
      <c r="Z157">
        <v>73.55</v>
      </c>
      <c r="AA157" t="s">
        <v>13213</v>
      </c>
      <c r="AB157">
        <v>59.33</v>
      </c>
      <c r="AC157" t="s">
        <v>13213</v>
      </c>
      <c r="AD157">
        <v>63.2</v>
      </c>
      <c r="AE157" t="s">
        <v>13214</v>
      </c>
      <c r="AF157">
        <v>60.37</v>
      </c>
      <c r="AG157" t="s">
        <v>13213</v>
      </c>
      <c r="AH157">
        <v>46.08</v>
      </c>
      <c r="AI157" t="s">
        <v>13215</v>
      </c>
      <c r="AJ157">
        <v>89</v>
      </c>
      <c r="AK157" t="s">
        <v>13213</v>
      </c>
    </row>
    <row r="158" spans="1:37" x14ac:dyDescent="0.25">
      <c r="A158" t="s">
        <v>240</v>
      </c>
      <c r="B158" t="s">
        <v>13205</v>
      </c>
      <c r="C158" t="b">
        <v>1</v>
      </c>
      <c r="D158" t="b">
        <v>1</v>
      </c>
      <c r="E158">
        <v>73</v>
      </c>
      <c r="F158">
        <v>68</v>
      </c>
      <c r="G158">
        <v>26</v>
      </c>
      <c r="H158" t="s">
        <v>13206</v>
      </c>
      <c r="I158">
        <v>15</v>
      </c>
      <c r="J158">
        <v>18</v>
      </c>
      <c r="K158">
        <v>3.5</v>
      </c>
      <c r="L158" t="s">
        <v>859</v>
      </c>
      <c r="M158" t="s">
        <v>13207</v>
      </c>
      <c r="N158" t="s">
        <v>13208</v>
      </c>
      <c r="O158" t="s">
        <v>874</v>
      </c>
      <c r="P158" t="s">
        <v>241</v>
      </c>
      <c r="Q158" t="s">
        <v>241</v>
      </c>
      <c r="R158" t="s">
        <v>241</v>
      </c>
      <c r="S158" t="s">
        <v>241</v>
      </c>
      <c r="T158" t="s">
        <v>2674</v>
      </c>
      <c r="U158">
        <v>570</v>
      </c>
      <c r="V158" t="b">
        <v>0</v>
      </c>
      <c r="W158" t="b">
        <v>0</v>
      </c>
      <c r="X158" t="b">
        <v>0</v>
      </c>
      <c r="Y158" t="s">
        <v>13212</v>
      </c>
      <c r="Z158">
        <v>214.05</v>
      </c>
      <c r="AA158" t="s">
        <v>13213</v>
      </c>
      <c r="AB158">
        <v>172.67</v>
      </c>
      <c r="AC158" t="s">
        <v>13213</v>
      </c>
      <c r="AD158">
        <v>199.2</v>
      </c>
      <c r="AE158" t="s">
        <v>13214</v>
      </c>
      <c r="AF158">
        <v>164.02</v>
      </c>
      <c r="AG158" t="s">
        <v>13213</v>
      </c>
      <c r="AH158">
        <v>133.58000000000001</v>
      </c>
      <c r="AI158" t="s">
        <v>13215</v>
      </c>
      <c r="AJ158">
        <v>259</v>
      </c>
      <c r="AK158" t="s">
        <v>13213</v>
      </c>
    </row>
    <row r="159" spans="1:37" x14ac:dyDescent="0.25">
      <c r="A159" t="s">
        <v>242</v>
      </c>
      <c r="B159" t="s">
        <v>13205</v>
      </c>
      <c r="C159" t="b">
        <v>1</v>
      </c>
      <c r="D159" t="b">
        <v>1</v>
      </c>
      <c r="E159">
        <v>73</v>
      </c>
      <c r="F159">
        <v>68</v>
      </c>
      <c r="G159">
        <v>26</v>
      </c>
      <c r="H159" t="s">
        <v>13206</v>
      </c>
      <c r="I159">
        <v>15</v>
      </c>
      <c r="J159">
        <v>18</v>
      </c>
      <c r="K159">
        <v>3.5</v>
      </c>
      <c r="L159" t="s">
        <v>859</v>
      </c>
      <c r="M159" t="s">
        <v>13207</v>
      </c>
      <c r="N159" t="s">
        <v>13208</v>
      </c>
      <c r="O159" t="s">
        <v>874</v>
      </c>
      <c r="P159" t="s">
        <v>2683</v>
      </c>
      <c r="Q159" t="s">
        <v>2683</v>
      </c>
      <c r="R159" t="s">
        <v>2683</v>
      </c>
      <c r="S159" t="s">
        <v>2683</v>
      </c>
      <c r="T159" t="s">
        <v>2684</v>
      </c>
      <c r="U159">
        <v>570</v>
      </c>
      <c r="V159" t="b">
        <v>0</v>
      </c>
      <c r="W159" t="b">
        <v>0</v>
      </c>
      <c r="X159" t="b">
        <v>0</v>
      </c>
      <c r="Y159" t="s">
        <v>13212</v>
      </c>
      <c r="Z159">
        <v>214.05</v>
      </c>
      <c r="AA159" t="s">
        <v>13213</v>
      </c>
      <c r="AB159">
        <v>172.67</v>
      </c>
      <c r="AC159" t="s">
        <v>13213</v>
      </c>
      <c r="AD159">
        <v>199.2</v>
      </c>
      <c r="AE159" t="s">
        <v>13214</v>
      </c>
      <c r="AF159">
        <v>164.02</v>
      </c>
      <c r="AG159" t="s">
        <v>13213</v>
      </c>
      <c r="AH159">
        <v>133.58000000000001</v>
      </c>
      <c r="AI159" t="s">
        <v>13215</v>
      </c>
      <c r="AJ159">
        <v>259</v>
      </c>
      <c r="AK159" t="s">
        <v>13213</v>
      </c>
    </row>
    <row r="160" spans="1:37" x14ac:dyDescent="0.25">
      <c r="A160" t="s">
        <v>2695</v>
      </c>
      <c r="B160" t="s">
        <v>13205</v>
      </c>
      <c r="C160" t="b">
        <v>0</v>
      </c>
      <c r="D160" t="b">
        <v>0</v>
      </c>
      <c r="E160">
        <v>73</v>
      </c>
      <c r="F160">
        <v>68</v>
      </c>
      <c r="G160">
        <v>26</v>
      </c>
      <c r="H160" t="s">
        <v>13206</v>
      </c>
      <c r="I160">
        <v>15</v>
      </c>
      <c r="J160">
        <v>18.5</v>
      </c>
      <c r="K160">
        <v>3.5</v>
      </c>
      <c r="L160" t="s">
        <v>859</v>
      </c>
      <c r="M160" t="s">
        <v>833</v>
      </c>
      <c r="N160" t="s">
        <v>13208</v>
      </c>
      <c r="O160" t="s">
        <v>874</v>
      </c>
      <c r="P160" t="s">
        <v>2696</v>
      </c>
      <c r="Q160" t="s">
        <v>2696</v>
      </c>
      <c r="R160" t="s">
        <v>2696</v>
      </c>
      <c r="S160" t="s">
        <v>2696</v>
      </c>
      <c r="T160" t="s">
        <v>2694</v>
      </c>
      <c r="U160">
        <v>0</v>
      </c>
      <c r="V160" t="b">
        <v>1</v>
      </c>
      <c r="W160" t="b">
        <v>1</v>
      </c>
      <c r="X160" t="b">
        <v>0</v>
      </c>
      <c r="Y160" t="s">
        <v>13212</v>
      </c>
    </row>
    <row r="161" spans="1:37" x14ac:dyDescent="0.25">
      <c r="A161" t="s">
        <v>243</v>
      </c>
      <c r="B161" t="s">
        <v>13205</v>
      </c>
      <c r="C161" t="b">
        <v>1</v>
      </c>
      <c r="D161" t="b">
        <v>1</v>
      </c>
      <c r="E161">
        <v>73</v>
      </c>
      <c r="F161">
        <v>67</v>
      </c>
      <c r="G161">
        <v>26</v>
      </c>
      <c r="H161" t="s">
        <v>13206</v>
      </c>
      <c r="I161">
        <v>15</v>
      </c>
      <c r="J161">
        <v>18.5</v>
      </c>
      <c r="K161">
        <v>3.5</v>
      </c>
      <c r="L161" t="s">
        <v>859</v>
      </c>
      <c r="M161" t="s">
        <v>13207</v>
      </c>
      <c r="N161" t="s">
        <v>13208</v>
      </c>
      <c r="O161" t="s">
        <v>874</v>
      </c>
      <c r="P161" t="s">
        <v>244</v>
      </c>
      <c r="Q161" t="s">
        <v>244</v>
      </c>
      <c r="R161" t="s">
        <v>244</v>
      </c>
      <c r="S161" t="s">
        <v>244</v>
      </c>
      <c r="T161" t="s">
        <v>2699</v>
      </c>
      <c r="U161">
        <v>570</v>
      </c>
      <c r="V161" t="b">
        <v>0</v>
      </c>
      <c r="W161" t="b">
        <v>0</v>
      </c>
      <c r="X161" t="b">
        <v>0</v>
      </c>
      <c r="Y161" t="s">
        <v>13212</v>
      </c>
      <c r="Z161">
        <v>247.11</v>
      </c>
      <c r="AA161" t="s">
        <v>13213</v>
      </c>
      <c r="AB161">
        <v>199.33</v>
      </c>
      <c r="AC161" t="s">
        <v>13213</v>
      </c>
      <c r="AD161">
        <v>231.2</v>
      </c>
      <c r="AE161" t="s">
        <v>13214</v>
      </c>
      <c r="AF161">
        <v>182.32</v>
      </c>
      <c r="AG161" t="s">
        <v>13213</v>
      </c>
      <c r="AH161">
        <v>151.08000000000001</v>
      </c>
      <c r="AI161" t="s">
        <v>13215</v>
      </c>
      <c r="AJ161">
        <v>299</v>
      </c>
      <c r="AK161" t="s">
        <v>13213</v>
      </c>
    </row>
    <row r="162" spans="1:37" x14ac:dyDescent="0.25">
      <c r="A162" t="s">
        <v>245</v>
      </c>
      <c r="B162" t="s">
        <v>13205</v>
      </c>
      <c r="C162" t="b">
        <v>1</v>
      </c>
      <c r="D162" t="b">
        <v>1</v>
      </c>
      <c r="E162">
        <v>73</v>
      </c>
      <c r="F162">
        <v>68</v>
      </c>
      <c r="G162">
        <v>26</v>
      </c>
      <c r="H162" t="s">
        <v>13206</v>
      </c>
      <c r="I162">
        <v>15</v>
      </c>
      <c r="J162">
        <v>18.5</v>
      </c>
      <c r="K162">
        <v>3.5</v>
      </c>
      <c r="L162" t="s">
        <v>859</v>
      </c>
      <c r="M162" t="s">
        <v>13207</v>
      </c>
      <c r="N162" t="s">
        <v>13208</v>
      </c>
      <c r="O162" t="s">
        <v>874</v>
      </c>
      <c r="P162" t="s">
        <v>13248</v>
      </c>
      <c r="Q162" t="s">
        <v>672</v>
      </c>
      <c r="R162" t="s">
        <v>672</v>
      </c>
      <c r="S162" t="s">
        <v>672</v>
      </c>
      <c r="T162" t="s">
        <v>2706</v>
      </c>
      <c r="U162">
        <v>570</v>
      </c>
      <c r="V162" t="b">
        <v>0</v>
      </c>
      <c r="W162" t="b">
        <v>0</v>
      </c>
      <c r="X162" t="b">
        <v>0</v>
      </c>
      <c r="Y162" t="s">
        <v>13212</v>
      </c>
      <c r="Z162">
        <v>247.11</v>
      </c>
      <c r="AA162" t="s">
        <v>13213</v>
      </c>
      <c r="AB162">
        <v>199.33</v>
      </c>
      <c r="AC162" t="s">
        <v>13213</v>
      </c>
      <c r="AD162">
        <v>231.2</v>
      </c>
      <c r="AE162" t="s">
        <v>13214</v>
      </c>
      <c r="AF162">
        <v>182.32</v>
      </c>
      <c r="AG162" t="s">
        <v>13213</v>
      </c>
      <c r="AH162">
        <v>151.08000000000001</v>
      </c>
      <c r="AI162" t="s">
        <v>13215</v>
      </c>
      <c r="AJ162">
        <v>299</v>
      </c>
      <c r="AK162" t="s">
        <v>13213</v>
      </c>
    </row>
    <row r="163" spans="1:37" x14ac:dyDescent="0.25">
      <c r="A163" t="s">
        <v>246</v>
      </c>
      <c r="B163" t="s">
        <v>13205</v>
      </c>
      <c r="C163" t="b">
        <v>1</v>
      </c>
      <c r="D163" t="b">
        <v>1</v>
      </c>
      <c r="E163">
        <v>73</v>
      </c>
      <c r="F163">
        <v>68</v>
      </c>
      <c r="G163">
        <v>26</v>
      </c>
      <c r="H163" t="s">
        <v>13206</v>
      </c>
      <c r="I163">
        <v>15</v>
      </c>
      <c r="J163">
        <v>18.5</v>
      </c>
      <c r="K163">
        <v>3.5</v>
      </c>
      <c r="L163" t="s">
        <v>859</v>
      </c>
      <c r="M163" t="s">
        <v>13207</v>
      </c>
      <c r="N163" t="s">
        <v>13208</v>
      </c>
      <c r="O163" t="s">
        <v>874</v>
      </c>
      <c r="P163" t="s">
        <v>247</v>
      </c>
      <c r="Q163" t="s">
        <v>247</v>
      </c>
      <c r="R163" t="s">
        <v>247</v>
      </c>
      <c r="S163" t="s">
        <v>247</v>
      </c>
      <c r="T163" t="s">
        <v>2713</v>
      </c>
      <c r="U163">
        <v>0</v>
      </c>
      <c r="V163" t="b">
        <v>0</v>
      </c>
      <c r="W163" t="b">
        <v>0</v>
      </c>
      <c r="X163" t="b">
        <v>0</v>
      </c>
      <c r="Y163" t="s">
        <v>13212</v>
      </c>
      <c r="Z163">
        <v>247.11</v>
      </c>
      <c r="AA163" t="s">
        <v>13213</v>
      </c>
      <c r="AB163">
        <v>199.33</v>
      </c>
      <c r="AC163" t="s">
        <v>13213</v>
      </c>
      <c r="AD163">
        <v>231.2</v>
      </c>
      <c r="AE163" t="s">
        <v>13214</v>
      </c>
      <c r="AF163">
        <v>182.32</v>
      </c>
      <c r="AG163" t="s">
        <v>13213</v>
      </c>
      <c r="AH163">
        <v>151.08000000000001</v>
      </c>
      <c r="AI163" t="s">
        <v>13215</v>
      </c>
      <c r="AJ163">
        <v>299</v>
      </c>
      <c r="AK163" t="s">
        <v>13213</v>
      </c>
    </row>
    <row r="164" spans="1:37" x14ac:dyDescent="0.25">
      <c r="A164" t="s">
        <v>264</v>
      </c>
      <c r="B164" t="s">
        <v>13205</v>
      </c>
      <c r="C164" t="b">
        <v>1</v>
      </c>
      <c r="D164" t="b">
        <v>1</v>
      </c>
      <c r="E164">
        <v>29</v>
      </c>
      <c r="F164">
        <v>73</v>
      </c>
      <c r="G164">
        <v>71</v>
      </c>
      <c r="H164" t="s">
        <v>13206</v>
      </c>
      <c r="I164">
        <v>12</v>
      </c>
      <c r="J164">
        <v>22.4</v>
      </c>
      <c r="K164">
        <v>2.4</v>
      </c>
      <c r="L164" t="s">
        <v>859</v>
      </c>
      <c r="M164" t="s">
        <v>13207</v>
      </c>
      <c r="N164" t="s">
        <v>13208</v>
      </c>
      <c r="O164" t="s">
        <v>874</v>
      </c>
      <c r="P164" t="s">
        <v>673</v>
      </c>
      <c r="Q164" t="s">
        <v>673</v>
      </c>
      <c r="R164" t="s">
        <v>673</v>
      </c>
      <c r="S164" t="s">
        <v>673</v>
      </c>
      <c r="T164" t="s">
        <v>305</v>
      </c>
      <c r="U164">
        <v>450</v>
      </c>
      <c r="V164" t="b">
        <v>0</v>
      </c>
      <c r="W164" t="b">
        <v>0</v>
      </c>
      <c r="X164" t="b">
        <v>0</v>
      </c>
      <c r="Y164" t="s">
        <v>13212</v>
      </c>
      <c r="Z164">
        <v>288.43</v>
      </c>
      <c r="AA164" t="s">
        <v>13213</v>
      </c>
      <c r="AB164">
        <v>232.67</v>
      </c>
      <c r="AC164" t="s">
        <v>13213</v>
      </c>
      <c r="AD164">
        <v>266.66000000000003</v>
      </c>
      <c r="AE164" t="s">
        <v>13214</v>
      </c>
      <c r="AF164">
        <v>225</v>
      </c>
      <c r="AG164" t="s">
        <v>13213</v>
      </c>
      <c r="AH164">
        <v>180.25</v>
      </c>
      <c r="AI164" t="s">
        <v>13215</v>
      </c>
      <c r="AJ164">
        <v>349</v>
      </c>
      <c r="AK164" t="s">
        <v>13213</v>
      </c>
    </row>
    <row r="165" spans="1:37" x14ac:dyDescent="0.25">
      <c r="A165" t="s">
        <v>236</v>
      </c>
      <c r="B165" t="s">
        <v>13205</v>
      </c>
      <c r="C165" t="b">
        <v>1</v>
      </c>
      <c r="D165" t="b">
        <v>1</v>
      </c>
      <c r="E165">
        <v>46</v>
      </c>
      <c r="F165">
        <v>50</v>
      </c>
      <c r="G165">
        <v>25</v>
      </c>
      <c r="H165" t="s">
        <v>13206</v>
      </c>
      <c r="I165">
        <v>40</v>
      </c>
      <c r="J165">
        <v>7</v>
      </c>
      <c r="K165">
        <v>1.5</v>
      </c>
      <c r="L165" t="s">
        <v>859</v>
      </c>
      <c r="M165" t="s">
        <v>13207</v>
      </c>
      <c r="N165" t="s">
        <v>13208</v>
      </c>
      <c r="O165" t="s">
        <v>874</v>
      </c>
      <c r="P165" t="s">
        <v>493</v>
      </c>
      <c r="Q165" t="s">
        <v>493</v>
      </c>
      <c r="R165" t="s">
        <v>493</v>
      </c>
      <c r="S165" t="s">
        <v>493</v>
      </c>
      <c r="T165" t="s">
        <v>2728</v>
      </c>
      <c r="U165">
        <v>0</v>
      </c>
      <c r="V165" t="b">
        <v>0</v>
      </c>
      <c r="W165" t="b">
        <v>0</v>
      </c>
      <c r="X165" t="b">
        <v>0</v>
      </c>
      <c r="Y165" t="s">
        <v>13212</v>
      </c>
      <c r="Z165">
        <v>81.819999999999993</v>
      </c>
      <c r="AA165" t="s">
        <v>13213</v>
      </c>
      <c r="AB165">
        <v>66</v>
      </c>
      <c r="AC165" t="s">
        <v>13213</v>
      </c>
      <c r="AD165">
        <v>79.2</v>
      </c>
      <c r="AE165" t="s">
        <v>13214</v>
      </c>
      <c r="AF165">
        <v>60.37</v>
      </c>
      <c r="AG165" t="s">
        <v>13213</v>
      </c>
      <c r="AH165">
        <v>57.75</v>
      </c>
      <c r="AI165" t="s">
        <v>13215</v>
      </c>
      <c r="AJ165">
        <v>99</v>
      </c>
      <c r="AK165" t="s">
        <v>13213</v>
      </c>
    </row>
    <row r="166" spans="1:37" x14ac:dyDescent="0.25">
      <c r="A166" t="s">
        <v>460</v>
      </c>
      <c r="B166" t="s">
        <v>13205</v>
      </c>
      <c r="C166" t="b">
        <v>1</v>
      </c>
      <c r="D166" t="b">
        <v>1</v>
      </c>
      <c r="E166">
        <v>46</v>
      </c>
      <c r="F166">
        <v>50</v>
      </c>
      <c r="G166">
        <v>25</v>
      </c>
      <c r="H166" t="s">
        <v>13206</v>
      </c>
      <c r="I166">
        <v>40</v>
      </c>
      <c r="J166">
        <v>7</v>
      </c>
      <c r="K166">
        <v>1.5</v>
      </c>
      <c r="L166" t="s">
        <v>859</v>
      </c>
      <c r="M166" t="s">
        <v>13207</v>
      </c>
      <c r="N166" t="s">
        <v>13208</v>
      </c>
      <c r="O166" t="s">
        <v>874</v>
      </c>
      <c r="P166" t="s">
        <v>461</v>
      </c>
      <c r="Q166" t="s">
        <v>461</v>
      </c>
      <c r="R166" t="s">
        <v>461</v>
      </c>
      <c r="S166" t="s">
        <v>461</v>
      </c>
      <c r="T166" t="s">
        <v>2732</v>
      </c>
      <c r="U166">
        <v>1200</v>
      </c>
      <c r="V166" t="b">
        <v>0</v>
      </c>
      <c r="W166" t="b">
        <v>0</v>
      </c>
      <c r="X166" t="b">
        <v>0</v>
      </c>
      <c r="Y166" t="s">
        <v>13212</v>
      </c>
      <c r="Z166">
        <v>98.35</v>
      </c>
      <c r="AA166" t="s">
        <v>13213</v>
      </c>
      <c r="AB166">
        <v>79.33</v>
      </c>
      <c r="AC166" t="s">
        <v>13213</v>
      </c>
      <c r="AD166">
        <v>90</v>
      </c>
      <c r="AE166" t="s">
        <v>13214</v>
      </c>
      <c r="AF166">
        <v>78.66</v>
      </c>
      <c r="AG166" t="s">
        <v>13213</v>
      </c>
      <c r="AH166">
        <v>63.58</v>
      </c>
      <c r="AI166" t="s">
        <v>13215</v>
      </c>
      <c r="AJ166">
        <v>119</v>
      </c>
      <c r="AK166" t="s">
        <v>13213</v>
      </c>
    </row>
    <row r="167" spans="1:37" x14ac:dyDescent="0.25">
      <c r="A167" t="s">
        <v>462</v>
      </c>
      <c r="B167" t="s">
        <v>13205</v>
      </c>
      <c r="C167" t="b">
        <v>1</v>
      </c>
      <c r="D167" t="b">
        <v>1</v>
      </c>
      <c r="E167">
        <v>46</v>
      </c>
      <c r="F167">
        <v>50</v>
      </c>
      <c r="G167">
        <v>25</v>
      </c>
      <c r="H167" t="s">
        <v>13206</v>
      </c>
      <c r="I167">
        <v>40</v>
      </c>
      <c r="J167">
        <v>7</v>
      </c>
      <c r="K167">
        <v>1.5</v>
      </c>
      <c r="L167" t="s">
        <v>859</v>
      </c>
      <c r="M167" t="s">
        <v>13207</v>
      </c>
      <c r="N167" t="s">
        <v>13208</v>
      </c>
      <c r="O167" t="s">
        <v>874</v>
      </c>
      <c r="P167" t="s">
        <v>463</v>
      </c>
      <c r="Q167" t="s">
        <v>463</v>
      </c>
      <c r="R167" t="s">
        <v>463</v>
      </c>
      <c r="S167" t="s">
        <v>463</v>
      </c>
      <c r="T167" t="s">
        <v>2737</v>
      </c>
      <c r="U167">
        <v>1200</v>
      </c>
      <c r="V167" t="b">
        <v>0</v>
      </c>
      <c r="W167" t="b">
        <v>0</v>
      </c>
      <c r="X167" t="b">
        <v>0</v>
      </c>
      <c r="Y167" t="s">
        <v>13212</v>
      </c>
      <c r="Z167">
        <v>98.35</v>
      </c>
      <c r="AA167" t="s">
        <v>13213</v>
      </c>
      <c r="AB167">
        <v>79.33</v>
      </c>
      <c r="AC167" t="s">
        <v>13213</v>
      </c>
      <c r="AD167">
        <v>90</v>
      </c>
      <c r="AE167" t="s">
        <v>13214</v>
      </c>
      <c r="AF167">
        <v>78.66</v>
      </c>
      <c r="AG167" t="s">
        <v>13213</v>
      </c>
      <c r="AH167">
        <v>63.58</v>
      </c>
      <c r="AI167" t="s">
        <v>13215</v>
      </c>
      <c r="AJ167">
        <v>119</v>
      </c>
      <c r="AK167" t="s">
        <v>13213</v>
      </c>
    </row>
    <row r="168" spans="1:37" x14ac:dyDescent="0.25">
      <c r="A168" t="s">
        <v>237</v>
      </c>
      <c r="B168" t="s">
        <v>13205</v>
      </c>
      <c r="C168" t="b">
        <v>1</v>
      </c>
      <c r="D168" t="b">
        <v>1</v>
      </c>
      <c r="E168">
        <v>46</v>
      </c>
      <c r="F168">
        <v>50</v>
      </c>
      <c r="G168">
        <v>25</v>
      </c>
      <c r="H168" t="s">
        <v>13206</v>
      </c>
      <c r="I168">
        <v>40</v>
      </c>
      <c r="J168">
        <v>7.2</v>
      </c>
      <c r="K168">
        <v>1.5</v>
      </c>
      <c r="L168" t="s">
        <v>859</v>
      </c>
      <c r="M168" t="s">
        <v>13207</v>
      </c>
      <c r="N168" t="s">
        <v>13208</v>
      </c>
      <c r="O168" t="s">
        <v>874</v>
      </c>
      <c r="P168" t="s">
        <v>238</v>
      </c>
      <c r="Q168" t="s">
        <v>238</v>
      </c>
      <c r="R168" t="s">
        <v>238</v>
      </c>
      <c r="S168" t="s">
        <v>238</v>
      </c>
      <c r="T168" t="s">
        <v>2742</v>
      </c>
      <c r="U168">
        <v>1200</v>
      </c>
      <c r="V168" t="b">
        <v>0</v>
      </c>
      <c r="W168" t="b">
        <v>0</v>
      </c>
      <c r="X168" t="b">
        <v>0</v>
      </c>
      <c r="Y168" t="s">
        <v>13212</v>
      </c>
      <c r="Z168">
        <v>123.14</v>
      </c>
      <c r="AA168" t="s">
        <v>13213</v>
      </c>
      <c r="AB168">
        <v>99.33</v>
      </c>
      <c r="AC168" t="s">
        <v>13213</v>
      </c>
      <c r="AD168">
        <v>119.2</v>
      </c>
      <c r="AE168" t="s">
        <v>13214</v>
      </c>
      <c r="AF168">
        <v>90.85</v>
      </c>
      <c r="AG168" t="s">
        <v>13213</v>
      </c>
      <c r="AH168">
        <v>72.25</v>
      </c>
      <c r="AI168" t="s">
        <v>13215</v>
      </c>
      <c r="AJ168">
        <v>149</v>
      </c>
      <c r="AK168" t="s">
        <v>13213</v>
      </c>
    </row>
    <row r="169" spans="1:37" x14ac:dyDescent="0.25">
      <c r="A169" t="s">
        <v>464</v>
      </c>
      <c r="B169" t="s">
        <v>13205</v>
      </c>
      <c r="C169" t="b">
        <v>1</v>
      </c>
      <c r="D169" t="b">
        <v>1</v>
      </c>
      <c r="E169">
        <v>46</v>
      </c>
      <c r="F169">
        <v>50</v>
      </c>
      <c r="G169">
        <v>25</v>
      </c>
      <c r="H169" t="s">
        <v>13206</v>
      </c>
      <c r="I169">
        <v>40</v>
      </c>
      <c r="J169">
        <v>7</v>
      </c>
      <c r="K169">
        <v>1.5</v>
      </c>
      <c r="L169" t="s">
        <v>859</v>
      </c>
      <c r="M169" t="s">
        <v>13207</v>
      </c>
      <c r="N169" t="s">
        <v>13208</v>
      </c>
      <c r="O169" t="s">
        <v>874</v>
      </c>
      <c r="P169" t="s">
        <v>671</v>
      </c>
      <c r="Q169" t="s">
        <v>671</v>
      </c>
      <c r="R169" t="s">
        <v>671</v>
      </c>
      <c r="S169" t="s">
        <v>671</v>
      </c>
      <c r="T169" t="s">
        <v>2747</v>
      </c>
      <c r="U169">
        <v>1200</v>
      </c>
      <c r="V169" t="b">
        <v>0</v>
      </c>
      <c r="W169" t="b">
        <v>0</v>
      </c>
      <c r="X169" t="b">
        <v>0</v>
      </c>
      <c r="Y169" t="s">
        <v>13212</v>
      </c>
      <c r="Z169">
        <v>131.4</v>
      </c>
      <c r="AA169" t="s">
        <v>13213</v>
      </c>
      <c r="AB169">
        <v>106</v>
      </c>
      <c r="AC169" t="s">
        <v>13213</v>
      </c>
      <c r="AD169">
        <v>122</v>
      </c>
      <c r="AE169" t="s">
        <v>13214</v>
      </c>
      <c r="AF169">
        <v>96.95</v>
      </c>
      <c r="AG169" t="s">
        <v>13213</v>
      </c>
      <c r="AH169">
        <v>81.08</v>
      </c>
      <c r="AI169" t="s">
        <v>13215</v>
      </c>
      <c r="AJ169">
        <v>159</v>
      </c>
      <c r="AK169" t="s">
        <v>13213</v>
      </c>
    </row>
    <row r="170" spans="1:37" x14ac:dyDescent="0.25">
      <c r="A170" t="s">
        <v>2750</v>
      </c>
      <c r="B170" t="s">
        <v>13205</v>
      </c>
      <c r="C170" t="b">
        <v>0</v>
      </c>
      <c r="D170" t="b">
        <v>0</v>
      </c>
      <c r="E170">
        <v>46</v>
      </c>
      <c r="F170">
        <v>50</v>
      </c>
      <c r="G170">
        <v>25</v>
      </c>
      <c r="H170" t="s">
        <v>13206</v>
      </c>
      <c r="I170">
        <v>40</v>
      </c>
      <c r="J170">
        <v>7</v>
      </c>
      <c r="K170">
        <v>1.5</v>
      </c>
      <c r="L170" t="s">
        <v>859</v>
      </c>
      <c r="M170" t="s">
        <v>13207</v>
      </c>
      <c r="N170" t="s">
        <v>13208</v>
      </c>
      <c r="O170" t="s">
        <v>874</v>
      </c>
      <c r="P170" t="s">
        <v>2751</v>
      </c>
      <c r="Q170" t="s">
        <v>2751</v>
      </c>
      <c r="R170" t="s">
        <v>2751</v>
      </c>
      <c r="S170" t="s">
        <v>2751</v>
      </c>
      <c r="T170" t="s">
        <v>2749</v>
      </c>
      <c r="U170">
        <v>400</v>
      </c>
      <c r="V170" t="b">
        <v>0</v>
      </c>
      <c r="W170" t="b">
        <v>0</v>
      </c>
      <c r="X170" t="b">
        <v>0</v>
      </c>
      <c r="Y170" t="s">
        <v>13212</v>
      </c>
      <c r="Z170">
        <v>131.4</v>
      </c>
      <c r="AA170" t="s">
        <v>13213</v>
      </c>
      <c r="AB170">
        <v>106</v>
      </c>
      <c r="AC170" t="s">
        <v>13213</v>
      </c>
      <c r="AD170">
        <v>122</v>
      </c>
      <c r="AE170" t="s">
        <v>13214</v>
      </c>
      <c r="AF170">
        <v>106</v>
      </c>
      <c r="AG170" t="s">
        <v>13213</v>
      </c>
      <c r="AH170">
        <v>92.67</v>
      </c>
      <c r="AI170" t="s">
        <v>13215</v>
      </c>
      <c r="AJ170">
        <v>159</v>
      </c>
      <c r="AK170" t="s">
        <v>13213</v>
      </c>
    </row>
    <row r="171" spans="1:37" x14ac:dyDescent="0.25">
      <c r="A171" t="s">
        <v>265</v>
      </c>
      <c r="B171" t="s">
        <v>13205</v>
      </c>
      <c r="C171" t="b">
        <v>1</v>
      </c>
      <c r="D171" t="b">
        <v>1</v>
      </c>
      <c r="E171">
        <v>46</v>
      </c>
      <c r="F171">
        <v>50</v>
      </c>
      <c r="G171">
        <v>25</v>
      </c>
      <c r="H171" t="s">
        <v>13206</v>
      </c>
      <c r="I171">
        <v>40</v>
      </c>
      <c r="J171">
        <v>7.2</v>
      </c>
      <c r="K171">
        <v>1.5</v>
      </c>
      <c r="L171" t="s">
        <v>859</v>
      </c>
      <c r="M171" t="s">
        <v>13207</v>
      </c>
      <c r="N171" t="s">
        <v>13208</v>
      </c>
      <c r="O171" t="s">
        <v>874</v>
      </c>
      <c r="P171" t="s">
        <v>261</v>
      </c>
      <c r="Q171" t="s">
        <v>261</v>
      </c>
      <c r="R171" t="s">
        <v>261</v>
      </c>
      <c r="S171" t="s">
        <v>261</v>
      </c>
      <c r="T171" t="s">
        <v>2752</v>
      </c>
      <c r="U171">
        <v>1200</v>
      </c>
      <c r="V171" t="b">
        <v>0</v>
      </c>
      <c r="W171" t="b">
        <v>0</v>
      </c>
      <c r="X171" t="b">
        <v>0</v>
      </c>
      <c r="Y171" t="s">
        <v>13212</v>
      </c>
      <c r="Z171">
        <v>106.61</v>
      </c>
      <c r="AA171" t="s">
        <v>13213</v>
      </c>
      <c r="AB171">
        <v>86</v>
      </c>
      <c r="AC171" t="s">
        <v>13213</v>
      </c>
      <c r="AD171">
        <v>103.33</v>
      </c>
      <c r="AE171" t="s">
        <v>13214</v>
      </c>
      <c r="AF171">
        <v>78.66</v>
      </c>
      <c r="AG171" t="s">
        <v>13213</v>
      </c>
      <c r="AH171">
        <v>69.42</v>
      </c>
      <c r="AI171" t="s">
        <v>13215</v>
      </c>
      <c r="AJ171">
        <v>129</v>
      </c>
      <c r="AK171" t="s">
        <v>13213</v>
      </c>
    </row>
    <row r="172" spans="1:37" x14ac:dyDescent="0.25">
      <c r="A172" t="s">
        <v>251</v>
      </c>
      <c r="B172" t="s">
        <v>13205</v>
      </c>
      <c r="C172" t="b">
        <v>1</v>
      </c>
      <c r="D172" t="b">
        <v>1</v>
      </c>
      <c r="E172">
        <v>120</v>
      </c>
      <c r="F172">
        <v>36</v>
      </c>
      <c r="G172">
        <v>33</v>
      </c>
      <c r="H172" t="s">
        <v>13206</v>
      </c>
      <c r="I172">
        <v>10</v>
      </c>
      <c r="J172">
        <v>25</v>
      </c>
      <c r="K172">
        <v>2</v>
      </c>
      <c r="L172" t="s">
        <v>859</v>
      </c>
      <c r="M172" t="s">
        <v>13207</v>
      </c>
      <c r="N172" t="s">
        <v>13274</v>
      </c>
      <c r="O172" t="s">
        <v>874</v>
      </c>
      <c r="P172" t="s">
        <v>252</v>
      </c>
      <c r="Q172" t="s">
        <v>252</v>
      </c>
      <c r="R172" t="s">
        <v>252</v>
      </c>
      <c r="S172" t="s">
        <v>252</v>
      </c>
      <c r="T172" t="s">
        <v>2757</v>
      </c>
      <c r="U172">
        <v>420</v>
      </c>
      <c r="V172" t="b">
        <v>0</v>
      </c>
      <c r="W172" t="b">
        <v>0</v>
      </c>
      <c r="X172" t="b">
        <v>0</v>
      </c>
      <c r="Y172" t="s">
        <v>13212</v>
      </c>
      <c r="Z172">
        <v>288.43</v>
      </c>
      <c r="AA172" t="s">
        <v>13213</v>
      </c>
      <c r="AB172">
        <v>232.67</v>
      </c>
      <c r="AC172" t="s">
        <v>13213</v>
      </c>
      <c r="AD172">
        <v>271.2</v>
      </c>
      <c r="AE172" t="s">
        <v>13214</v>
      </c>
      <c r="AF172">
        <v>212.8</v>
      </c>
      <c r="AG172" t="s">
        <v>13213</v>
      </c>
      <c r="AH172">
        <v>174.42</v>
      </c>
      <c r="AI172" t="s">
        <v>13215</v>
      </c>
      <c r="AJ172">
        <v>349</v>
      </c>
      <c r="AK172" t="s">
        <v>13213</v>
      </c>
    </row>
    <row r="173" spans="1:37" x14ac:dyDescent="0.25">
      <c r="A173" t="s">
        <v>253</v>
      </c>
      <c r="B173" t="s">
        <v>13205</v>
      </c>
      <c r="C173" t="b">
        <v>1</v>
      </c>
      <c r="D173" t="b">
        <v>1</v>
      </c>
      <c r="E173">
        <v>120</v>
      </c>
      <c r="F173">
        <v>37</v>
      </c>
      <c r="G173">
        <v>35</v>
      </c>
      <c r="H173" t="s">
        <v>13206</v>
      </c>
      <c r="I173">
        <v>10</v>
      </c>
      <c r="J173">
        <v>27</v>
      </c>
      <c r="K173">
        <v>2</v>
      </c>
      <c r="L173" t="s">
        <v>859</v>
      </c>
      <c r="M173" t="s">
        <v>13207</v>
      </c>
      <c r="N173" t="s">
        <v>13274</v>
      </c>
      <c r="O173" t="s">
        <v>874</v>
      </c>
      <c r="P173" t="s">
        <v>13311</v>
      </c>
      <c r="Q173" t="s">
        <v>13311</v>
      </c>
      <c r="R173" t="s">
        <v>13311</v>
      </c>
      <c r="S173" t="s">
        <v>13311</v>
      </c>
      <c r="T173" t="s">
        <v>2758</v>
      </c>
      <c r="U173">
        <v>420</v>
      </c>
      <c r="V173" t="b">
        <v>0</v>
      </c>
      <c r="W173" t="b">
        <v>0</v>
      </c>
      <c r="X173" t="b">
        <v>0</v>
      </c>
      <c r="Y173" t="s">
        <v>13212</v>
      </c>
      <c r="Z173">
        <v>329.75</v>
      </c>
      <c r="AA173" t="s">
        <v>13213</v>
      </c>
      <c r="AB173">
        <v>266</v>
      </c>
      <c r="AC173" t="s">
        <v>13213</v>
      </c>
      <c r="AD173">
        <v>319.2</v>
      </c>
      <c r="AE173" t="s">
        <v>13214</v>
      </c>
      <c r="AF173">
        <v>243.29</v>
      </c>
      <c r="AG173" t="s">
        <v>13213</v>
      </c>
      <c r="AH173">
        <v>203.58</v>
      </c>
      <c r="AI173" t="s">
        <v>13215</v>
      </c>
      <c r="AJ173">
        <v>399</v>
      </c>
      <c r="AK173" t="s">
        <v>13213</v>
      </c>
    </row>
    <row r="174" spans="1:37" x14ac:dyDescent="0.25">
      <c r="A174" t="s">
        <v>254</v>
      </c>
      <c r="B174" t="s">
        <v>13205</v>
      </c>
      <c r="C174" t="b">
        <v>1</v>
      </c>
      <c r="D174" t="b">
        <v>1</v>
      </c>
      <c r="E174">
        <v>120</v>
      </c>
      <c r="F174">
        <v>36</v>
      </c>
      <c r="G174">
        <v>33</v>
      </c>
      <c r="H174" t="s">
        <v>13206</v>
      </c>
      <c r="I174">
        <v>10</v>
      </c>
      <c r="J174">
        <v>26.5</v>
      </c>
      <c r="K174">
        <v>2</v>
      </c>
      <c r="L174" t="s">
        <v>859</v>
      </c>
      <c r="M174" t="s">
        <v>13207</v>
      </c>
      <c r="N174" t="s">
        <v>13274</v>
      </c>
      <c r="O174" t="s">
        <v>874</v>
      </c>
      <c r="P174" t="s">
        <v>658</v>
      </c>
      <c r="Q174" t="s">
        <v>658</v>
      </c>
      <c r="R174" t="s">
        <v>658</v>
      </c>
      <c r="S174" t="s">
        <v>658</v>
      </c>
      <c r="T174" t="s">
        <v>2760</v>
      </c>
      <c r="U174">
        <v>420</v>
      </c>
      <c r="V174" t="b">
        <v>0</v>
      </c>
      <c r="W174" t="b">
        <v>0</v>
      </c>
      <c r="X174" t="b">
        <v>0</v>
      </c>
      <c r="Y174" t="s">
        <v>13212</v>
      </c>
      <c r="Z174">
        <v>313.22000000000003</v>
      </c>
      <c r="AA174" t="s">
        <v>13213</v>
      </c>
      <c r="AB174">
        <v>252.67</v>
      </c>
      <c r="AC174" t="s">
        <v>13213</v>
      </c>
      <c r="AD174">
        <v>303.2</v>
      </c>
      <c r="AE174" t="s">
        <v>13214</v>
      </c>
      <c r="AF174">
        <v>231.1</v>
      </c>
      <c r="AG174" t="s">
        <v>13213</v>
      </c>
      <c r="AH174">
        <v>191.92</v>
      </c>
      <c r="AI174" t="s">
        <v>13215</v>
      </c>
      <c r="AJ174">
        <v>379</v>
      </c>
      <c r="AK174" t="s">
        <v>13213</v>
      </c>
    </row>
    <row r="175" spans="1:37" x14ac:dyDescent="0.25">
      <c r="A175" t="s">
        <v>229</v>
      </c>
      <c r="B175" t="s">
        <v>13205</v>
      </c>
      <c r="C175" t="b">
        <v>1</v>
      </c>
      <c r="D175" t="b">
        <v>1</v>
      </c>
      <c r="E175">
        <v>61</v>
      </c>
      <c r="F175">
        <v>42.5</v>
      </c>
      <c r="G175">
        <v>19.5</v>
      </c>
      <c r="H175" t="s">
        <v>13206</v>
      </c>
      <c r="I175">
        <v>40</v>
      </c>
      <c r="J175">
        <v>8</v>
      </c>
      <c r="K175">
        <v>1</v>
      </c>
      <c r="L175" t="s">
        <v>859</v>
      </c>
      <c r="M175" t="s">
        <v>13207</v>
      </c>
      <c r="N175" t="s">
        <v>13208</v>
      </c>
      <c r="O175" t="s">
        <v>874</v>
      </c>
      <c r="P175" t="s">
        <v>230</v>
      </c>
      <c r="Q175" t="s">
        <v>230</v>
      </c>
      <c r="R175" t="s">
        <v>230</v>
      </c>
      <c r="S175" t="s">
        <v>230</v>
      </c>
      <c r="T175" t="s">
        <v>2772</v>
      </c>
      <c r="U175">
        <v>500</v>
      </c>
      <c r="V175" t="b">
        <v>0</v>
      </c>
      <c r="W175" t="b">
        <v>0</v>
      </c>
      <c r="X175" t="b">
        <v>0</v>
      </c>
      <c r="Y175" t="s">
        <v>13212</v>
      </c>
      <c r="Z175">
        <v>65.290000000000006</v>
      </c>
      <c r="AA175" t="s">
        <v>13213</v>
      </c>
      <c r="AB175">
        <v>52.67</v>
      </c>
      <c r="AC175" t="s">
        <v>13213</v>
      </c>
      <c r="AD175">
        <v>63.2</v>
      </c>
      <c r="AE175" t="s">
        <v>13214</v>
      </c>
      <c r="AF175">
        <v>54.27</v>
      </c>
      <c r="AG175" t="s">
        <v>13213</v>
      </c>
      <c r="AH175">
        <v>43.75</v>
      </c>
      <c r="AI175" t="s">
        <v>13215</v>
      </c>
      <c r="AJ175">
        <v>79</v>
      </c>
      <c r="AK175" t="s">
        <v>13213</v>
      </c>
    </row>
    <row r="176" spans="1:37" x14ac:dyDescent="0.25">
      <c r="A176" t="s">
        <v>231</v>
      </c>
      <c r="B176" t="s">
        <v>13205</v>
      </c>
      <c r="C176" t="b">
        <v>1</v>
      </c>
      <c r="D176" t="b">
        <v>1</v>
      </c>
      <c r="E176">
        <v>61</v>
      </c>
      <c r="F176">
        <v>42.5</v>
      </c>
      <c r="G176">
        <v>19.5</v>
      </c>
      <c r="H176" t="s">
        <v>13206</v>
      </c>
      <c r="I176">
        <v>40</v>
      </c>
      <c r="J176">
        <v>8</v>
      </c>
      <c r="K176">
        <v>1</v>
      </c>
      <c r="L176" t="s">
        <v>859</v>
      </c>
      <c r="M176" t="s">
        <v>13207</v>
      </c>
      <c r="N176" t="s">
        <v>13208</v>
      </c>
      <c r="O176" t="s">
        <v>874</v>
      </c>
      <c r="P176" t="s">
        <v>232</v>
      </c>
      <c r="Q176" t="s">
        <v>232</v>
      </c>
      <c r="R176" t="s">
        <v>232</v>
      </c>
      <c r="S176" t="s">
        <v>232</v>
      </c>
      <c r="T176" t="s">
        <v>2773</v>
      </c>
      <c r="U176">
        <v>500</v>
      </c>
      <c r="V176" t="b">
        <v>0</v>
      </c>
      <c r="W176" t="b">
        <v>0</v>
      </c>
      <c r="X176" t="b">
        <v>0</v>
      </c>
      <c r="Y176" t="s">
        <v>13212</v>
      </c>
      <c r="Z176">
        <v>65.290000000000006</v>
      </c>
      <c r="AA176" t="s">
        <v>13213</v>
      </c>
      <c r="AB176">
        <v>52.67</v>
      </c>
      <c r="AC176" t="s">
        <v>13213</v>
      </c>
      <c r="AD176">
        <v>63.2</v>
      </c>
      <c r="AE176" t="s">
        <v>13214</v>
      </c>
      <c r="AF176">
        <v>54.27</v>
      </c>
      <c r="AG176" t="s">
        <v>13213</v>
      </c>
      <c r="AH176">
        <v>43.75</v>
      </c>
      <c r="AI176" t="s">
        <v>13215</v>
      </c>
      <c r="AJ176">
        <v>79</v>
      </c>
      <c r="AK176" t="s">
        <v>13213</v>
      </c>
    </row>
    <row r="177" spans="1:37" x14ac:dyDescent="0.25">
      <c r="A177" t="s">
        <v>233</v>
      </c>
      <c r="B177" t="s">
        <v>13205</v>
      </c>
      <c r="C177" t="b">
        <v>1</v>
      </c>
      <c r="D177" t="b">
        <v>1</v>
      </c>
      <c r="E177">
        <v>61</v>
      </c>
      <c r="F177">
        <v>42.5</v>
      </c>
      <c r="G177">
        <v>19.5</v>
      </c>
      <c r="H177" t="s">
        <v>13206</v>
      </c>
      <c r="I177">
        <v>40</v>
      </c>
      <c r="J177">
        <v>8</v>
      </c>
      <c r="K177">
        <v>1</v>
      </c>
      <c r="L177" t="s">
        <v>859</v>
      </c>
      <c r="M177" t="s">
        <v>13207</v>
      </c>
      <c r="N177" t="s">
        <v>13208</v>
      </c>
      <c r="O177" t="s">
        <v>874</v>
      </c>
      <c r="P177" t="s">
        <v>234</v>
      </c>
      <c r="Q177" t="s">
        <v>234</v>
      </c>
      <c r="R177" t="s">
        <v>234</v>
      </c>
      <c r="S177" t="s">
        <v>234</v>
      </c>
      <c r="T177" t="s">
        <v>2774</v>
      </c>
      <c r="U177">
        <v>500</v>
      </c>
      <c r="V177" t="b">
        <v>0</v>
      </c>
      <c r="W177" t="b">
        <v>0</v>
      </c>
      <c r="X177" t="b">
        <v>0</v>
      </c>
      <c r="Y177" t="s">
        <v>13212</v>
      </c>
      <c r="Z177">
        <v>73.55</v>
      </c>
      <c r="AA177" t="s">
        <v>13213</v>
      </c>
      <c r="AB177">
        <v>59.33</v>
      </c>
      <c r="AC177" t="s">
        <v>13213</v>
      </c>
      <c r="AD177">
        <v>71.2</v>
      </c>
      <c r="AE177" t="s">
        <v>13214</v>
      </c>
      <c r="AF177">
        <v>60.37</v>
      </c>
      <c r="AG177" t="s">
        <v>13213</v>
      </c>
      <c r="AH177">
        <v>46.08</v>
      </c>
      <c r="AI177" t="s">
        <v>13215</v>
      </c>
      <c r="AJ177">
        <v>89</v>
      </c>
      <c r="AK177" t="s">
        <v>13213</v>
      </c>
    </row>
    <row r="178" spans="1:37" x14ac:dyDescent="0.25">
      <c r="A178" t="s">
        <v>223</v>
      </c>
      <c r="B178" t="s">
        <v>13205</v>
      </c>
      <c r="C178" t="b">
        <v>1</v>
      </c>
      <c r="D178" t="b">
        <v>1</v>
      </c>
      <c r="E178">
        <v>63.5</v>
      </c>
      <c r="F178">
        <v>23.5</v>
      </c>
      <c r="G178">
        <v>43</v>
      </c>
      <c r="H178" t="s">
        <v>13206</v>
      </c>
      <c r="I178">
        <v>35</v>
      </c>
      <c r="J178">
        <v>6</v>
      </c>
      <c r="K178">
        <v>0.2</v>
      </c>
      <c r="L178" t="s">
        <v>859</v>
      </c>
      <c r="M178" t="s">
        <v>13207</v>
      </c>
      <c r="N178" t="s">
        <v>13253</v>
      </c>
      <c r="O178" t="s">
        <v>874</v>
      </c>
      <c r="P178" t="s">
        <v>260</v>
      </c>
      <c r="Q178" t="s">
        <v>260</v>
      </c>
      <c r="R178" t="s">
        <v>260</v>
      </c>
      <c r="S178" t="s">
        <v>260</v>
      </c>
      <c r="T178" t="s">
        <v>2791</v>
      </c>
      <c r="U178">
        <v>500</v>
      </c>
      <c r="V178" t="b">
        <v>0</v>
      </c>
      <c r="W178" t="b">
        <v>0</v>
      </c>
      <c r="X178" t="b">
        <v>0</v>
      </c>
      <c r="Y178" t="s">
        <v>13212</v>
      </c>
      <c r="Z178">
        <v>65.290000000000006</v>
      </c>
      <c r="AA178" t="s">
        <v>13213</v>
      </c>
      <c r="AB178">
        <v>52.67</v>
      </c>
      <c r="AC178" t="s">
        <v>13213</v>
      </c>
      <c r="AD178">
        <v>59.33</v>
      </c>
      <c r="AE178" t="s">
        <v>13214</v>
      </c>
      <c r="AF178">
        <v>48.17</v>
      </c>
      <c r="AG178" t="s">
        <v>13213</v>
      </c>
      <c r="AH178">
        <v>40.25</v>
      </c>
      <c r="AI178" t="s">
        <v>13215</v>
      </c>
      <c r="AJ178">
        <v>79</v>
      </c>
      <c r="AK178" t="s">
        <v>13213</v>
      </c>
    </row>
    <row r="179" spans="1:37" x14ac:dyDescent="0.25">
      <c r="A179" t="s">
        <v>517</v>
      </c>
      <c r="B179" t="s">
        <v>13205</v>
      </c>
      <c r="C179" t="b">
        <v>1</v>
      </c>
      <c r="D179" t="b">
        <v>1</v>
      </c>
      <c r="E179">
        <v>16</v>
      </c>
      <c r="F179">
        <v>68</v>
      </c>
      <c r="G179">
        <v>73</v>
      </c>
      <c r="H179" t="s">
        <v>13206</v>
      </c>
      <c r="I179">
        <v>15</v>
      </c>
      <c r="J179">
        <v>18</v>
      </c>
      <c r="K179">
        <v>3.5</v>
      </c>
      <c r="L179" t="s">
        <v>859</v>
      </c>
      <c r="M179" t="s">
        <v>13207</v>
      </c>
      <c r="N179" t="s">
        <v>13208</v>
      </c>
      <c r="O179" t="s">
        <v>874</v>
      </c>
      <c r="P179" t="s">
        <v>507</v>
      </c>
      <c r="Q179" t="s">
        <v>507</v>
      </c>
      <c r="R179" t="s">
        <v>507</v>
      </c>
      <c r="S179" t="s">
        <v>507</v>
      </c>
      <c r="T179" t="s">
        <v>2918</v>
      </c>
      <c r="U179">
        <v>570</v>
      </c>
      <c r="V179" t="b">
        <v>0</v>
      </c>
      <c r="W179" t="b">
        <v>0</v>
      </c>
      <c r="X179" t="b">
        <v>0</v>
      </c>
      <c r="Y179" t="s">
        <v>13212</v>
      </c>
      <c r="Z179">
        <v>321.49</v>
      </c>
      <c r="AA179" t="s">
        <v>13213</v>
      </c>
      <c r="AB179">
        <v>259.33</v>
      </c>
      <c r="AC179" t="s">
        <v>13213</v>
      </c>
      <c r="AD179">
        <v>303.2</v>
      </c>
      <c r="AE179" t="s">
        <v>13214</v>
      </c>
      <c r="AF179">
        <v>243.29</v>
      </c>
      <c r="AG179" t="s">
        <v>13213</v>
      </c>
      <c r="AH179">
        <v>232.75</v>
      </c>
      <c r="AI179" t="s">
        <v>13215</v>
      </c>
      <c r="AJ179">
        <v>389</v>
      </c>
      <c r="AK179" t="s">
        <v>13213</v>
      </c>
    </row>
    <row r="180" spans="1:37" x14ac:dyDescent="0.25">
      <c r="A180" t="s">
        <v>220</v>
      </c>
      <c r="B180" t="s">
        <v>13205</v>
      </c>
      <c r="C180" t="b">
        <v>1</v>
      </c>
      <c r="D180" t="b">
        <v>1</v>
      </c>
      <c r="E180">
        <v>0</v>
      </c>
      <c r="F180">
        <v>0</v>
      </c>
      <c r="G180">
        <v>0</v>
      </c>
      <c r="H180" t="s">
        <v>13206</v>
      </c>
      <c r="I180">
        <v>1</v>
      </c>
      <c r="J180">
        <v>99.5</v>
      </c>
      <c r="K180">
        <v>0</v>
      </c>
      <c r="L180" t="s">
        <v>859</v>
      </c>
      <c r="M180" t="s">
        <v>13207</v>
      </c>
      <c r="N180" t="s">
        <v>13205</v>
      </c>
      <c r="O180" t="s">
        <v>874</v>
      </c>
      <c r="P180" t="s">
        <v>13334</v>
      </c>
      <c r="Q180" t="s">
        <v>13335</v>
      </c>
      <c r="R180" t="s">
        <v>13335</v>
      </c>
      <c r="S180" t="s">
        <v>13336</v>
      </c>
      <c r="T180" t="s">
        <v>3017</v>
      </c>
      <c r="U180">
        <v>0</v>
      </c>
      <c r="V180" t="b">
        <v>1</v>
      </c>
      <c r="W180" t="b">
        <v>0</v>
      </c>
      <c r="X180" t="b">
        <v>0</v>
      </c>
      <c r="Y180" t="s">
        <v>13212</v>
      </c>
      <c r="Z180">
        <v>1693.39</v>
      </c>
      <c r="AA180" t="s">
        <v>13213</v>
      </c>
      <c r="AB180">
        <v>1366</v>
      </c>
      <c r="AC180" t="s">
        <v>13213</v>
      </c>
      <c r="AD180">
        <v>1558.8</v>
      </c>
      <c r="AE180" t="s">
        <v>13214</v>
      </c>
      <c r="AF180">
        <v>1250</v>
      </c>
      <c r="AG180" t="s">
        <v>13213</v>
      </c>
      <c r="AH180">
        <v>1049.42</v>
      </c>
      <c r="AI180" t="s">
        <v>13215</v>
      </c>
      <c r="AJ180">
        <v>2049</v>
      </c>
      <c r="AK180" t="s">
        <v>13213</v>
      </c>
    </row>
    <row r="181" spans="1:37" x14ac:dyDescent="0.25">
      <c r="A181" t="s">
        <v>3019</v>
      </c>
      <c r="B181" t="s">
        <v>13205</v>
      </c>
      <c r="C181" t="b">
        <v>1</v>
      </c>
      <c r="D181" t="b">
        <v>1</v>
      </c>
      <c r="E181">
        <v>100</v>
      </c>
      <c r="F181">
        <v>41</v>
      </c>
      <c r="G181">
        <v>58</v>
      </c>
      <c r="H181" t="s">
        <v>13206</v>
      </c>
      <c r="I181">
        <v>10</v>
      </c>
      <c r="J181">
        <v>29.5</v>
      </c>
      <c r="K181">
        <v>4.5999999999999996</v>
      </c>
      <c r="L181" t="s">
        <v>13281</v>
      </c>
      <c r="M181" t="s">
        <v>13207</v>
      </c>
      <c r="N181" t="s">
        <v>13282</v>
      </c>
      <c r="O181" t="s">
        <v>874</v>
      </c>
      <c r="P181" t="s">
        <v>13356</v>
      </c>
      <c r="Q181" t="s">
        <v>13357</v>
      </c>
      <c r="R181" t="s">
        <v>13358</v>
      </c>
      <c r="S181" t="s">
        <v>13359</v>
      </c>
      <c r="T181" t="s">
        <v>3018</v>
      </c>
      <c r="U181">
        <v>0</v>
      </c>
      <c r="V181" t="b">
        <v>1</v>
      </c>
      <c r="W181" t="b">
        <v>0</v>
      </c>
      <c r="X181" t="b">
        <v>0</v>
      </c>
      <c r="Y181" t="s">
        <v>13286</v>
      </c>
      <c r="Z181">
        <v>614.96</v>
      </c>
      <c r="AA181" t="s">
        <v>13213</v>
      </c>
      <c r="AB181">
        <v>496.07</v>
      </c>
      <c r="AC181" t="s">
        <v>13213</v>
      </c>
      <c r="AD181">
        <v>595.28</v>
      </c>
      <c r="AE181" t="s">
        <v>13214</v>
      </c>
      <c r="AF181">
        <v>496.07</v>
      </c>
      <c r="AG181" t="s">
        <v>13213</v>
      </c>
      <c r="AH181">
        <v>413.39</v>
      </c>
      <c r="AI181" t="s">
        <v>13215</v>
      </c>
      <c r="AJ181">
        <v>744.1</v>
      </c>
      <c r="AK181" t="s">
        <v>13213</v>
      </c>
    </row>
    <row r="182" spans="1:37" x14ac:dyDescent="0.25">
      <c r="A182" t="s">
        <v>3022</v>
      </c>
      <c r="B182" t="s">
        <v>13205</v>
      </c>
      <c r="C182" t="b">
        <v>1</v>
      </c>
      <c r="D182" t="b">
        <v>1</v>
      </c>
      <c r="E182">
        <v>100</v>
      </c>
      <c r="F182">
        <v>42</v>
      </c>
      <c r="G182">
        <v>58</v>
      </c>
      <c r="H182" t="s">
        <v>13206</v>
      </c>
      <c r="I182">
        <v>10</v>
      </c>
      <c r="J182">
        <v>24.5</v>
      </c>
      <c r="K182">
        <v>4.5</v>
      </c>
      <c r="L182" t="s">
        <v>13281</v>
      </c>
      <c r="M182" t="s">
        <v>13207</v>
      </c>
      <c r="N182" t="s">
        <v>13282</v>
      </c>
      <c r="O182" t="s">
        <v>874</v>
      </c>
      <c r="P182" t="s">
        <v>13417</v>
      </c>
      <c r="Q182" t="s">
        <v>13418</v>
      </c>
      <c r="R182" t="s">
        <v>13419</v>
      </c>
      <c r="S182" t="s">
        <v>13420</v>
      </c>
      <c r="T182" t="s">
        <v>3021</v>
      </c>
      <c r="U182">
        <v>0</v>
      </c>
      <c r="V182" t="b">
        <v>1</v>
      </c>
      <c r="W182" t="b">
        <v>0</v>
      </c>
      <c r="X182" t="b">
        <v>0</v>
      </c>
      <c r="Y182" t="s">
        <v>13286</v>
      </c>
      <c r="Z182">
        <v>478.6</v>
      </c>
      <c r="AA182" t="s">
        <v>13213</v>
      </c>
      <c r="AB182">
        <v>386.07</v>
      </c>
      <c r="AC182" t="s">
        <v>13213</v>
      </c>
      <c r="AD182">
        <v>463.28</v>
      </c>
      <c r="AE182" t="s">
        <v>13214</v>
      </c>
      <c r="AF182">
        <v>386.07</v>
      </c>
      <c r="AG182" t="s">
        <v>13213</v>
      </c>
      <c r="AH182">
        <v>321.73</v>
      </c>
      <c r="AI182" t="s">
        <v>13215</v>
      </c>
      <c r="AJ182">
        <v>579.1</v>
      </c>
      <c r="AK182" t="s">
        <v>13213</v>
      </c>
    </row>
    <row r="183" spans="1:37" x14ac:dyDescent="0.25">
      <c r="A183" t="s">
        <v>218</v>
      </c>
      <c r="B183" t="s">
        <v>13205</v>
      </c>
      <c r="C183" t="b">
        <v>1</v>
      </c>
      <c r="D183" t="b">
        <v>1</v>
      </c>
      <c r="E183">
        <v>1</v>
      </c>
      <c r="F183">
        <v>1</v>
      </c>
      <c r="G183">
        <v>1</v>
      </c>
      <c r="H183" t="s">
        <v>13206</v>
      </c>
      <c r="I183">
        <v>0</v>
      </c>
      <c r="J183">
        <v>94.5</v>
      </c>
      <c r="K183">
        <v>0</v>
      </c>
      <c r="L183" t="s">
        <v>13205</v>
      </c>
      <c r="M183" t="s">
        <v>13207</v>
      </c>
      <c r="N183" t="s">
        <v>13205</v>
      </c>
      <c r="O183" t="s">
        <v>874</v>
      </c>
      <c r="P183" t="s">
        <v>13421</v>
      </c>
      <c r="Q183" t="s">
        <v>13422</v>
      </c>
      <c r="R183" t="s">
        <v>13422</v>
      </c>
      <c r="S183" t="s">
        <v>13423</v>
      </c>
      <c r="T183" t="s">
        <v>3024</v>
      </c>
      <c r="U183">
        <v>0</v>
      </c>
      <c r="V183" t="b">
        <v>1</v>
      </c>
      <c r="W183" t="b">
        <v>0</v>
      </c>
      <c r="X183" t="b">
        <v>0</v>
      </c>
      <c r="Y183" t="s">
        <v>13212</v>
      </c>
      <c r="Z183">
        <v>1569.01</v>
      </c>
      <c r="AA183" t="s">
        <v>13213</v>
      </c>
      <c r="AB183">
        <v>1265.67</v>
      </c>
      <c r="AC183" t="s">
        <v>13213</v>
      </c>
      <c r="AD183">
        <v>1438.8</v>
      </c>
      <c r="AE183" t="s">
        <v>13214</v>
      </c>
      <c r="AF183">
        <v>1158.54</v>
      </c>
      <c r="AG183" t="s">
        <v>13213</v>
      </c>
      <c r="AH183">
        <v>991.08</v>
      </c>
      <c r="AI183" t="s">
        <v>13215</v>
      </c>
      <c r="AJ183">
        <v>1898.5</v>
      </c>
      <c r="AK183" t="s">
        <v>13213</v>
      </c>
    </row>
    <row r="184" spans="1:37" x14ac:dyDescent="0.25">
      <c r="A184" t="s">
        <v>221</v>
      </c>
      <c r="B184" t="s">
        <v>13205</v>
      </c>
      <c r="C184" t="b">
        <v>1</v>
      </c>
      <c r="D184" t="b">
        <v>1</v>
      </c>
      <c r="E184">
        <v>0</v>
      </c>
      <c r="F184">
        <v>0</v>
      </c>
      <c r="G184">
        <v>0</v>
      </c>
      <c r="H184" t="s">
        <v>13206</v>
      </c>
      <c r="I184">
        <v>1</v>
      </c>
      <c r="J184">
        <v>103.6</v>
      </c>
      <c r="K184">
        <v>0</v>
      </c>
      <c r="L184" t="s">
        <v>859</v>
      </c>
      <c r="M184" t="s">
        <v>13207</v>
      </c>
      <c r="N184" t="s">
        <v>13205</v>
      </c>
      <c r="O184" t="s">
        <v>874</v>
      </c>
      <c r="P184" t="s">
        <v>13354</v>
      </c>
      <c r="Q184" t="s">
        <v>509</v>
      </c>
      <c r="R184" t="s">
        <v>509</v>
      </c>
      <c r="S184" t="s">
        <v>509</v>
      </c>
      <c r="T184" t="s">
        <v>3026</v>
      </c>
      <c r="U184">
        <v>0</v>
      </c>
      <c r="V184" t="b">
        <v>1</v>
      </c>
      <c r="W184" t="b">
        <v>0</v>
      </c>
      <c r="X184" t="b">
        <v>0</v>
      </c>
      <c r="Y184" t="s">
        <v>13212</v>
      </c>
      <c r="Z184">
        <v>1693.39</v>
      </c>
      <c r="AA184" t="s">
        <v>13213</v>
      </c>
      <c r="AB184">
        <v>1366</v>
      </c>
      <c r="AC184" t="s">
        <v>13213</v>
      </c>
      <c r="AD184">
        <v>1558.8</v>
      </c>
      <c r="AE184" t="s">
        <v>13214</v>
      </c>
      <c r="AF184">
        <v>1250</v>
      </c>
      <c r="AG184" t="s">
        <v>13213</v>
      </c>
      <c r="AH184">
        <v>1049.42</v>
      </c>
      <c r="AI184" t="s">
        <v>13215</v>
      </c>
      <c r="AJ184">
        <v>2049</v>
      </c>
      <c r="AK184" t="s">
        <v>13213</v>
      </c>
    </row>
    <row r="185" spans="1:37" x14ac:dyDescent="0.25">
      <c r="A185" t="s">
        <v>3028</v>
      </c>
      <c r="B185" t="s">
        <v>13205</v>
      </c>
      <c r="C185" t="b">
        <v>1</v>
      </c>
      <c r="D185" t="b">
        <v>1</v>
      </c>
      <c r="E185">
        <v>100</v>
      </c>
      <c r="F185">
        <v>41</v>
      </c>
      <c r="G185">
        <v>58</v>
      </c>
      <c r="H185" t="s">
        <v>13206</v>
      </c>
      <c r="I185">
        <v>10</v>
      </c>
      <c r="J185">
        <v>33.6</v>
      </c>
      <c r="K185">
        <v>4.5</v>
      </c>
      <c r="L185" t="s">
        <v>859</v>
      </c>
      <c r="M185" t="s">
        <v>13207</v>
      </c>
      <c r="N185" t="s">
        <v>13282</v>
      </c>
      <c r="O185" t="s">
        <v>874</v>
      </c>
      <c r="P185" t="s">
        <v>13360</v>
      </c>
      <c r="Q185" t="s">
        <v>13361</v>
      </c>
      <c r="R185" t="s">
        <v>13362</v>
      </c>
      <c r="S185" t="s">
        <v>13363</v>
      </c>
      <c r="T185" t="s">
        <v>3027</v>
      </c>
      <c r="U185">
        <v>0</v>
      </c>
      <c r="V185" t="b">
        <v>1</v>
      </c>
      <c r="W185" t="b">
        <v>0</v>
      </c>
      <c r="X185" t="b">
        <v>0</v>
      </c>
      <c r="Y185" t="s">
        <v>13286</v>
      </c>
      <c r="Z185">
        <v>614.96</v>
      </c>
      <c r="AA185" t="s">
        <v>13213</v>
      </c>
      <c r="AB185">
        <v>496.07</v>
      </c>
      <c r="AC185" t="s">
        <v>13213</v>
      </c>
      <c r="AD185">
        <v>595.28</v>
      </c>
      <c r="AE185" t="s">
        <v>13214</v>
      </c>
      <c r="AF185">
        <v>496.07</v>
      </c>
      <c r="AG185" t="s">
        <v>13213</v>
      </c>
      <c r="AH185">
        <v>413.39</v>
      </c>
      <c r="AI185" t="s">
        <v>13215</v>
      </c>
      <c r="AJ185">
        <v>744.1</v>
      </c>
      <c r="AK185" t="s">
        <v>13213</v>
      </c>
    </row>
    <row r="186" spans="1:37" x14ac:dyDescent="0.25">
      <c r="A186" t="s">
        <v>3031</v>
      </c>
      <c r="B186" t="s">
        <v>13205</v>
      </c>
      <c r="C186" t="b">
        <v>1</v>
      </c>
      <c r="D186" t="b">
        <v>1</v>
      </c>
      <c r="E186">
        <v>100</v>
      </c>
      <c r="F186">
        <v>42</v>
      </c>
      <c r="G186">
        <v>58</v>
      </c>
      <c r="H186" t="s">
        <v>13206</v>
      </c>
      <c r="I186">
        <v>10</v>
      </c>
      <c r="J186">
        <v>30</v>
      </c>
      <c r="K186">
        <v>4.5</v>
      </c>
      <c r="L186" t="s">
        <v>859</v>
      </c>
      <c r="M186" t="s">
        <v>13207</v>
      </c>
      <c r="N186" t="s">
        <v>13282</v>
      </c>
      <c r="O186" t="s">
        <v>874</v>
      </c>
      <c r="P186" t="s">
        <v>13424</v>
      </c>
      <c r="Q186" t="s">
        <v>13425</v>
      </c>
      <c r="R186" t="s">
        <v>13426</v>
      </c>
      <c r="S186" t="s">
        <v>3032</v>
      </c>
      <c r="T186" t="s">
        <v>3030</v>
      </c>
      <c r="U186">
        <v>0</v>
      </c>
      <c r="V186" t="b">
        <v>1</v>
      </c>
      <c r="W186" t="b">
        <v>0</v>
      </c>
      <c r="X186" t="b">
        <v>0</v>
      </c>
      <c r="Y186" t="s">
        <v>13286</v>
      </c>
      <c r="Z186">
        <v>478.6</v>
      </c>
      <c r="AA186" t="s">
        <v>13213</v>
      </c>
      <c r="AB186">
        <v>386.07</v>
      </c>
      <c r="AC186" t="s">
        <v>13213</v>
      </c>
      <c r="AD186">
        <v>463.28</v>
      </c>
      <c r="AE186" t="s">
        <v>13214</v>
      </c>
      <c r="AF186">
        <v>386.07</v>
      </c>
      <c r="AG186" t="s">
        <v>13213</v>
      </c>
      <c r="AH186">
        <v>321.73</v>
      </c>
      <c r="AI186" t="s">
        <v>13215</v>
      </c>
      <c r="AJ186">
        <v>579.1</v>
      </c>
      <c r="AK186" t="s">
        <v>13213</v>
      </c>
    </row>
    <row r="187" spans="1:37" x14ac:dyDescent="0.25">
      <c r="A187" t="s">
        <v>219</v>
      </c>
      <c r="B187" t="s">
        <v>13205</v>
      </c>
      <c r="C187" t="b">
        <v>1</v>
      </c>
      <c r="D187" t="b">
        <v>1</v>
      </c>
      <c r="E187">
        <v>1</v>
      </c>
      <c r="F187">
        <v>1</v>
      </c>
      <c r="G187">
        <v>1</v>
      </c>
      <c r="H187" t="s">
        <v>13206</v>
      </c>
      <c r="I187">
        <v>0</v>
      </c>
      <c r="J187">
        <v>100</v>
      </c>
      <c r="K187">
        <v>0</v>
      </c>
      <c r="L187" t="s">
        <v>13205</v>
      </c>
      <c r="M187" t="s">
        <v>13207</v>
      </c>
      <c r="N187" t="s">
        <v>13205</v>
      </c>
      <c r="O187" t="s">
        <v>874</v>
      </c>
      <c r="P187" t="s">
        <v>13427</v>
      </c>
      <c r="Q187" t="s">
        <v>510</v>
      </c>
      <c r="R187" t="s">
        <v>510</v>
      </c>
      <c r="S187" t="s">
        <v>510</v>
      </c>
      <c r="T187" t="s">
        <v>3033</v>
      </c>
      <c r="U187">
        <v>0</v>
      </c>
      <c r="V187" t="b">
        <v>1</v>
      </c>
      <c r="W187" t="b">
        <v>0</v>
      </c>
      <c r="X187" t="b">
        <v>0</v>
      </c>
      <c r="Y187" t="s">
        <v>13212</v>
      </c>
      <c r="Z187">
        <v>1569.01</v>
      </c>
      <c r="AA187" t="s">
        <v>13213</v>
      </c>
      <c r="AB187">
        <v>1265.67</v>
      </c>
      <c r="AC187" t="s">
        <v>13213</v>
      </c>
      <c r="AD187">
        <v>1438.8</v>
      </c>
      <c r="AE187" t="s">
        <v>13214</v>
      </c>
      <c r="AF187">
        <v>1158.54</v>
      </c>
      <c r="AG187" t="s">
        <v>13213</v>
      </c>
      <c r="AH187">
        <v>991.08</v>
      </c>
      <c r="AI187" t="s">
        <v>13215</v>
      </c>
      <c r="AJ187">
        <v>1898.5</v>
      </c>
      <c r="AK187" t="s">
        <v>13213</v>
      </c>
    </row>
    <row r="188" spans="1:37" x14ac:dyDescent="0.25">
      <c r="A188" t="s">
        <v>3036</v>
      </c>
      <c r="B188" t="s">
        <v>13205</v>
      </c>
      <c r="C188" t="b">
        <v>1</v>
      </c>
      <c r="D188" t="b">
        <v>1</v>
      </c>
      <c r="E188">
        <v>120</v>
      </c>
      <c r="F188">
        <v>80</v>
      </c>
      <c r="G188">
        <v>100</v>
      </c>
      <c r="H188" t="s">
        <v>13206</v>
      </c>
      <c r="I188">
        <v>2</v>
      </c>
      <c r="J188">
        <v>70</v>
      </c>
      <c r="K188">
        <v>3</v>
      </c>
      <c r="L188" t="s">
        <v>859</v>
      </c>
      <c r="M188" t="s">
        <v>13207</v>
      </c>
      <c r="N188" t="s">
        <v>13253</v>
      </c>
      <c r="O188" t="s">
        <v>874</v>
      </c>
      <c r="P188" t="s">
        <v>13355</v>
      </c>
      <c r="Q188" t="s">
        <v>13355</v>
      </c>
      <c r="R188" t="s">
        <v>13355</v>
      </c>
      <c r="S188" t="s">
        <v>13355</v>
      </c>
      <c r="T188" t="s">
        <v>3035</v>
      </c>
      <c r="U188">
        <v>60</v>
      </c>
      <c r="V188" t="b">
        <v>0</v>
      </c>
      <c r="W188" t="b">
        <v>0</v>
      </c>
      <c r="X188" t="b">
        <v>0</v>
      </c>
      <c r="Y188" t="s">
        <v>13212</v>
      </c>
      <c r="Z188">
        <v>1156.4000000000001</v>
      </c>
      <c r="AA188" t="s">
        <v>13213</v>
      </c>
      <c r="AB188">
        <v>932.83</v>
      </c>
      <c r="AC188" t="s">
        <v>13213</v>
      </c>
      <c r="AD188">
        <v>1119.4000000000001</v>
      </c>
      <c r="AE188" t="s">
        <v>13214</v>
      </c>
      <c r="AF188">
        <v>932.83</v>
      </c>
      <c r="AG188" t="s">
        <v>13213</v>
      </c>
      <c r="AH188">
        <v>774.25</v>
      </c>
      <c r="AI188" t="s">
        <v>13215</v>
      </c>
      <c r="AJ188">
        <v>1399.25</v>
      </c>
      <c r="AK188" t="s">
        <v>13213</v>
      </c>
    </row>
    <row r="189" spans="1:37" x14ac:dyDescent="0.25">
      <c r="A189" t="s">
        <v>3039</v>
      </c>
      <c r="B189" t="s">
        <v>13205</v>
      </c>
      <c r="C189" t="b">
        <v>1</v>
      </c>
      <c r="D189" t="b">
        <v>1</v>
      </c>
      <c r="E189">
        <v>120</v>
      </c>
      <c r="F189">
        <v>80</v>
      </c>
      <c r="G189">
        <v>100</v>
      </c>
      <c r="H189" t="s">
        <v>13671</v>
      </c>
      <c r="I189">
        <v>2</v>
      </c>
      <c r="J189">
        <v>85</v>
      </c>
      <c r="K189">
        <v>3</v>
      </c>
      <c r="L189" t="s">
        <v>859</v>
      </c>
      <c r="M189" t="s">
        <v>13207</v>
      </c>
      <c r="N189" t="s">
        <v>13253</v>
      </c>
      <c r="O189" t="s">
        <v>874</v>
      </c>
      <c r="P189" t="s">
        <v>13672</v>
      </c>
      <c r="Q189" t="s">
        <v>13672</v>
      </c>
      <c r="R189" t="s">
        <v>13672</v>
      </c>
      <c r="S189" t="s">
        <v>13672</v>
      </c>
      <c r="T189" t="s">
        <v>3038</v>
      </c>
      <c r="U189">
        <v>0</v>
      </c>
      <c r="V189" t="b">
        <v>0</v>
      </c>
      <c r="W189" t="b">
        <v>0</v>
      </c>
      <c r="X189" t="b">
        <v>0</v>
      </c>
      <c r="Y189" t="s">
        <v>13212</v>
      </c>
      <c r="Z189">
        <v>2865.95</v>
      </c>
      <c r="AA189" t="s">
        <v>13213</v>
      </c>
      <c r="AB189">
        <v>2311.87</v>
      </c>
      <c r="AC189" t="s">
        <v>13213</v>
      </c>
      <c r="AD189">
        <v>2774.24</v>
      </c>
      <c r="AE189" t="s">
        <v>13214</v>
      </c>
      <c r="AF189">
        <v>2311.87</v>
      </c>
      <c r="AG189" t="s">
        <v>13213</v>
      </c>
      <c r="AH189">
        <v>1918.85</v>
      </c>
      <c r="AI189" t="s">
        <v>13215</v>
      </c>
      <c r="AJ189">
        <v>3467.8</v>
      </c>
      <c r="AK189" t="s">
        <v>13213</v>
      </c>
    </row>
    <row r="190" spans="1:37" x14ac:dyDescent="0.25">
      <c r="A190" t="s">
        <v>3041</v>
      </c>
      <c r="B190" t="s">
        <v>13205</v>
      </c>
      <c r="C190" t="b">
        <v>1</v>
      </c>
      <c r="D190" t="b">
        <v>1</v>
      </c>
      <c r="E190">
        <v>1</v>
      </c>
      <c r="F190">
        <v>1</v>
      </c>
      <c r="G190">
        <v>1</v>
      </c>
      <c r="H190" t="s">
        <v>13206</v>
      </c>
      <c r="I190">
        <v>1</v>
      </c>
      <c r="J190">
        <v>114.5</v>
      </c>
      <c r="K190">
        <v>0</v>
      </c>
      <c r="L190" t="s">
        <v>13205</v>
      </c>
      <c r="M190" t="s">
        <v>13207</v>
      </c>
      <c r="N190" t="s">
        <v>13205</v>
      </c>
      <c r="O190" t="s">
        <v>874</v>
      </c>
      <c r="P190" t="s">
        <v>13668</v>
      </c>
      <c r="Q190" t="s">
        <v>13669</v>
      </c>
      <c r="R190" t="s">
        <v>13669</v>
      </c>
      <c r="S190" t="s">
        <v>13670</v>
      </c>
      <c r="T190" t="s">
        <v>263</v>
      </c>
      <c r="U190">
        <v>0</v>
      </c>
      <c r="V190" t="b">
        <v>1</v>
      </c>
      <c r="W190" t="b">
        <v>0</v>
      </c>
      <c r="X190" t="b">
        <v>0</v>
      </c>
      <c r="Y190" t="s">
        <v>13212</v>
      </c>
      <c r="Z190">
        <v>3164.46</v>
      </c>
      <c r="AA190" t="s">
        <v>13213</v>
      </c>
      <c r="AB190">
        <v>2552.67</v>
      </c>
      <c r="AC190" t="s">
        <v>13213</v>
      </c>
      <c r="AD190">
        <v>3063.2</v>
      </c>
      <c r="AE190" t="s">
        <v>13214</v>
      </c>
      <c r="AF190">
        <v>2334.7600000000002</v>
      </c>
      <c r="AG190" t="s">
        <v>13213</v>
      </c>
      <c r="AH190">
        <v>1965.25</v>
      </c>
      <c r="AI190" t="s">
        <v>13215</v>
      </c>
      <c r="AJ190">
        <v>3829</v>
      </c>
      <c r="AK190" t="s">
        <v>13213</v>
      </c>
    </row>
    <row r="191" spans="1:37" x14ac:dyDescent="0.25">
      <c r="A191" t="s">
        <v>222</v>
      </c>
      <c r="B191" t="s">
        <v>13205</v>
      </c>
      <c r="C191" t="b">
        <v>1</v>
      </c>
      <c r="D191" t="b">
        <v>1</v>
      </c>
      <c r="E191">
        <v>17</v>
      </c>
      <c r="F191">
        <v>123</v>
      </c>
      <c r="G191">
        <v>39</v>
      </c>
      <c r="H191" t="s">
        <v>13206</v>
      </c>
      <c r="I191">
        <v>15</v>
      </c>
      <c r="J191">
        <v>18.3</v>
      </c>
      <c r="K191">
        <v>0.5</v>
      </c>
      <c r="L191" t="s">
        <v>859</v>
      </c>
      <c r="M191" t="s">
        <v>13207</v>
      </c>
      <c r="N191" t="s">
        <v>13253</v>
      </c>
      <c r="O191" t="s">
        <v>874</v>
      </c>
      <c r="P191" t="s">
        <v>13524</v>
      </c>
      <c r="Q191" t="s">
        <v>13525</v>
      </c>
      <c r="R191" t="s">
        <v>13526</v>
      </c>
      <c r="S191" t="s">
        <v>511</v>
      </c>
      <c r="T191" t="s">
        <v>3093</v>
      </c>
      <c r="U191">
        <v>400</v>
      </c>
      <c r="V191" t="b">
        <v>0</v>
      </c>
      <c r="W191" t="b">
        <v>0</v>
      </c>
      <c r="X191" t="b">
        <v>0</v>
      </c>
      <c r="Y191" t="s">
        <v>13212</v>
      </c>
      <c r="Z191">
        <v>280.17</v>
      </c>
      <c r="AA191" t="s">
        <v>13213</v>
      </c>
      <c r="AB191">
        <v>226</v>
      </c>
      <c r="AC191" t="s">
        <v>13213</v>
      </c>
      <c r="AD191">
        <v>239.2</v>
      </c>
      <c r="AE191" t="s">
        <v>13214</v>
      </c>
      <c r="AF191">
        <v>206.71</v>
      </c>
      <c r="AG191" t="s">
        <v>13213</v>
      </c>
      <c r="AH191">
        <v>174.42</v>
      </c>
      <c r="AI191" t="s">
        <v>13215</v>
      </c>
      <c r="AJ191">
        <v>339</v>
      </c>
      <c r="AK191" t="s">
        <v>13213</v>
      </c>
    </row>
    <row r="192" spans="1:37" x14ac:dyDescent="0.25">
      <c r="A192" t="s">
        <v>2</v>
      </c>
      <c r="B192" t="s">
        <v>13205</v>
      </c>
      <c r="C192" t="b">
        <v>1</v>
      </c>
      <c r="D192" t="b">
        <v>1</v>
      </c>
      <c r="E192">
        <v>1</v>
      </c>
      <c r="F192">
        <v>1</v>
      </c>
      <c r="G192">
        <v>1</v>
      </c>
      <c r="H192" t="s">
        <v>860</v>
      </c>
      <c r="I192">
        <v>0</v>
      </c>
      <c r="J192">
        <v>65.5</v>
      </c>
      <c r="K192">
        <v>0</v>
      </c>
      <c r="L192" t="s">
        <v>859</v>
      </c>
      <c r="M192" t="s">
        <v>13207</v>
      </c>
      <c r="N192" t="s">
        <v>13205</v>
      </c>
      <c r="O192" t="s">
        <v>838</v>
      </c>
      <c r="P192" t="s">
        <v>13562</v>
      </c>
      <c r="Q192" t="s">
        <v>13563</v>
      </c>
      <c r="R192" t="s">
        <v>13564</v>
      </c>
      <c r="S192" t="s">
        <v>13564</v>
      </c>
      <c r="T192" t="s">
        <v>3145</v>
      </c>
      <c r="U192">
        <v>6</v>
      </c>
      <c r="V192" t="b">
        <v>1</v>
      </c>
      <c r="W192" t="b">
        <v>0</v>
      </c>
      <c r="X192" t="b">
        <v>0</v>
      </c>
      <c r="Y192" t="s">
        <v>13212</v>
      </c>
      <c r="Z192">
        <v>338.02</v>
      </c>
      <c r="AA192" t="s">
        <v>13213</v>
      </c>
      <c r="AB192">
        <v>272.67</v>
      </c>
      <c r="AC192" t="s">
        <v>13213</v>
      </c>
      <c r="AD192">
        <v>319.2</v>
      </c>
      <c r="AE192" t="s">
        <v>13214</v>
      </c>
      <c r="AF192">
        <v>249.39</v>
      </c>
      <c r="AG192" t="s">
        <v>13213</v>
      </c>
      <c r="AH192">
        <v>191.92</v>
      </c>
      <c r="AI192" t="s">
        <v>13215</v>
      </c>
      <c r="AJ192">
        <v>409</v>
      </c>
      <c r="AK192" t="s">
        <v>13213</v>
      </c>
    </row>
    <row r="193" spans="1:37" x14ac:dyDescent="0.25">
      <c r="A193" t="s">
        <v>687</v>
      </c>
      <c r="B193" t="s">
        <v>13205</v>
      </c>
      <c r="C193" t="b">
        <v>0</v>
      </c>
      <c r="D193" t="b">
        <v>0</v>
      </c>
      <c r="E193">
        <v>1</v>
      </c>
      <c r="F193">
        <v>1</v>
      </c>
      <c r="G193">
        <v>1</v>
      </c>
      <c r="H193" t="s">
        <v>13205</v>
      </c>
      <c r="I193">
        <v>1</v>
      </c>
      <c r="J193">
        <v>0.01</v>
      </c>
      <c r="K193">
        <v>0</v>
      </c>
      <c r="L193" t="s">
        <v>13205</v>
      </c>
      <c r="M193" t="s">
        <v>833</v>
      </c>
      <c r="N193" t="s">
        <v>13205</v>
      </c>
      <c r="O193" t="s">
        <v>838</v>
      </c>
      <c r="P193" t="s">
        <v>13562</v>
      </c>
      <c r="Q193" t="s">
        <v>13563</v>
      </c>
      <c r="R193" t="s">
        <v>13563</v>
      </c>
      <c r="S193" t="s">
        <v>688</v>
      </c>
      <c r="T193" t="s">
        <v>3146</v>
      </c>
      <c r="U193">
        <v>0</v>
      </c>
      <c r="V193" t="b">
        <v>1</v>
      </c>
      <c r="W193" t="b">
        <v>1</v>
      </c>
      <c r="X193" t="b">
        <v>0</v>
      </c>
      <c r="Y193" t="s">
        <v>13212</v>
      </c>
    </row>
    <row r="194" spans="1:37" x14ac:dyDescent="0.25">
      <c r="A194" t="s">
        <v>12</v>
      </c>
      <c r="B194" t="s">
        <v>13205</v>
      </c>
      <c r="C194" t="b">
        <v>1</v>
      </c>
      <c r="D194" t="b">
        <v>1</v>
      </c>
      <c r="E194">
        <v>1</v>
      </c>
      <c r="F194">
        <v>1</v>
      </c>
      <c r="G194">
        <v>1</v>
      </c>
      <c r="H194" t="s">
        <v>860</v>
      </c>
      <c r="I194">
        <v>0</v>
      </c>
      <c r="J194">
        <v>72.5</v>
      </c>
      <c r="K194">
        <v>0</v>
      </c>
      <c r="L194" t="s">
        <v>859</v>
      </c>
      <c r="M194" t="s">
        <v>13207</v>
      </c>
      <c r="N194" t="s">
        <v>13205</v>
      </c>
      <c r="O194" t="s">
        <v>838</v>
      </c>
      <c r="P194" t="s">
        <v>13508</v>
      </c>
      <c r="Q194" t="s">
        <v>13509</v>
      </c>
      <c r="R194" t="s">
        <v>13510</v>
      </c>
      <c r="S194" t="s">
        <v>13510</v>
      </c>
      <c r="T194" t="s">
        <v>3150</v>
      </c>
      <c r="U194">
        <v>1</v>
      </c>
      <c r="V194" t="b">
        <v>1</v>
      </c>
      <c r="W194" t="b">
        <v>0</v>
      </c>
      <c r="X194" t="b">
        <v>0</v>
      </c>
      <c r="Y194" t="s">
        <v>13212</v>
      </c>
      <c r="Z194">
        <v>519.83000000000004</v>
      </c>
      <c r="AA194" t="s">
        <v>13213</v>
      </c>
      <c r="AB194">
        <v>419.33</v>
      </c>
      <c r="AC194" t="s">
        <v>13213</v>
      </c>
      <c r="AD194">
        <v>495.2</v>
      </c>
      <c r="AE194" t="s">
        <v>13214</v>
      </c>
      <c r="AF194">
        <v>383.54</v>
      </c>
      <c r="AG194" t="s">
        <v>13213</v>
      </c>
      <c r="AH194">
        <v>320.25</v>
      </c>
      <c r="AI194" t="s">
        <v>13215</v>
      </c>
      <c r="AJ194">
        <v>629</v>
      </c>
      <c r="AK194" t="s">
        <v>13213</v>
      </c>
    </row>
    <row r="195" spans="1:37" x14ac:dyDescent="0.25">
      <c r="A195" t="s">
        <v>26</v>
      </c>
      <c r="B195" t="s">
        <v>13205</v>
      </c>
      <c r="C195" t="b">
        <v>1</v>
      </c>
      <c r="D195" t="b">
        <v>1</v>
      </c>
      <c r="E195">
        <v>1</v>
      </c>
      <c r="F195">
        <v>1</v>
      </c>
      <c r="G195">
        <v>1</v>
      </c>
      <c r="H195" t="s">
        <v>860</v>
      </c>
      <c r="I195">
        <v>0</v>
      </c>
      <c r="J195">
        <v>70.7</v>
      </c>
      <c r="K195">
        <v>0</v>
      </c>
      <c r="L195" t="s">
        <v>859</v>
      </c>
      <c r="M195" t="s">
        <v>13207</v>
      </c>
      <c r="N195" t="s">
        <v>13205</v>
      </c>
      <c r="O195" t="s">
        <v>838</v>
      </c>
      <c r="P195" t="s">
        <v>13501</v>
      </c>
      <c r="Q195" t="s">
        <v>13502</v>
      </c>
      <c r="R195" t="s">
        <v>649</v>
      </c>
      <c r="S195" t="s">
        <v>13503</v>
      </c>
      <c r="T195" t="s">
        <v>3151</v>
      </c>
      <c r="U195">
        <v>1</v>
      </c>
      <c r="V195" t="b">
        <v>1</v>
      </c>
      <c r="W195" t="b">
        <v>0</v>
      </c>
      <c r="X195" t="b">
        <v>0</v>
      </c>
      <c r="Y195" t="s">
        <v>13212</v>
      </c>
      <c r="Z195">
        <v>519.83000000000004</v>
      </c>
      <c r="AA195" t="s">
        <v>13213</v>
      </c>
      <c r="AB195">
        <v>419.33</v>
      </c>
      <c r="AC195" t="s">
        <v>13213</v>
      </c>
      <c r="AD195">
        <v>495.2</v>
      </c>
      <c r="AE195" t="s">
        <v>13214</v>
      </c>
      <c r="AF195">
        <v>383.54</v>
      </c>
      <c r="AG195" t="s">
        <v>13213</v>
      </c>
      <c r="AH195">
        <v>320.25</v>
      </c>
      <c r="AI195" t="s">
        <v>13215</v>
      </c>
      <c r="AJ195">
        <v>629</v>
      </c>
      <c r="AK195" t="s">
        <v>13213</v>
      </c>
    </row>
    <row r="196" spans="1:37" x14ac:dyDescent="0.25">
      <c r="A196" t="s">
        <v>22</v>
      </c>
      <c r="B196" t="s">
        <v>13205</v>
      </c>
      <c r="C196" t="b">
        <v>1</v>
      </c>
      <c r="D196" t="b">
        <v>1</v>
      </c>
      <c r="E196">
        <v>1</v>
      </c>
      <c r="F196">
        <v>1</v>
      </c>
      <c r="G196">
        <v>1</v>
      </c>
      <c r="H196" t="s">
        <v>860</v>
      </c>
      <c r="I196">
        <v>0</v>
      </c>
      <c r="J196">
        <v>63.8</v>
      </c>
      <c r="K196">
        <v>0</v>
      </c>
      <c r="L196" t="s">
        <v>859</v>
      </c>
      <c r="M196" t="s">
        <v>13207</v>
      </c>
      <c r="N196" t="s">
        <v>13205</v>
      </c>
      <c r="O196" t="s">
        <v>838</v>
      </c>
      <c r="P196" t="s">
        <v>13490</v>
      </c>
      <c r="Q196" t="s">
        <v>13491</v>
      </c>
      <c r="R196" t="s">
        <v>561</v>
      </c>
      <c r="S196" t="s">
        <v>3156</v>
      </c>
      <c r="T196" t="s">
        <v>3153</v>
      </c>
      <c r="U196">
        <v>1</v>
      </c>
      <c r="V196" t="b">
        <v>1</v>
      </c>
      <c r="W196" t="b">
        <v>0</v>
      </c>
      <c r="X196" t="b">
        <v>0</v>
      </c>
      <c r="Y196" t="s">
        <v>13212</v>
      </c>
      <c r="Z196">
        <v>379.34</v>
      </c>
      <c r="AA196" t="s">
        <v>13213</v>
      </c>
      <c r="AB196">
        <v>306</v>
      </c>
      <c r="AC196" t="s">
        <v>13213</v>
      </c>
      <c r="AD196">
        <v>359.2</v>
      </c>
      <c r="AE196" t="s">
        <v>13214</v>
      </c>
      <c r="AF196">
        <v>279.88</v>
      </c>
      <c r="AG196" t="s">
        <v>13213</v>
      </c>
      <c r="AH196">
        <v>215.25</v>
      </c>
      <c r="AI196" t="s">
        <v>13215</v>
      </c>
      <c r="AJ196">
        <v>459</v>
      </c>
      <c r="AK196" t="s">
        <v>13213</v>
      </c>
    </row>
    <row r="197" spans="1:37" x14ac:dyDescent="0.25">
      <c r="A197" t="s">
        <v>697</v>
      </c>
      <c r="B197" t="s">
        <v>13205</v>
      </c>
      <c r="C197" t="b">
        <v>0</v>
      </c>
      <c r="D197" t="b">
        <v>0</v>
      </c>
      <c r="E197">
        <v>1</v>
      </c>
      <c r="F197">
        <v>1</v>
      </c>
      <c r="G197">
        <v>1</v>
      </c>
      <c r="H197" t="s">
        <v>13205</v>
      </c>
      <c r="I197">
        <v>1</v>
      </c>
      <c r="J197">
        <v>0.01</v>
      </c>
      <c r="K197">
        <v>0</v>
      </c>
      <c r="L197" t="s">
        <v>13205</v>
      </c>
      <c r="M197" t="s">
        <v>833</v>
      </c>
      <c r="N197" t="s">
        <v>13205</v>
      </c>
      <c r="O197" t="s">
        <v>838</v>
      </c>
      <c r="P197" t="s">
        <v>13848</v>
      </c>
      <c r="Q197" t="s">
        <v>13849</v>
      </c>
      <c r="R197" t="s">
        <v>13850</v>
      </c>
      <c r="S197" t="s">
        <v>698</v>
      </c>
      <c r="T197" t="s">
        <v>3155</v>
      </c>
      <c r="U197">
        <v>0</v>
      </c>
      <c r="V197" t="b">
        <v>1</v>
      </c>
      <c r="W197" t="b">
        <v>1</v>
      </c>
      <c r="X197" t="b">
        <v>0</v>
      </c>
      <c r="Y197" t="s">
        <v>13212</v>
      </c>
    </row>
    <row r="198" spans="1:37" x14ac:dyDescent="0.25">
      <c r="A198" t="s">
        <v>342</v>
      </c>
      <c r="B198" t="s">
        <v>13205</v>
      </c>
      <c r="C198" t="b">
        <v>1</v>
      </c>
      <c r="D198" t="b">
        <v>1</v>
      </c>
      <c r="E198">
        <v>27</v>
      </c>
      <c r="F198">
        <v>114</v>
      </c>
      <c r="G198">
        <v>56</v>
      </c>
      <c r="H198" t="s">
        <v>860</v>
      </c>
      <c r="I198">
        <v>6</v>
      </c>
      <c r="J198">
        <v>41.5</v>
      </c>
      <c r="K198">
        <v>2.4</v>
      </c>
      <c r="L198" t="s">
        <v>859</v>
      </c>
      <c r="M198" t="s">
        <v>13207</v>
      </c>
      <c r="N198" t="s">
        <v>929</v>
      </c>
      <c r="O198" t="s">
        <v>838</v>
      </c>
      <c r="P198" t="s">
        <v>343</v>
      </c>
      <c r="Q198" t="s">
        <v>343</v>
      </c>
      <c r="R198" t="s">
        <v>343</v>
      </c>
      <c r="S198" t="s">
        <v>343</v>
      </c>
      <c r="T198" t="s">
        <v>363</v>
      </c>
      <c r="U198">
        <v>100</v>
      </c>
      <c r="V198" t="b">
        <v>0</v>
      </c>
      <c r="W198" t="b">
        <v>0</v>
      </c>
      <c r="X198" t="b">
        <v>0</v>
      </c>
      <c r="Y198" t="s">
        <v>13212</v>
      </c>
      <c r="Z198">
        <v>280.17</v>
      </c>
      <c r="AA198" t="s">
        <v>13213</v>
      </c>
      <c r="AB198">
        <v>226</v>
      </c>
      <c r="AC198" t="s">
        <v>13213</v>
      </c>
      <c r="AD198">
        <v>239.2</v>
      </c>
      <c r="AE198" t="s">
        <v>13214</v>
      </c>
      <c r="AF198">
        <v>206.71</v>
      </c>
      <c r="AG198" t="s">
        <v>13213</v>
      </c>
      <c r="AH198">
        <v>145.22</v>
      </c>
      <c r="AI198" t="s">
        <v>13215</v>
      </c>
      <c r="AJ198">
        <v>339</v>
      </c>
      <c r="AK198" t="s">
        <v>13213</v>
      </c>
    </row>
    <row r="199" spans="1:37" x14ac:dyDescent="0.25">
      <c r="A199" t="s">
        <v>88</v>
      </c>
      <c r="B199" t="s">
        <v>13205</v>
      </c>
      <c r="C199" t="b">
        <v>1</v>
      </c>
      <c r="D199" t="b">
        <v>1</v>
      </c>
      <c r="E199">
        <v>24</v>
      </c>
      <c r="F199">
        <v>114</v>
      </c>
      <c r="G199">
        <v>50</v>
      </c>
      <c r="H199" t="s">
        <v>860</v>
      </c>
      <c r="I199">
        <v>8</v>
      </c>
      <c r="J199">
        <v>39.700000000000003</v>
      </c>
      <c r="K199">
        <v>2.9</v>
      </c>
      <c r="L199" t="s">
        <v>859</v>
      </c>
      <c r="M199" t="s">
        <v>13207</v>
      </c>
      <c r="N199" t="s">
        <v>929</v>
      </c>
      <c r="O199" t="s">
        <v>838</v>
      </c>
      <c r="P199" t="s">
        <v>562</v>
      </c>
      <c r="Q199" t="s">
        <v>562</v>
      </c>
      <c r="R199" t="s">
        <v>562</v>
      </c>
      <c r="S199" t="s">
        <v>562</v>
      </c>
      <c r="T199" t="s">
        <v>3173</v>
      </c>
      <c r="U199">
        <v>100</v>
      </c>
      <c r="V199" t="b">
        <v>0</v>
      </c>
      <c r="W199" t="b">
        <v>0</v>
      </c>
      <c r="X199" t="b">
        <v>0</v>
      </c>
      <c r="Y199" t="s">
        <v>13212</v>
      </c>
      <c r="Z199">
        <v>255.37</v>
      </c>
      <c r="AA199" t="s">
        <v>13213</v>
      </c>
      <c r="AB199">
        <v>206</v>
      </c>
      <c r="AC199" t="s">
        <v>13213</v>
      </c>
      <c r="AD199">
        <v>239.2</v>
      </c>
      <c r="AE199" t="s">
        <v>13214</v>
      </c>
      <c r="AF199">
        <v>188.41</v>
      </c>
      <c r="AG199" t="s">
        <v>13213</v>
      </c>
      <c r="AH199">
        <v>156.91999999999999</v>
      </c>
      <c r="AI199" t="s">
        <v>13215</v>
      </c>
      <c r="AJ199">
        <v>309</v>
      </c>
      <c r="AK199" t="s">
        <v>13213</v>
      </c>
    </row>
    <row r="200" spans="1:37" x14ac:dyDescent="0.25">
      <c r="A200" t="s">
        <v>4</v>
      </c>
      <c r="B200" t="s">
        <v>13205</v>
      </c>
      <c r="C200" t="b">
        <v>1</v>
      </c>
      <c r="D200" t="b">
        <v>1</v>
      </c>
      <c r="E200">
        <v>1</v>
      </c>
      <c r="F200">
        <v>1</v>
      </c>
      <c r="G200">
        <v>1</v>
      </c>
      <c r="H200" t="s">
        <v>860</v>
      </c>
      <c r="I200">
        <v>0</v>
      </c>
      <c r="J200">
        <v>84.8</v>
      </c>
      <c r="K200">
        <v>0</v>
      </c>
      <c r="L200" t="s">
        <v>859</v>
      </c>
      <c r="M200" t="s">
        <v>13207</v>
      </c>
      <c r="N200" t="s">
        <v>13205</v>
      </c>
      <c r="O200" t="s">
        <v>838</v>
      </c>
      <c r="P200" t="s">
        <v>13459</v>
      </c>
      <c r="Q200" t="s">
        <v>13460</v>
      </c>
      <c r="R200" t="s">
        <v>13461</v>
      </c>
      <c r="S200" t="s">
        <v>13461</v>
      </c>
      <c r="T200" t="s">
        <v>3180</v>
      </c>
      <c r="U200">
        <v>1</v>
      </c>
      <c r="V200" t="b">
        <v>1</v>
      </c>
      <c r="W200" t="b">
        <v>0</v>
      </c>
      <c r="X200" t="b">
        <v>0</v>
      </c>
      <c r="Y200" t="s">
        <v>13212</v>
      </c>
      <c r="Z200">
        <v>420.66</v>
      </c>
      <c r="AA200" t="s">
        <v>13213</v>
      </c>
      <c r="AB200">
        <v>339.33</v>
      </c>
      <c r="AC200" t="s">
        <v>13213</v>
      </c>
      <c r="AD200">
        <v>399.2</v>
      </c>
      <c r="AE200" t="s">
        <v>13214</v>
      </c>
      <c r="AF200">
        <v>310.37</v>
      </c>
      <c r="AG200" t="s">
        <v>13213</v>
      </c>
      <c r="AH200">
        <v>244.42</v>
      </c>
      <c r="AI200" t="s">
        <v>13215</v>
      </c>
      <c r="AJ200">
        <v>509</v>
      </c>
      <c r="AK200" t="s">
        <v>13213</v>
      </c>
    </row>
    <row r="201" spans="1:37" x14ac:dyDescent="0.25">
      <c r="A201" t="s">
        <v>689</v>
      </c>
      <c r="B201" t="s">
        <v>13205</v>
      </c>
      <c r="C201" t="b">
        <v>0</v>
      </c>
      <c r="D201" t="b">
        <v>0</v>
      </c>
      <c r="E201">
        <v>1</v>
      </c>
      <c r="F201">
        <v>1</v>
      </c>
      <c r="G201">
        <v>1</v>
      </c>
      <c r="H201" t="s">
        <v>13205</v>
      </c>
      <c r="I201">
        <v>1</v>
      </c>
      <c r="J201">
        <v>0.01</v>
      </c>
      <c r="K201">
        <v>0</v>
      </c>
      <c r="L201" t="s">
        <v>13205</v>
      </c>
      <c r="M201" t="s">
        <v>833</v>
      </c>
      <c r="N201" t="s">
        <v>13205</v>
      </c>
      <c r="O201" t="s">
        <v>838</v>
      </c>
      <c r="P201" t="s">
        <v>13459</v>
      </c>
      <c r="Q201" t="s">
        <v>13460</v>
      </c>
      <c r="R201" t="s">
        <v>13460</v>
      </c>
      <c r="S201" t="s">
        <v>690</v>
      </c>
      <c r="T201" t="s">
        <v>3181</v>
      </c>
      <c r="U201">
        <v>0</v>
      </c>
      <c r="V201" t="b">
        <v>1</v>
      </c>
      <c r="W201" t="b">
        <v>1</v>
      </c>
      <c r="X201" t="b">
        <v>0</v>
      </c>
      <c r="Y201" t="s">
        <v>13212</v>
      </c>
    </row>
    <row r="202" spans="1:37" x14ac:dyDescent="0.25">
      <c r="A202" t="s">
        <v>14</v>
      </c>
      <c r="B202" t="s">
        <v>13205</v>
      </c>
      <c r="C202" t="b">
        <v>1</v>
      </c>
      <c r="D202" t="b">
        <v>1</v>
      </c>
      <c r="E202">
        <v>1</v>
      </c>
      <c r="F202">
        <v>1</v>
      </c>
      <c r="G202">
        <v>1</v>
      </c>
      <c r="H202" t="s">
        <v>860</v>
      </c>
      <c r="I202">
        <v>0</v>
      </c>
      <c r="J202">
        <v>97.4</v>
      </c>
      <c r="K202">
        <v>0</v>
      </c>
      <c r="L202" t="s">
        <v>859</v>
      </c>
      <c r="M202" t="s">
        <v>13207</v>
      </c>
      <c r="N202" t="s">
        <v>13205</v>
      </c>
      <c r="O202" t="s">
        <v>838</v>
      </c>
      <c r="P202" t="s">
        <v>13471</v>
      </c>
      <c r="Q202" t="s">
        <v>13472</v>
      </c>
      <c r="R202" t="s">
        <v>13473</v>
      </c>
      <c r="S202" t="s">
        <v>13473</v>
      </c>
      <c r="T202" t="s">
        <v>3182</v>
      </c>
      <c r="U202">
        <v>1</v>
      </c>
      <c r="V202" t="b">
        <v>1</v>
      </c>
      <c r="W202" t="b">
        <v>0</v>
      </c>
      <c r="X202" t="b">
        <v>0</v>
      </c>
      <c r="Y202" t="s">
        <v>13212</v>
      </c>
      <c r="Z202">
        <v>602.48</v>
      </c>
      <c r="AA202" t="s">
        <v>13213</v>
      </c>
      <c r="AB202">
        <v>486</v>
      </c>
      <c r="AC202" t="s">
        <v>13213</v>
      </c>
      <c r="AD202">
        <v>575.20000000000005</v>
      </c>
      <c r="AE202" t="s">
        <v>13214</v>
      </c>
      <c r="AF202">
        <v>444.51</v>
      </c>
      <c r="AG202" t="s">
        <v>13213</v>
      </c>
      <c r="AH202">
        <v>372.75</v>
      </c>
      <c r="AI202" t="s">
        <v>13215</v>
      </c>
      <c r="AJ202">
        <v>729</v>
      </c>
      <c r="AK202" t="s">
        <v>13213</v>
      </c>
    </row>
    <row r="203" spans="1:37" x14ac:dyDescent="0.25">
      <c r="A203" t="s">
        <v>27</v>
      </c>
      <c r="B203" t="s">
        <v>13205</v>
      </c>
      <c r="C203" t="b">
        <v>1</v>
      </c>
      <c r="D203" t="b">
        <v>1</v>
      </c>
      <c r="E203">
        <v>1</v>
      </c>
      <c r="F203">
        <v>1</v>
      </c>
      <c r="G203">
        <v>1</v>
      </c>
      <c r="H203" t="s">
        <v>860</v>
      </c>
      <c r="I203">
        <v>0</v>
      </c>
      <c r="J203">
        <v>92.1</v>
      </c>
      <c r="K203">
        <v>0</v>
      </c>
      <c r="L203" t="s">
        <v>859</v>
      </c>
      <c r="M203" t="s">
        <v>13207</v>
      </c>
      <c r="N203" t="s">
        <v>13205</v>
      </c>
      <c r="O203" t="s">
        <v>838</v>
      </c>
      <c r="P203" t="s">
        <v>13483</v>
      </c>
      <c r="Q203" t="s">
        <v>13484</v>
      </c>
      <c r="R203" t="s">
        <v>652</v>
      </c>
      <c r="S203" t="s">
        <v>13485</v>
      </c>
      <c r="T203" t="s">
        <v>3183</v>
      </c>
      <c r="U203">
        <v>1</v>
      </c>
      <c r="V203" t="b">
        <v>1</v>
      </c>
      <c r="W203" t="b">
        <v>0</v>
      </c>
      <c r="X203" t="b">
        <v>0</v>
      </c>
      <c r="Y203" t="s">
        <v>13212</v>
      </c>
      <c r="Z203">
        <v>602.48</v>
      </c>
      <c r="AA203" t="s">
        <v>13213</v>
      </c>
      <c r="AB203">
        <v>486</v>
      </c>
      <c r="AC203" t="s">
        <v>13213</v>
      </c>
      <c r="AD203">
        <v>575.20000000000005</v>
      </c>
      <c r="AE203" t="s">
        <v>13214</v>
      </c>
      <c r="AF203">
        <v>444.51</v>
      </c>
      <c r="AG203" t="s">
        <v>13213</v>
      </c>
      <c r="AH203">
        <v>372.75</v>
      </c>
      <c r="AI203" t="s">
        <v>13215</v>
      </c>
      <c r="AJ203">
        <v>729</v>
      </c>
      <c r="AK203" t="s">
        <v>13213</v>
      </c>
    </row>
    <row r="204" spans="1:37" x14ac:dyDescent="0.25">
      <c r="A204" t="s">
        <v>23</v>
      </c>
      <c r="B204" t="s">
        <v>13205</v>
      </c>
      <c r="C204" t="b">
        <v>1</v>
      </c>
      <c r="D204" t="b">
        <v>1</v>
      </c>
      <c r="E204">
        <v>1</v>
      </c>
      <c r="F204">
        <v>1</v>
      </c>
      <c r="G204">
        <v>1</v>
      </c>
      <c r="H204" t="s">
        <v>860</v>
      </c>
      <c r="I204">
        <v>0</v>
      </c>
      <c r="J204">
        <v>79.8</v>
      </c>
      <c r="K204">
        <v>0</v>
      </c>
      <c r="L204" t="s">
        <v>859</v>
      </c>
      <c r="M204" t="s">
        <v>13207</v>
      </c>
      <c r="N204" t="s">
        <v>13205</v>
      </c>
      <c r="O204" t="s">
        <v>838</v>
      </c>
      <c r="P204" t="s">
        <v>13492</v>
      </c>
      <c r="Q204" t="s">
        <v>13493</v>
      </c>
      <c r="R204" t="s">
        <v>563</v>
      </c>
      <c r="S204" t="s">
        <v>13494</v>
      </c>
      <c r="T204" t="s">
        <v>3185</v>
      </c>
      <c r="U204">
        <v>1</v>
      </c>
      <c r="V204" t="b">
        <v>1</v>
      </c>
      <c r="W204" t="b">
        <v>0</v>
      </c>
      <c r="X204" t="b">
        <v>0</v>
      </c>
      <c r="Y204" t="s">
        <v>13212</v>
      </c>
      <c r="Z204">
        <v>461.98</v>
      </c>
      <c r="AA204" t="s">
        <v>13213</v>
      </c>
      <c r="AB204">
        <v>372.67</v>
      </c>
      <c r="AC204" t="s">
        <v>13213</v>
      </c>
      <c r="AD204">
        <v>439.2</v>
      </c>
      <c r="AE204" t="s">
        <v>13214</v>
      </c>
      <c r="AF204">
        <v>340.85</v>
      </c>
      <c r="AG204" t="s">
        <v>13213</v>
      </c>
      <c r="AH204">
        <v>267.75</v>
      </c>
      <c r="AI204" t="s">
        <v>13215</v>
      </c>
      <c r="AJ204">
        <v>559</v>
      </c>
      <c r="AK204" t="s">
        <v>13213</v>
      </c>
    </row>
    <row r="205" spans="1:37" x14ac:dyDescent="0.25">
      <c r="A205" t="s">
        <v>699</v>
      </c>
      <c r="B205" t="s">
        <v>13205</v>
      </c>
      <c r="C205" t="b">
        <v>0</v>
      </c>
      <c r="D205" t="b">
        <v>0</v>
      </c>
      <c r="E205">
        <v>1</v>
      </c>
      <c r="F205">
        <v>1</v>
      </c>
      <c r="G205">
        <v>1</v>
      </c>
      <c r="H205" t="s">
        <v>13205</v>
      </c>
      <c r="I205">
        <v>1</v>
      </c>
      <c r="J205">
        <v>0.01</v>
      </c>
      <c r="K205">
        <v>0</v>
      </c>
      <c r="L205" t="s">
        <v>13205</v>
      </c>
      <c r="M205" t="s">
        <v>833</v>
      </c>
      <c r="N205" t="s">
        <v>13205</v>
      </c>
      <c r="O205" t="s">
        <v>838</v>
      </c>
      <c r="P205" t="s">
        <v>13851</v>
      </c>
      <c r="Q205" t="s">
        <v>13852</v>
      </c>
      <c r="R205" t="s">
        <v>13853</v>
      </c>
      <c r="S205" t="s">
        <v>700</v>
      </c>
      <c r="T205" t="s">
        <v>3187</v>
      </c>
      <c r="U205">
        <v>0</v>
      </c>
      <c r="V205" t="b">
        <v>1</v>
      </c>
      <c r="W205" t="b">
        <v>1</v>
      </c>
      <c r="X205" t="b">
        <v>0</v>
      </c>
      <c r="Y205" t="s">
        <v>13212</v>
      </c>
    </row>
    <row r="206" spans="1:37" x14ac:dyDescent="0.25">
      <c r="A206" t="s">
        <v>344</v>
      </c>
      <c r="B206" t="s">
        <v>13205</v>
      </c>
      <c r="C206" t="b">
        <v>1</v>
      </c>
      <c r="D206" t="b">
        <v>1</v>
      </c>
      <c r="E206">
        <v>29</v>
      </c>
      <c r="F206">
        <v>142</v>
      </c>
      <c r="G206">
        <v>45</v>
      </c>
      <c r="H206" t="s">
        <v>860</v>
      </c>
      <c r="I206">
        <v>8</v>
      </c>
      <c r="J206">
        <v>60.5</v>
      </c>
      <c r="K206">
        <v>4.3</v>
      </c>
      <c r="L206" t="s">
        <v>859</v>
      </c>
      <c r="M206" t="s">
        <v>13207</v>
      </c>
      <c r="N206" t="s">
        <v>929</v>
      </c>
      <c r="O206" t="s">
        <v>838</v>
      </c>
      <c r="P206" t="s">
        <v>345</v>
      </c>
      <c r="Q206" t="s">
        <v>345</v>
      </c>
      <c r="R206" t="s">
        <v>345</v>
      </c>
      <c r="S206" t="s">
        <v>345</v>
      </c>
      <c r="T206" t="s">
        <v>364</v>
      </c>
      <c r="U206">
        <v>222</v>
      </c>
      <c r="V206" t="b">
        <v>0</v>
      </c>
      <c r="W206" t="b">
        <v>0</v>
      </c>
      <c r="X206" t="b">
        <v>0</v>
      </c>
      <c r="Y206" t="s">
        <v>13212</v>
      </c>
      <c r="Z206">
        <v>346.28</v>
      </c>
      <c r="AA206" t="s">
        <v>13213</v>
      </c>
      <c r="AB206">
        <v>279.33</v>
      </c>
      <c r="AC206" t="s">
        <v>13213</v>
      </c>
      <c r="AD206">
        <v>303.2</v>
      </c>
      <c r="AE206" t="s">
        <v>13214</v>
      </c>
      <c r="AF206">
        <v>255.49</v>
      </c>
      <c r="AG206" t="s">
        <v>13213</v>
      </c>
      <c r="AH206">
        <v>186.08</v>
      </c>
      <c r="AI206" t="s">
        <v>13215</v>
      </c>
      <c r="AJ206">
        <v>419</v>
      </c>
      <c r="AK206" t="s">
        <v>13213</v>
      </c>
    </row>
    <row r="207" spans="1:37" x14ac:dyDescent="0.25">
      <c r="A207" t="s">
        <v>3198</v>
      </c>
      <c r="B207" t="s">
        <v>13205</v>
      </c>
      <c r="C207" t="b">
        <v>0</v>
      </c>
      <c r="D207" t="b">
        <v>0</v>
      </c>
      <c r="E207">
        <v>1</v>
      </c>
      <c r="F207">
        <v>1</v>
      </c>
      <c r="G207">
        <v>1</v>
      </c>
      <c r="H207" t="s">
        <v>13205</v>
      </c>
      <c r="I207">
        <v>1</v>
      </c>
      <c r="J207">
        <v>0.01</v>
      </c>
      <c r="K207">
        <v>0</v>
      </c>
      <c r="L207" t="s">
        <v>13205</v>
      </c>
      <c r="M207" t="s">
        <v>833</v>
      </c>
      <c r="N207" t="s">
        <v>13205</v>
      </c>
      <c r="O207" t="s">
        <v>838</v>
      </c>
      <c r="P207" t="s">
        <v>3199</v>
      </c>
      <c r="Q207" t="s">
        <v>3199</v>
      </c>
      <c r="R207" t="s">
        <v>3199</v>
      </c>
      <c r="S207" t="s">
        <v>3199</v>
      </c>
      <c r="T207" t="s">
        <v>3197</v>
      </c>
      <c r="U207">
        <v>0</v>
      </c>
      <c r="V207" t="b">
        <v>1</v>
      </c>
      <c r="W207" t="b">
        <v>1</v>
      </c>
      <c r="X207" t="b">
        <v>0</v>
      </c>
      <c r="Y207" t="s">
        <v>13212</v>
      </c>
    </row>
    <row r="208" spans="1:37" x14ac:dyDescent="0.25">
      <c r="A208" t="s">
        <v>787</v>
      </c>
      <c r="B208" t="s">
        <v>13205</v>
      </c>
      <c r="C208" t="b">
        <v>0</v>
      </c>
      <c r="D208" t="b">
        <v>0</v>
      </c>
      <c r="E208">
        <v>1</v>
      </c>
      <c r="F208">
        <v>1</v>
      </c>
      <c r="G208">
        <v>1</v>
      </c>
      <c r="H208" t="s">
        <v>13205</v>
      </c>
      <c r="I208">
        <v>1</v>
      </c>
      <c r="J208">
        <v>0.01</v>
      </c>
      <c r="K208">
        <v>0</v>
      </c>
      <c r="L208" t="s">
        <v>13205</v>
      </c>
      <c r="M208" t="s">
        <v>833</v>
      </c>
      <c r="N208" t="s">
        <v>13205</v>
      </c>
      <c r="O208" t="s">
        <v>838</v>
      </c>
      <c r="P208" t="s">
        <v>788</v>
      </c>
      <c r="Q208" t="s">
        <v>788</v>
      </c>
      <c r="R208" t="s">
        <v>788</v>
      </c>
      <c r="S208" t="s">
        <v>788</v>
      </c>
      <c r="T208" t="s">
        <v>3200</v>
      </c>
      <c r="U208">
        <v>0</v>
      </c>
      <c r="V208" t="b">
        <v>1</v>
      </c>
      <c r="W208" t="b">
        <v>1</v>
      </c>
      <c r="X208" t="b">
        <v>0</v>
      </c>
      <c r="Y208" t="s">
        <v>13212</v>
      </c>
    </row>
    <row r="209" spans="1:37" x14ac:dyDescent="0.25">
      <c r="A209" t="s">
        <v>90</v>
      </c>
      <c r="B209" t="s">
        <v>13205</v>
      </c>
      <c r="C209" t="b">
        <v>1</v>
      </c>
      <c r="D209" t="b">
        <v>1</v>
      </c>
      <c r="E209">
        <v>24</v>
      </c>
      <c r="F209">
        <v>136</v>
      </c>
      <c r="G209">
        <v>53</v>
      </c>
      <c r="H209" t="s">
        <v>860</v>
      </c>
      <c r="I209">
        <v>8</v>
      </c>
      <c r="J209">
        <v>55.2</v>
      </c>
      <c r="K209">
        <v>4.0999999999999996</v>
      </c>
      <c r="L209" t="s">
        <v>859</v>
      </c>
      <c r="M209" t="s">
        <v>13207</v>
      </c>
      <c r="N209" t="s">
        <v>929</v>
      </c>
      <c r="O209" t="s">
        <v>838</v>
      </c>
      <c r="P209" t="s">
        <v>564</v>
      </c>
      <c r="Q209" t="s">
        <v>564</v>
      </c>
      <c r="R209" t="s">
        <v>564</v>
      </c>
      <c r="S209" t="s">
        <v>564</v>
      </c>
      <c r="T209" t="s">
        <v>3205</v>
      </c>
      <c r="U209">
        <v>330</v>
      </c>
      <c r="V209" t="b">
        <v>0</v>
      </c>
      <c r="W209" t="b">
        <v>0</v>
      </c>
      <c r="X209" t="b">
        <v>0</v>
      </c>
      <c r="Y209" t="s">
        <v>13212</v>
      </c>
      <c r="Z209">
        <v>321.49</v>
      </c>
      <c r="AA209" t="s">
        <v>13213</v>
      </c>
      <c r="AB209">
        <v>259.33</v>
      </c>
      <c r="AC209" t="s">
        <v>13213</v>
      </c>
      <c r="AD209">
        <v>303.2</v>
      </c>
      <c r="AE209" t="s">
        <v>13214</v>
      </c>
      <c r="AF209">
        <v>237.2</v>
      </c>
      <c r="AG209" t="s">
        <v>13213</v>
      </c>
      <c r="AH209">
        <v>167.75</v>
      </c>
      <c r="AI209" t="s">
        <v>13215</v>
      </c>
      <c r="AJ209">
        <v>389</v>
      </c>
      <c r="AK209" t="s">
        <v>13213</v>
      </c>
    </row>
    <row r="210" spans="1:37" x14ac:dyDescent="0.25">
      <c r="A210" t="s">
        <v>705</v>
      </c>
      <c r="B210" t="s">
        <v>13205</v>
      </c>
      <c r="C210" t="b">
        <v>0</v>
      </c>
      <c r="D210" t="b">
        <v>0</v>
      </c>
      <c r="E210">
        <v>1</v>
      </c>
      <c r="F210">
        <v>1</v>
      </c>
      <c r="G210">
        <v>1</v>
      </c>
      <c r="H210" t="s">
        <v>13205</v>
      </c>
      <c r="I210">
        <v>1</v>
      </c>
      <c r="J210">
        <v>0.01</v>
      </c>
      <c r="K210">
        <v>0</v>
      </c>
      <c r="L210" t="s">
        <v>13205</v>
      </c>
      <c r="M210" t="s">
        <v>833</v>
      </c>
      <c r="N210" t="s">
        <v>13205</v>
      </c>
      <c r="O210" t="s">
        <v>838</v>
      </c>
      <c r="P210" t="s">
        <v>706</v>
      </c>
      <c r="Q210" t="s">
        <v>706</v>
      </c>
      <c r="R210" t="s">
        <v>706</v>
      </c>
      <c r="S210" t="s">
        <v>706</v>
      </c>
      <c r="T210" t="s">
        <v>3206</v>
      </c>
      <c r="U210">
        <v>0</v>
      </c>
      <c r="V210" t="b">
        <v>1</v>
      </c>
      <c r="W210" t="b">
        <v>1</v>
      </c>
      <c r="X210" t="b">
        <v>0</v>
      </c>
      <c r="Y210" t="s">
        <v>13212</v>
      </c>
    </row>
    <row r="211" spans="1:37" x14ac:dyDescent="0.25">
      <c r="A211" t="s">
        <v>711</v>
      </c>
      <c r="B211" t="s">
        <v>13205</v>
      </c>
      <c r="C211" t="b">
        <v>0</v>
      </c>
      <c r="D211" t="b">
        <v>0</v>
      </c>
      <c r="E211">
        <v>1</v>
      </c>
      <c r="F211">
        <v>1</v>
      </c>
      <c r="G211">
        <v>1</v>
      </c>
      <c r="H211" t="s">
        <v>13205</v>
      </c>
      <c r="I211">
        <v>1</v>
      </c>
      <c r="J211">
        <v>0.01</v>
      </c>
      <c r="K211">
        <v>0</v>
      </c>
      <c r="L211" t="s">
        <v>13205</v>
      </c>
      <c r="M211" t="s">
        <v>833</v>
      </c>
      <c r="N211" t="s">
        <v>13205</v>
      </c>
      <c r="O211" t="s">
        <v>838</v>
      </c>
      <c r="P211" t="s">
        <v>712</v>
      </c>
      <c r="Q211" t="s">
        <v>712</v>
      </c>
      <c r="R211" t="s">
        <v>712</v>
      </c>
      <c r="S211" t="s">
        <v>712</v>
      </c>
      <c r="T211" t="s">
        <v>3207</v>
      </c>
      <c r="U211">
        <v>0</v>
      </c>
      <c r="V211" t="b">
        <v>1</v>
      </c>
      <c r="W211" t="b">
        <v>1</v>
      </c>
      <c r="X211" t="b">
        <v>0</v>
      </c>
      <c r="Y211" t="s">
        <v>13212</v>
      </c>
    </row>
    <row r="212" spans="1:37" x14ac:dyDescent="0.25">
      <c r="A212" t="s">
        <v>6</v>
      </c>
      <c r="B212" t="s">
        <v>13205</v>
      </c>
      <c r="C212" t="b">
        <v>1</v>
      </c>
      <c r="D212" t="b">
        <v>1</v>
      </c>
      <c r="E212">
        <v>1</v>
      </c>
      <c r="F212">
        <v>1</v>
      </c>
      <c r="G212">
        <v>1</v>
      </c>
      <c r="H212" t="s">
        <v>860</v>
      </c>
      <c r="I212">
        <v>0</v>
      </c>
      <c r="J212">
        <v>93</v>
      </c>
      <c r="K212">
        <v>0</v>
      </c>
      <c r="L212" t="s">
        <v>859</v>
      </c>
      <c r="M212" t="s">
        <v>13207</v>
      </c>
      <c r="N212" t="s">
        <v>13205</v>
      </c>
      <c r="O212" t="s">
        <v>838</v>
      </c>
      <c r="P212" t="s">
        <v>13462</v>
      </c>
      <c r="Q212" t="s">
        <v>13463</v>
      </c>
      <c r="R212" t="s">
        <v>13464</v>
      </c>
      <c r="S212" t="s">
        <v>13464</v>
      </c>
      <c r="T212" t="s">
        <v>3211</v>
      </c>
      <c r="U212">
        <v>1</v>
      </c>
      <c r="V212" t="b">
        <v>1</v>
      </c>
      <c r="W212" t="b">
        <v>0</v>
      </c>
      <c r="X212" t="b">
        <v>0</v>
      </c>
      <c r="Y212" t="s">
        <v>13212</v>
      </c>
      <c r="Z212">
        <v>461.98</v>
      </c>
      <c r="AA212" t="s">
        <v>13213</v>
      </c>
      <c r="AB212">
        <v>372.67</v>
      </c>
      <c r="AC212" t="s">
        <v>13213</v>
      </c>
      <c r="AD212">
        <v>439.2</v>
      </c>
      <c r="AE212" t="s">
        <v>13214</v>
      </c>
      <c r="AF212">
        <v>340.85</v>
      </c>
      <c r="AG212" t="s">
        <v>13213</v>
      </c>
      <c r="AH212">
        <v>273.58</v>
      </c>
      <c r="AI212" t="s">
        <v>13215</v>
      </c>
      <c r="AJ212">
        <v>559</v>
      </c>
      <c r="AK212" t="s">
        <v>13213</v>
      </c>
    </row>
    <row r="213" spans="1:37" x14ac:dyDescent="0.25">
      <c r="A213" t="s">
        <v>691</v>
      </c>
      <c r="B213" t="s">
        <v>13205</v>
      </c>
      <c r="C213" t="b">
        <v>0</v>
      </c>
      <c r="D213" t="b">
        <v>0</v>
      </c>
      <c r="E213">
        <v>1</v>
      </c>
      <c r="F213">
        <v>1</v>
      </c>
      <c r="G213">
        <v>1</v>
      </c>
      <c r="H213" t="s">
        <v>13205</v>
      </c>
      <c r="I213">
        <v>1</v>
      </c>
      <c r="J213">
        <v>0.01</v>
      </c>
      <c r="K213">
        <v>0</v>
      </c>
      <c r="L213" t="s">
        <v>13205</v>
      </c>
      <c r="M213" t="s">
        <v>833</v>
      </c>
      <c r="N213" t="s">
        <v>13205</v>
      </c>
      <c r="O213" t="s">
        <v>838</v>
      </c>
      <c r="P213" t="s">
        <v>13462</v>
      </c>
      <c r="Q213" t="s">
        <v>13463</v>
      </c>
      <c r="R213" t="s">
        <v>13463</v>
      </c>
      <c r="S213" t="s">
        <v>692</v>
      </c>
      <c r="T213" t="s">
        <v>3212</v>
      </c>
      <c r="U213">
        <v>0</v>
      </c>
      <c r="V213" t="b">
        <v>1</v>
      </c>
      <c r="W213" t="b">
        <v>1</v>
      </c>
      <c r="X213" t="b">
        <v>0</v>
      </c>
      <c r="Y213" t="s">
        <v>13212</v>
      </c>
    </row>
    <row r="214" spans="1:37" x14ac:dyDescent="0.25">
      <c r="A214" t="s">
        <v>16</v>
      </c>
      <c r="B214" t="s">
        <v>13205</v>
      </c>
      <c r="C214" t="b">
        <v>1</v>
      </c>
      <c r="D214" t="b">
        <v>1</v>
      </c>
      <c r="E214">
        <v>1</v>
      </c>
      <c r="F214">
        <v>1</v>
      </c>
      <c r="G214">
        <v>1</v>
      </c>
      <c r="H214" t="s">
        <v>860</v>
      </c>
      <c r="I214">
        <v>0</v>
      </c>
      <c r="J214">
        <v>106.2</v>
      </c>
      <c r="K214">
        <v>0</v>
      </c>
      <c r="L214" t="s">
        <v>859</v>
      </c>
      <c r="M214" t="s">
        <v>13207</v>
      </c>
      <c r="N214" t="s">
        <v>13205</v>
      </c>
      <c r="O214" t="s">
        <v>838</v>
      </c>
      <c r="P214" t="s">
        <v>13474</v>
      </c>
      <c r="Q214" t="s">
        <v>13475</v>
      </c>
      <c r="R214" t="s">
        <v>13476</v>
      </c>
      <c r="S214" t="s">
        <v>13476</v>
      </c>
      <c r="T214" t="s">
        <v>3213</v>
      </c>
      <c r="U214">
        <v>1</v>
      </c>
      <c r="V214" t="b">
        <v>1</v>
      </c>
      <c r="W214" t="b">
        <v>0</v>
      </c>
      <c r="X214" t="b">
        <v>0</v>
      </c>
      <c r="Y214" t="s">
        <v>13212</v>
      </c>
      <c r="Z214">
        <v>643.79999999999995</v>
      </c>
      <c r="AA214" t="s">
        <v>13213</v>
      </c>
      <c r="AB214">
        <v>519.33000000000004</v>
      </c>
      <c r="AC214" t="s">
        <v>13213</v>
      </c>
      <c r="AD214">
        <v>615.20000000000005</v>
      </c>
      <c r="AE214" t="s">
        <v>13214</v>
      </c>
      <c r="AF214">
        <v>475</v>
      </c>
      <c r="AG214" t="s">
        <v>13213</v>
      </c>
      <c r="AH214">
        <v>396.08</v>
      </c>
      <c r="AI214" t="s">
        <v>13215</v>
      </c>
      <c r="AJ214">
        <v>779</v>
      </c>
      <c r="AK214" t="s">
        <v>13213</v>
      </c>
    </row>
    <row r="215" spans="1:37" x14ac:dyDescent="0.25">
      <c r="A215" t="s">
        <v>28</v>
      </c>
      <c r="B215" t="s">
        <v>13205</v>
      </c>
      <c r="C215" t="b">
        <v>1</v>
      </c>
      <c r="D215" t="b">
        <v>1</v>
      </c>
      <c r="E215">
        <v>1</v>
      </c>
      <c r="F215">
        <v>1</v>
      </c>
      <c r="G215">
        <v>1</v>
      </c>
      <c r="H215" t="s">
        <v>860</v>
      </c>
      <c r="I215">
        <v>0</v>
      </c>
      <c r="J215">
        <v>99.7</v>
      </c>
      <c r="K215">
        <v>0</v>
      </c>
      <c r="L215" t="s">
        <v>859</v>
      </c>
      <c r="M215" t="s">
        <v>13207</v>
      </c>
      <c r="N215" t="s">
        <v>13205</v>
      </c>
      <c r="O215" t="s">
        <v>838</v>
      </c>
      <c r="P215" t="s">
        <v>13486</v>
      </c>
      <c r="Q215" t="s">
        <v>13487</v>
      </c>
      <c r="R215" t="s">
        <v>653</v>
      </c>
      <c r="S215" t="s">
        <v>653</v>
      </c>
      <c r="T215" t="s">
        <v>3214</v>
      </c>
      <c r="U215">
        <v>1</v>
      </c>
      <c r="V215" t="b">
        <v>1</v>
      </c>
      <c r="W215" t="b">
        <v>0</v>
      </c>
      <c r="X215" t="b">
        <v>0</v>
      </c>
      <c r="Y215" t="s">
        <v>13212</v>
      </c>
      <c r="Z215">
        <v>643.79999999999995</v>
      </c>
      <c r="AA215" t="s">
        <v>13213</v>
      </c>
      <c r="AB215">
        <v>519.33000000000004</v>
      </c>
      <c r="AC215" t="s">
        <v>13213</v>
      </c>
      <c r="AD215">
        <v>615.20000000000005</v>
      </c>
      <c r="AE215" t="s">
        <v>13214</v>
      </c>
      <c r="AF215">
        <v>475</v>
      </c>
      <c r="AG215" t="s">
        <v>13213</v>
      </c>
      <c r="AH215">
        <v>396.08</v>
      </c>
      <c r="AI215" t="s">
        <v>13215</v>
      </c>
      <c r="AJ215">
        <v>779</v>
      </c>
      <c r="AK215" t="s">
        <v>13213</v>
      </c>
    </row>
    <row r="216" spans="1:37" x14ac:dyDescent="0.25">
      <c r="A216" t="s">
        <v>24</v>
      </c>
      <c r="B216" t="s">
        <v>13205</v>
      </c>
      <c r="C216" t="b">
        <v>1</v>
      </c>
      <c r="D216" t="b">
        <v>1</v>
      </c>
      <c r="E216">
        <v>1</v>
      </c>
      <c r="F216">
        <v>1</v>
      </c>
      <c r="G216">
        <v>1</v>
      </c>
      <c r="H216" t="s">
        <v>860</v>
      </c>
      <c r="I216">
        <v>0</v>
      </c>
      <c r="J216">
        <v>86.6</v>
      </c>
      <c r="K216">
        <v>0</v>
      </c>
      <c r="L216" t="s">
        <v>859</v>
      </c>
      <c r="M216" t="s">
        <v>13207</v>
      </c>
      <c r="N216" t="s">
        <v>13205</v>
      </c>
      <c r="O216" t="s">
        <v>838</v>
      </c>
      <c r="P216" t="s">
        <v>13495</v>
      </c>
      <c r="Q216" t="s">
        <v>13496</v>
      </c>
      <c r="R216" t="s">
        <v>650</v>
      </c>
      <c r="S216" t="s">
        <v>650</v>
      </c>
      <c r="T216" t="s">
        <v>3216</v>
      </c>
      <c r="U216">
        <v>1</v>
      </c>
      <c r="V216" t="b">
        <v>1</v>
      </c>
      <c r="W216" t="b">
        <v>0</v>
      </c>
      <c r="X216" t="b">
        <v>0</v>
      </c>
      <c r="Y216" t="s">
        <v>13212</v>
      </c>
      <c r="Z216">
        <v>503.31</v>
      </c>
      <c r="AA216" t="s">
        <v>13213</v>
      </c>
      <c r="AB216">
        <v>406</v>
      </c>
      <c r="AC216" t="s">
        <v>13213</v>
      </c>
      <c r="AD216">
        <v>479.2</v>
      </c>
      <c r="AE216" t="s">
        <v>13214</v>
      </c>
      <c r="AF216">
        <v>371.34</v>
      </c>
      <c r="AG216" t="s">
        <v>13213</v>
      </c>
      <c r="AH216">
        <v>291.08</v>
      </c>
      <c r="AI216" t="s">
        <v>13215</v>
      </c>
      <c r="AJ216">
        <v>609</v>
      </c>
      <c r="AK216" t="s">
        <v>13213</v>
      </c>
    </row>
    <row r="217" spans="1:37" x14ac:dyDescent="0.25">
      <c r="A217" t="s">
        <v>701</v>
      </c>
      <c r="B217" t="s">
        <v>13205</v>
      </c>
      <c r="C217" t="b">
        <v>0</v>
      </c>
      <c r="D217" t="b">
        <v>0</v>
      </c>
      <c r="E217">
        <v>1</v>
      </c>
      <c r="F217">
        <v>1</v>
      </c>
      <c r="G217">
        <v>1</v>
      </c>
      <c r="H217" t="s">
        <v>13205</v>
      </c>
      <c r="I217">
        <v>1</v>
      </c>
      <c r="J217">
        <v>0.01</v>
      </c>
      <c r="K217">
        <v>0</v>
      </c>
      <c r="L217" t="s">
        <v>13205</v>
      </c>
      <c r="M217" t="s">
        <v>833</v>
      </c>
      <c r="N217" t="s">
        <v>13205</v>
      </c>
      <c r="O217" t="s">
        <v>838</v>
      </c>
      <c r="P217" t="s">
        <v>13857</v>
      </c>
      <c r="Q217" t="s">
        <v>13858</v>
      </c>
      <c r="R217" t="s">
        <v>13859</v>
      </c>
      <c r="S217" t="s">
        <v>702</v>
      </c>
      <c r="T217" t="s">
        <v>3218</v>
      </c>
      <c r="U217">
        <v>0</v>
      </c>
      <c r="V217" t="b">
        <v>1</v>
      </c>
      <c r="W217" t="b">
        <v>1</v>
      </c>
      <c r="X217" t="b">
        <v>0</v>
      </c>
      <c r="Y217" t="s">
        <v>13212</v>
      </c>
    </row>
    <row r="218" spans="1:37" x14ac:dyDescent="0.25">
      <c r="A218" t="s">
        <v>346</v>
      </c>
      <c r="B218" t="s">
        <v>13205</v>
      </c>
      <c r="C218" t="b">
        <v>1</v>
      </c>
      <c r="D218" t="b">
        <v>1</v>
      </c>
      <c r="E218">
        <v>29</v>
      </c>
      <c r="F218">
        <v>163</v>
      </c>
      <c r="G218">
        <v>48</v>
      </c>
      <c r="H218" t="s">
        <v>860</v>
      </c>
      <c r="I218">
        <v>8</v>
      </c>
      <c r="J218">
        <v>68.3</v>
      </c>
      <c r="K218">
        <v>4.7</v>
      </c>
      <c r="L218" t="s">
        <v>859</v>
      </c>
      <c r="M218" t="s">
        <v>13207</v>
      </c>
      <c r="N218" t="s">
        <v>929</v>
      </c>
      <c r="O218" t="s">
        <v>838</v>
      </c>
      <c r="P218" t="s">
        <v>347</v>
      </c>
      <c r="Q218" t="s">
        <v>347</v>
      </c>
      <c r="R218" t="s">
        <v>347</v>
      </c>
      <c r="S218" t="s">
        <v>347</v>
      </c>
      <c r="T218" t="s">
        <v>365</v>
      </c>
      <c r="U218">
        <v>195</v>
      </c>
      <c r="V218" t="b">
        <v>0</v>
      </c>
      <c r="W218" t="b">
        <v>0</v>
      </c>
      <c r="X218" t="b">
        <v>0</v>
      </c>
      <c r="Y218" t="s">
        <v>13212</v>
      </c>
      <c r="Z218">
        <v>379.34</v>
      </c>
      <c r="AA218" t="s">
        <v>13213</v>
      </c>
      <c r="AB218">
        <v>306</v>
      </c>
      <c r="AC218" t="s">
        <v>13213</v>
      </c>
      <c r="AD218">
        <v>335.2</v>
      </c>
      <c r="AE218" t="s">
        <v>13214</v>
      </c>
      <c r="AF218">
        <v>279.88</v>
      </c>
      <c r="AG218" t="s">
        <v>13213</v>
      </c>
      <c r="AH218">
        <v>203.58</v>
      </c>
      <c r="AI218" t="s">
        <v>13215</v>
      </c>
      <c r="AJ218">
        <v>459</v>
      </c>
      <c r="AK218" t="s">
        <v>13213</v>
      </c>
    </row>
    <row r="219" spans="1:37" x14ac:dyDescent="0.25">
      <c r="A219" t="s">
        <v>3231</v>
      </c>
      <c r="B219" t="s">
        <v>13205</v>
      </c>
      <c r="C219" t="b">
        <v>0</v>
      </c>
      <c r="D219" t="b">
        <v>0</v>
      </c>
      <c r="E219">
        <v>1</v>
      </c>
      <c r="F219">
        <v>1</v>
      </c>
      <c r="G219">
        <v>1</v>
      </c>
      <c r="H219" t="s">
        <v>13205</v>
      </c>
      <c r="I219">
        <v>1</v>
      </c>
      <c r="J219">
        <v>0.01</v>
      </c>
      <c r="K219">
        <v>0</v>
      </c>
      <c r="L219" t="s">
        <v>13205</v>
      </c>
      <c r="M219" t="s">
        <v>833</v>
      </c>
      <c r="N219" t="s">
        <v>13205</v>
      </c>
      <c r="O219" t="s">
        <v>838</v>
      </c>
      <c r="P219" t="s">
        <v>3232</v>
      </c>
      <c r="Q219" t="s">
        <v>3232</v>
      </c>
      <c r="R219" t="s">
        <v>3232</v>
      </c>
      <c r="S219" t="s">
        <v>3232</v>
      </c>
      <c r="T219" t="s">
        <v>3230</v>
      </c>
      <c r="U219">
        <v>0</v>
      </c>
      <c r="V219" t="b">
        <v>1</v>
      </c>
      <c r="W219" t="b">
        <v>1</v>
      </c>
      <c r="X219" t="b">
        <v>0</v>
      </c>
      <c r="Y219" t="s">
        <v>13212</v>
      </c>
    </row>
    <row r="220" spans="1:37" x14ac:dyDescent="0.25">
      <c r="A220" t="s">
        <v>789</v>
      </c>
      <c r="B220" t="s">
        <v>13205</v>
      </c>
      <c r="C220" t="b">
        <v>0</v>
      </c>
      <c r="D220" t="b">
        <v>0</v>
      </c>
      <c r="E220">
        <v>1</v>
      </c>
      <c r="F220">
        <v>1</v>
      </c>
      <c r="G220">
        <v>1</v>
      </c>
      <c r="H220" t="s">
        <v>13205</v>
      </c>
      <c r="I220">
        <v>1</v>
      </c>
      <c r="J220">
        <v>0.01</v>
      </c>
      <c r="K220">
        <v>0</v>
      </c>
      <c r="L220" t="s">
        <v>13205</v>
      </c>
      <c r="M220" t="s">
        <v>833</v>
      </c>
      <c r="N220" t="s">
        <v>13205</v>
      </c>
      <c r="O220" t="s">
        <v>838</v>
      </c>
      <c r="P220" t="s">
        <v>790</v>
      </c>
      <c r="Q220" t="s">
        <v>790</v>
      </c>
      <c r="R220" t="s">
        <v>790</v>
      </c>
      <c r="S220" t="s">
        <v>790</v>
      </c>
      <c r="T220" t="s">
        <v>3233</v>
      </c>
      <c r="U220">
        <v>0</v>
      </c>
      <c r="V220" t="b">
        <v>1</v>
      </c>
      <c r="W220" t="b">
        <v>1</v>
      </c>
      <c r="X220" t="b">
        <v>0</v>
      </c>
      <c r="Y220" t="s">
        <v>13212</v>
      </c>
    </row>
    <row r="221" spans="1:37" x14ac:dyDescent="0.25">
      <c r="A221" t="s">
        <v>92</v>
      </c>
      <c r="B221" t="s">
        <v>13205</v>
      </c>
      <c r="C221" t="b">
        <v>1</v>
      </c>
      <c r="D221" t="b">
        <v>1</v>
      </c>
      <c r="E221">
        <v>24</v>
      </c>
      <c r="F221">
        <v>153</v>
      </c>
      <c r="G221">
        <v>56</v>
      </c>
      <c r="H221" t="s">
        <v>860</v>
      </c>
      <c r="I221">
        <v>8</v>
      </c>
      <c r="J221">
        <v>61.8</v>
      </c>
      <c r="K221">
        <v>4.4000000000000004</v>
      </c>
      <c r="L221" t="s">
        <v>859</v>
      </c>
      <c r="M221" t="s">
        <v>13207</v>
      </c>
      <c r="N221" t="s">
        <v>929</v>
      </c>
      <c r="O221" t="s">
        <v>838</v>
      </c>
      <c r="P221" t="s">
        <v>565</v>
      </c>
      <c r="Q221" t="s">
        <v>565</v>
      </c>
      <c r="R221" t="s">
        <v>565</v>
      </c>
      <c r="S221" t="s">
        <v>565</v>
      </c>
      <c r="T221" t="s">
        <v>3238</v>
      </c>
      <c r="U221">
        <v>290</v>
      </c>
      <c r="V221" t="b">
        <v>0</v>
      </c>
      <c r="W221" t="b">
        <v>0</v>
      </c>
      <c r="X221" t="b">
        <v>0</v>
      </c>
      <c r="Y221" t="s">
        <v>13212</v>
      </c>
      <c r="Z221">
        <v>354.55</v>
      </c>
      <c r="AA221" t="s">
        <v>13213</v>
      </c>
      <c r="AB221">
        <v>286</v>
      </c>
      <c r="AC221" t="s">
        <v>13213</v>
      </c>
      <c r="AD221">
        <v>335.2</v>
      </c>
      <c r="AE221" t="s">
        <v>13214</v>
      </c>
      <c r="AF221">
        <v>261.58999999999997</v>
      </c>
      <c r="AG221" t="s">
        <v>13213</v>
      </c>
      <c r="AH221">
        <v>221.08</v>
      </c>
      <c r="AI221" t="s">
        <v>13215</v>
      </c>
      <c r="AJ221">
        <v>429</v>
      </c>
      <c r="AK221" t="s">
        <v>13213</v>
      </c>
    </row>
    <row r="222" spans="1:37" x14ac:dyDescent="0.25">
      <c r="A222" t="s">
        <v>707</v>
      </c>
      <c r="B222" t="s">
        <v>13205</v>
      </c>
      <c r="C222" t="b">
        <v>0</v>
      </c>
      <c r="D222" t="b">
        <v>0</v>
      </c>
      <c r="E222">
        <v>1</v>
      </c>
      <c r="F222">
        <v>1</v>
      </c>
      <c r="G222">
        <v>1</v>
      </c>
      <c r="H222" t="s">
        <v>13205</v>
      </c>
      <c r="I222">
        <v>1</v>
      </c>
      <c r="J222">
        <v>0.01</v>
      </c>
      <c r="K222">
        <v>0</v>
      </c>
      <c r="L222" t="s">
        <v>13205</v>
      </c>
      <c r="M222" t="s">
        <v>833</v>
      </c>
      <c r="N222" t="s">
        <v>13205</v>
      </c>
      <c r="O222" t="s">
        <v>838</v>
      </c>
      <c r="P222" t="s">
        <v>708</v>
      </c>
      <c r="Q222" t="s">
        <v>708</v>
      </c>
      <c r="R222" t="s">
        <v>708</v>
      </c>
      <c r="S222" t="s">
        <v>708</v>
      </c>
      <c r="T222" t="s">
        <v>3239</v>
      </c>
      <c r="U222">
        <v>0</v>
      </c>
      <c r="V222" t="b">
        <v>1</v>
      </c>
      <c r="W222" t="b">
        <v>1</v>
      </c>
      <c r="X222" t="b">
        <v>0</v>
      </c>
      <c r="Y222" t="s">
        <v>13212</v>
      </c>
    </row>
    <row r="223" spans="1:37" x14ac:dyDescent="0.25">
      <c r="A223" t="s">
        <v>713</v>
      </c>
      <c r="B223" t="s">
        <v>13205</v>
      </c>
      <c r="C223" t="b">
        <v>0</v>
      </c>
      <c r="D223" t="b">
        <v>0</v>
      </c>
      <c r="E223">
        <v>1</v>
      </c>
      <c r="F223">
        <v>1</v>
      </c>
      <c r="G223">
        <v>1</v>
      </c>
      <c r="H223" t="s">
        <v>13205</v>
      </c>
      <c r="I223">
        <v>1</v>
      </c>
      <c r="J223">
        <v>0.01</v>
      </c>
      <c r="K223">
        <v>0</v>
      </c>
      <c r="L223" t="s">
        <v>13205</v>
      </c>
      <c r="M223" t="s">
        <v>833</v>
      </c>
      <c r="N223" t="s">
        <v>13205</v>
      </c>
      <c r="O223" t="s">
        <v>838</v>
      </c>
      <c r="P223" t="s">
        <v>714</v>
      </c>
      <c r="Q223" t="s">
        <v>714</v>
      </c>
      <c r="R223" t="s">
        <v>714</v>
      </c>
      <c r="S223" t="s">
        <v>714</v>
      </c>
      <c r="T223" t="s">
        <v>3240</v>
      </c>
      <c r="U223">
        <v>0</v>
      </c>
      <c r="V223" t="b">
        <v>1</v>
      </c>
      <c r="W223" t="b">
        <v>1</v>
      </c>
      <c r="X223" t="b">
        <v>0</v>
      </c>
      <c r="Y223" t="s">
        <v>13212</v>
      </c>
    </row>
    <row r="224" spans="1:37" x14ac:dyDescent="0.25">
      <c r="A224" t="s">
        <v>8</v>
      </c>
      <c r="B224" t="s">
        <v>13205</v>
      </c>
      <c r="C224" t="b">
        <v>1</v>
      </c>
      <c r="D224" t="b">
        <v>1</v>
      </c>
      <c r="E224">
        <v>1</v>
      </c>
      <c r="F224">
        <v>1</v>
      </c>
      <c r="G224">
        <v>1</v>
      </c>
      <c r="H224" t="s">
        <v>860</v>
      </c>
      <c r="I224">
        <v>0</v>
      </c>
      <c r="J224">
        <v>100.7</v>
      </c>
      <c r="K224">
        <v>0</v>
      </c>
      <c r="L224" t="s">
        <v>859</v>
      </c>
      <c r="M224" t="s">
        <v>13207</v>
      </c>
      <c r="N224" t="s">
        <v>13205</v>
      </c>
      <c r="O224" t="s">
        <v>838</v>
      </c>
      <c r="P224" t="s">
        <v>13465</v>
      </c>
      <c r="Q224" t="s">
        <v>13466</v>
      </c>
      <c r="R224" t="s">
        <v>13467</v>
      </c>
      <c r="S224" t="s">
        <v>13467</v>
      </c>
      <c r="T224" t="s">
        <v>3247</v>
      </c>
      <c r="U224">
        <v>1</v>
      </c>
      <c r="V224" t="b">
        <v>1</v>
      </c>
      <c r="W224" t="b">
        <v>0</v>
      </c>
      <c r="X224" t="b">
        <v>0</v>
      </c>
      <c r="Y224" t="s">
        <v>13212</v>
      </c>
      <c r="Z224">
        <v>511.57</v>
      </c>
      <c r="AA224" t="s">
        <v>13213</v>
      </c>
      <c r="AB224">
        <v>412.67</v>
      </c>
      <c r="AC224" t="s">
        <v>13213</v>
      </c>
      <c r="AD224">
        <v>479.2</v>
      </c>
      <c r="AE224" t="s">
        <v>13214</v>
      </c>
      <c r="AF224">
        <v>377.44</v>
      </c>
      <c r="AG224" t="s">
        <v>13213</v>
      </c>
      <c r="AH224">
        <v>291.08</v>
      </c>
      <c r="AI224" t="s">
        <v>13215</v>
      </c>
      <c r="AJ224">
        <v>619</v>
      </c>
      <c r="AK224" t="s">
        <v>13213</v>
      </c>
    </row>
    <row r="225" spans="1:37" x14ac:dyDescent="0.25">
      <c r="A225" t="s">
        <v>693</v>
      </c>
      <c r="B225" t="s">
        <v>13205</v>
      </c>
      <c r="C225" t="b">
        <v>0</v>
      </c>
      <c r="D225" t="b">
        <v>0</v>
      </c>
      <c r="E225">
        <v>1</v>
      </c>
      <c r="F225">
        <v>1</v>
      </c>
      <c r="G225">
        <v>1</v>
      </c>
      <c r="H225" t="s">
        <v>13205</v>
      </c>
      <c r="I225">
        <v>1</v>
      </c>
      <c r="J225">
        <v>0.01</v>
      </c>
      <c r="K225">
        <v>0</v>
      </c>
      <c r="L225" t="s">
        <v>13205</v>
      </c>
      <c r="M225" t="s">
        <v>833</v>
      </c>
      <c r="N225" t="s">
        <v>13205</v>
      </c>
      <c r="O225" t="s">
        <v>838</v>
      </c>
      <c r="P225" t="s">
        <v>13465</v>
      </c>
      <c r="Q225" t="s">
        <v>13466</v>
      </c>
      <c r="R225" t="s">
        <v>13467</v>
      </c>
      <c r="S225" t="s">
        <v>694</v>
      </c>
      <c r="T225" t="s">
        <v>3248</v>
      </c>
      <c r="U225">
        <v>0</v>
      </c>
      <c r="V225" t="b">
        <v>1</v>
      </c>
      <c r="W225" t="b">
        <v>1</v>
      </c>
      <c r="X225" t="b">
        <v>0</v>
      </c>
      <c r="Y225" t="s">
        <v>13212</v>
      </c>
    </row>
    <row r="226" spans="1:37" x14ac:dyDescent="0.25">
      <c r="A226" t="s">
        <v>10</v>
      </c>
      <c r="B226" t="s">
        <v>13205</v>
      </c>
      <c r="C226" t="b">
        <v>1</v>
      </c>
      <c r="D226" t="b">
        <v>1</v>
      </c>
      <c r="E226">
        <v>1</v>
      </c>
      <c r="F226">
        <v>1</v>
      </c>
      <c r="G226">
        <v>1</v>
      </c>
      <c r="H226" t="s">
        <v>860</v>
      </c>
      <c r="I226">
        <v>0</v>
      </c>
      <c r="J226">
        <v>100.9</v>
      </c>
      <c r="K226">
        <v>0</v>
      </c>
      <c r="L226" t="s">
        <v>859</v>
      </c>
      <c r="M226" t="s">
        <v>13207</v>
      </c>
      <c r="N226" t="s">
        <v>13205</v>
      </c>
      <c r="O226" t="s">
        <v>838</v>
      </c>
      <c r="P226" t="s">
        <v>13468</v>
      </c>
      <c r="Q226" t="s">
        <v>13469</v>
      </c>
      <c r="R226" t="s">
        <v>13470</v>
      </c>
      <c r="S226" t="s">
        <v>13470</v>
      </c>
      <c r="T226" t="s">
        <v>3252</v>
      </c>
      <c r="U226">
        <v>1</v>
      </c>
      <c r="V226" t="b">
        <v>1</v>
      </c>
      <c r="W226" t="b">
        <v>0</v>
      </c>
      <c r="X226" t="b">
        <v>0</v>
      </c>
      <c r="Y226" t="s">
        <v>13212</v>
      </c>
      <c r="Z226">
        <v>544.63</v>
      </c>
      <c r="AA226" t="s">
        <v>13213</v>
      </c>
      <c r="AB226">
        <v>439.33</v>
      </c>
      <c r="AC226" t="s">
        <v>13213</v>
      </c>
      <c r="AD226">
        <v>511.2</v>
      </c>
      <c r="AE226" t="s">
        <v>13214</v>
      </c>
      <c r="AF226">
        <v>401.83</v>
      </c>
      <c r="AG226" t="s">
        <v>13213</v>
      </c>
      <c r="AH226">
        <v>308.58</v>
      </c>
      <c r="AI226" t="s">
        <v>13215</v>
      </c>
      <c r="AJ226">
        <v>659</v>
      </c>
      <c r="AK226" t="s">
        <v>13213</v>
      </c>
    </row>
    <row r="227" spans="1:37" x14ac:dyDescent="0.25">
      <c r="A227" t="s">
        <v>695</v>
      </c>
      <c r="B227" t="s">
        <v>13205</v>
      </c>
      <c r="C227" t="b">
        <v>0</v>
      </c>
      <c r="D227" t="b">
        <v>0</v>
      </c>
      <c r="E227">
        <v>1</v>
      </c>
      <c r="F227">
        <v>1</v>
      </c>
      <c r="G227">
        <v>1</v>
      </c>
      <c r="H227" t="s">
        <v>13205</v>
      </c>
      <c r="I227">
        <v>1</v>
      </c>
      <c r="J227">
        <v>0.01</v>
      </c>
      <c r="K227">
        <v>0</v>
      </c>
      <c r="L227" t="s">
        <v>13205</v>
      </c>
      <c r="M227" t="s">
        <v>833</v>
      </c>
      <c r="N227" t="s">
        <v>13205</v>
      </c>
      <c r="O227" t="s">
        <v>838</v>
      </c>
      <c r="P227" t="s">
        <v>13468</v>
      </c>
      <c r="Q227" t="s">
        <v>13469</v>
      </c>
      <c r="R227" t="s">
        <v>13470</v>
      </c>
      <c r="S227" t="s">
        <v>696</v>
      </c>
      <c r="T227" t="s">
        <v>3253</v>
      </c>
      <c r="U227">
        <v>0</v>
      </c>
      <c r="V227" t="b">
        <v>1</v>
      </c>
      <c r="W227" t="b">
        <v>1</v>
      </c>
      <c r="X227" t="b">
        <v>0</v>
      </c>
      <c r="Y227" t="s">
        <v>13212</v>
      </c>
    </row>
    <row r="228" spans="1:37" x14ac:dyDescent="0.25">
      <c r="A228" t="s">
        <v>18</v>
      </c>
      <c r="B228" t="s">
        <v>13205</v>
      </c>
      <c r="C228" t="b">
        <v>1</v>
      </c>
      <c r="D228" t="b">
        <v>1</v>
      </c>
      <c r="E228">
        <v>1</v>
      </c>
      <c r="F228">
        <v>1</v>
      </c>
      <c r="G228">
        <v>1</v>
      </c>
      <c r="H228" t="s">
        <v>860</v>
      </c>
      <c r="I228">
        <v>0</v>
      </c>
      <c r="J228">
        <v>114.3</v>
      </c>
      <c r="K228">
        <v>0</v>
      </c>
      <c r="L228" t="s">
        <v>859</v>
      </c>
      <c r="M228" t="s">
        <v>13207</v>
      </c>
      <c r="N228" t="s">
        <v>13205</v>
      </c>
      <c r="O228" t="s">
        <v>838</v>
      </c>
      <c r="P228" t="s">
        <v>13477</v>
      </c>
      <c r="Q228" t="s">
        <v>13478</v>
      </c>
      <c r="R228" t="s">
        <v>13479</v>
      </c>
      <c r="S228" t="s">
        <v>13479</v>
      </c>
      <c r="T228" t="s">
        <v>3254</v>
      </c>
      <c r="U228">
        <v>1</v>
      </c>
      <c r="V228" t="b">
        <v>1</v>
      </c>
      <c r="W228" t="b">
        <v>0</v>
      </c>
      <c r="X228" t="b">
        <v>0</v>
      </c>
      <c r="Y228" t="s">
        <v>13212</v>
      </c>
      <c r="Z228">
        <v>693.39</v>
      </c>
      <c r="AA228" t="s">
        <v>13213</v>
      </c>
      <c r="AB228">
        <v>559.33000000000004</v>
      </c>
      <c r="AC228" t="s">
        <v>13213</v>
      </c>
      <c r="AD228">
        <v>655.20000000000005</v>
      </c>
      <c r="AE228" t="s">
        <v>13214</v>
      </c>
      <c r="AF228">
        <v>511.59</v>
      </c>
      <c r="AG228" t="s">
        <v>13213</v>
      </c>
      <c r="AH228">
        <v>431.08</v>
      </c>
      <c r="AI228" t="s">
        <v>13215</v>
      </c>
      <c r="AJ228">
        <v>839</v>
      </c>
      <c r="AK228" t="s">
        <v>13213</v>
      </c>
    </row>
    <row r="229" spans="1:37" x14ac:dyDescent="0.25">
      <c r="A229" t="s">
        <v>20</v>
      </c>
      <c r="B229" t="s">
        <v>13205</v>
      </c>
      <c r="C229" t="b">
        <v>1</v>
      </c>
      <c r="D229" t="b">
        <v>1</v>
      </c>
      <c r="E229">
        <v>1</v>
      </c>
      <c r="F229">
        <v>1</v>
      </c>
      <c r="G229">
        <v>1</v>
      </c>
      <c r="H229" t="s">
        <v>860</v>
      </c>
      <c r="I229">
        <v>0</v>
      </c>
      <c r="J229">
        <v>114.5</v>
      </c>
      <c r="K229">
        <v>0</v>
      </c>
      <c r="L229" t="s">
        <v>859</v>
      </c>
      <c r="M229" t="s">
        <v>13207</v>
      </c>
      <c r="N229" t="s">
        <v>13205</v>
      </c>
      <c r="O229" t="s">
        <v>838</v>
      </c>
      <c r="P229" t="s">
        <v>13480</v>
      </c>
      <c r="Q229" t="s">
        <v>13481</v>
      </c>
      <c r="R229" t="s">
        <v>13482</v>
      </c>
      <c r="S229" t="s">
        <v>13482</v>
      </c>
      <c r="T229" t="s">
        <v>3255</v>
      </c>
      <c r="U229">
        <v>1</v>
      </c>
      <c r="V229" t="b">
        <v>1</v>
      </c>
      <c r="W229" t="b">
        <v>0</v>
      </c>
      <c r="X229" t="b">
        <v>0</v>
      </c>
      <c r="Y229" t="s">
        <v>13212</v>
      </c>
      <c r="Z229">
        <v>734.71</v>
      </c>
      <c r="AA229" t="s">
        <v>13213</v>
      </c>
      <c r="AB229">
        <v>592.66999999999996</v>
      </c>
      <c r="AC229" t="s">
        <v>13213</v>
      </c>
      <c r="AD229">
        <v>695.2</v>
      </c>
      <c r="AE229" t="s">
        <v>13214</v>
      </c>
      <c r="AF229">
        <v>542.07000000000005</v>
      </c>
      <c r="AG229" t="s">
        <v>13213</v>
      </c>
      <c r="AH229">
        <v>454.42</v>
      </c>
      <c r="AI229" t="s">
        <v>13215</v>
      </c>
      <c r="AJ229">
        <v>889</v>
      </c>
      <c r="AK229" t="s">
        <v>13213</v>
      </c>
    </row>
    <row r="230" spans="1:37" x14ac:dyDescent="0.25">
      <c r="A230" t="s">
        <v>29</v>
      </c>
      <c r="B230" t="s">
        <v>13205</v>
      </c>
      <c r="C230" t="b">
        <v>1</v>
      </c>
      <c r="D230" t="b">
        <v>1</v>
      </c>
      <c r="E230">
        <v>1</v>
      </c>
      <c r="F230">
        <v>1</v>
      </c>
      <c r="G230">
        <v>1</v>
      </c>
      <c r="H230" t="s">
        <v>860</v>
      </c>
      <c r="I230">
        <v>0</v>
      </c>
      <c r="J230">
        <v>107.2</v>
      </c>
      <c r="K230">
        <v>0</v>
      </c>
      <c r="L230" t="s">
        <v>859</v>
      </c>
      <c r="M230" t="s">
        <v>13207</v>
      </c>
      <c r="N230" t="s">
        <v>13205</v>
      </c>
      <c r="O230" t="s">
        <v>838</v>
      </c>
      <c r="P230" t="s">
        <v>13488</v>
      </c>
      <c r="Q230" t="s">
        <v>13489</v>
      </c>
      <c r="R230" t="s">
        <v>654</v>
      </c>
      <c r="S230" t="s">
        <v>654</v>
      </c>
      <c r="T230" t="s">
        <v>3256</v>
      </c>
      <c r="U230">
        <v>1</v>
      </c>
      <c r="V230" t="b">
        <v>1</v>
      </c>
      <c r="W230" t="b">
        <v>0</v>
      </c>
      <c r="X230" t="b">
        <v>0</v>
      </c>
      <c r="Y230" t="s">
        <v>13212</v>
      </c>
      <c r="Z230">
        <v>693.39</v>
      </c>
      <c r="AA230" t="s">
        <v>13213</v>
      </c>
      <c r="AB230">
        <v>559.33000000000004</v>
      </c>
      <c r="AC230" t="s">
        <v>13213</v>
      </c>
      <c r="AD230">
        <v>655.20000000000005</v>
      </c>
      <c r="AE230" t="s">
        <v>13214</v>
      </c>
      <c r="AF230">
        <v>511.59</v>
      </c>
      <c r="AG230" t="s">
        <v>13213</v>
      </c>
      <c r="AH230">
        <v>431.08</v>
      </c>
      <c r="AI230" t="s">
        <v>13215</v>
      </c>
      <c r="AJ230">
        <v>839</v>
      </c>
      <c r="AK230" t="s">
        <v>13213</v>
      </c>
    </row>
    <row r="231" spans="1:37" x14ac:dyDescent="0.25">
      <c r="A231" t="s">
        <v>348</v>
      </c>
      <c r="B231" t="s">
        <v>13205</v>
      </c>
      <c r="C231" t="b">
        <v>1</v>
      </c>
      <c r="D231" t="b">
        <v>1</v>
      </c>
      <c r="E231">
        <v>29</v>
      </c>
      <c r="F231">
        <v>175</v>
      </c>
      <c r="G231">
        <v>50</v>
      </c>
      <c r="H231" t="s">
        <v>860</v>
      </c>
      <c r="I231">
        <v>8</v>
      </c>
      <c r="J231">
        <v>75.7</v>
      </c>
      <c r="K231">
        <v>5.6</v>
      </c>
      <c r="L231" t="s">
        <v>859</v>
      </c>
      <c r="M231" t="s">
        <v>13207</v>
      </c>
      <c r="N231" t="s">
        <v>929</v>
      </c>
      <c r="O231" t="s">
        <v>838</v>
      </c>
      <c r="P231" t="s">
        <v>349</v>
      </c>
      <c r="Q231" t="s">
        <v>349</v>
      </c>
      <c r="R231" t="s">
        <v>349</v>
      </c>
      <c r="S231" t="s">
        <v>349</v>
      </c>
      <c r="T231" t="s">
        <v>366</v>
      </c>
      <c r="U231">
        <v>175</v>
      </c>
      <c r="V231" t="b">
        <v>0</v>
      </c>
      <c r="W231" t="b">
        <v>0</v>
      </c>
      <c r="X231" t="b">
        <v>0</v>
      </c>
      <c r="Y231" t="s">
        <v>13212</v>
      </c>
      <c r="Z231">
        <v>420.66</v>
      </c>
      <c r="AA231" t="s">
        <v>13213</v>
      </c>
      <c r="AB231">
        <v>339.33</v>
      </c>
      <c r="AC231" t="s">
        <v>13213</v>
      </c>
      <c r="AD231">
        <v>367.2</v>
      </c>
      <c r="AE231" t="s">
        <v>13214</v>
      </c>
      <c r="AF231">
        <v>310.37</v>
      </c>
      <c r="AG231" t="s">
        <v>13213</v>
      </c>
      <c r="AH231">
        <v>221.08</v>
      </c>
      <c r="AI231" t="s">
        <v>13215</v>
      </c>
      <c r="AJ231">
        <v>509</v>
      </c>
      <c r="AK231" t="s">
        <v>13213</v>
      </c>
    </row>
    <row r="232" spans="1:37" x14ac:dyDescent="0.25">
      <c r="A232" t="s">
        <v>350</v>
      </c>
      <c r="B232" t="s">
        <v>13205</v>
      </c>
      <c r="C232" t="b">
        <v>1</v>
      </c>
      <c r="D232" t="b">
        <v>1</v>
      </c>
      <c r="E232">
        <v>29</v>
      </c>
      <c r="F232">
        <v>175</v>
      </c>
      <c r="G232">
        <v>50</v>
      </c>
      <c r="H232" t="s">
        <v>860</v>
      </c>
      <c r="I232">
        <v>8</v>
      </c>
      <c r="J232">
        <v>75.900000000000006</v>
      </c>
      <c r="K232">
        <v>5.6</v>
      </c>
      <c r="L232" t="s">
        <v>859</v>
      </c>
      <c r="M232" t="s">
        <v>13207</v>
      </c>
      <c r="N232" t="s">
        <v>929</v>
      </c>
      <c r="O232" t="s">
        <v>838</v>
      </c>
      <c r="P232" t="s">
        <v>351</v>
      </c>
      <c r="Q232" t="s">
        <v>351</v>
      </c>
      <c r="R232" t="s">
        <v>351</v>
      </c>
      <c r="S232" t="s">
        <v>351</v>
      </c>
      <c r="T232" t="s">
        <v>367</v>
      </c>
      <c r="U232">
        <v>100</v>
      </c>
      <c r="V232" t="b">
        <v>0</v>
      </c>
      <c r="W232" t="b">
        <v>0</v>
      </c>
      <c r="X232" t="b">
        <v>0</v>
      </c>
      <c r="Y232" t="s">
        <v>13212</v>
      </c>
      <c r="Z232">
        <v>453.72</v>
      </c>
      <c r="AA232" t="s">
        <v>13213</v>
      </c>
      <c r="AB232">
        <v>366</v>
      </c>
      <c r="AC232" t="s">
        <v>13213</v>
      </c>
      <c r="AD232">
        <v>399.2</v>
      </c>
      <c r="AE232" t="s">
        <v>13214</v>
      </c>
      <c r="AF232">
        <v>334.76</v>
      </c>
      <c r="AG232" t="s">
        <v>13213</v>
      </c>
      <c r="AH232">
        <v>244.42</v>
      </c>
      <c r="AI232" t="s">
        <v>13215</v>
      </c>
      <c r="AJ232">
        <v>549</v>
      </c>
      <c r="AK232" t="s">
        <v>13213</v>
      </c>
    </row>
    <row r="233" spans="1:37" x14ac:dyDescent="0.25">
      <c r="A233" t="s">
        <v>25</v>
      </c>
      <c r="B233" t="s">
        <v>13205</v>
      </c>
      <c r="C233" t="b">
        <v>1</v>
      </c>
      <c r="D233" t="b">
        <v>1</v>
      </c>
      <c r="E233">
        <v>1</v>
      </c>
      <c r="F233">
        <v>1</v>
      </c>
      <c r="G233">
        <v>1</v>
      </c>
      <c r="H233" t="s">
        <v>860</v>
      </c>
      <c r="I233">
        <v>0</v>
      </c>
      <c r="J233">
        <v>93.8</v>
      </c>
      <c r="K233">
        <v>0</v>
      </c>
      <c r="L233" t="s">
        <v>859</v>
      </c>
      <c r="M233" t="s">
        <v>13207</v>
      </c>
      <c r="N233" t="s">
        <v>13205</v>
      </c>
      <c r="O233" t="s">
        <v>838</v>
      </c>
      <c r="P233" t="s">
        <v>13497</v>
      </c>
      <c r="Q233" t="s">
        <v>13498</v>
      </c>
      <c r="R233" t="s">
        <v>651</v>
      </c>
      <c r="S233" t="s">
        <v>651</v>
      </c>
      <c r="T233" t="s">
        <v>3278</v>
      </c>
      <c r="U233">
        <v>1</v>
      </c>
      <c r="V233" t="b">
        <v>1</v>
      </c>
      <c r="W233" t="b">
        <v>0</v>
      </c>
      <c r="X233" t="b">
        <v>0</v>
      </c>
      <c r="Y233" t="s">
        <v>13212</v>
      </c>
      <c r="Z233">
        <v>552.89</v>
      </c>
      <c r="AA233" t="s">
        <v>13213</v>
      </c>
      <c r="AB233">
        <v>446</v>
      </c>
      <c r="AC233" t="s">
        <v>13213</v>
      </c>
      <c r="AD233">
        <v>519.20000000000005</v>
      </c>
      <c r="AE233" t="s">
        <v>13214</v>
      </c>
      <c r="AF233">
        <v>407.93</v>
      </c>
      <c r="AG233" t="s">
        <v>13213</v>
      </c>
      <c r="AH233">
        <v>314.42</v>
      </c>
      <c r="AI233" t="s">
        <v>13215</v>
      </c>
      <c r="AJ233">
        <v>669</v>
      </c>
      <c r="AK233" t="s">
        <v>13213</v>
      </c>
    </row>
    <row r="234" spans="1:37" x14ac:dyDescent="0.25">
      <c r="A234" t="s">
        <v>703</v>
      </c>
      <c r="B234" t="s">
        <v>13205</v>
      </c>
      <c r="C234" t="b">
        <v>0</v>
      </c>
      <c r="D234" t="b">
        <v>0</v>
      </c>
      <c r="E234">
        <v>1</v>
      </c>
      <c r="F234">
        <v>1</v>
      </c>
      <c r="G234">
        <v>1</v>
      </c>
      <c r="H234" t="s">
        <v>13205</v>
      </c>
      <c r="I234">
        <v>1</v>
      </c>
      <c r="J234">
        <v>0.01</v>
      </c>
      <c r="K234">
        <v>0</v>
      </c>
      <c r="L234" t="s">
        <v>13205</v>
      </c>
      <c r="M234" t="s">
        <v>833</v>
      </c>
      <c r="N234" t="s">
        <v>13205</v>
      </c>
      <c r="O234" t="s">
        <v>838</v>
      </c>
      <c r="P234" t="s">
        <v>13854</v>
      </c>
      <c r="Q234" t="s">
        <v>13855</v>
      </c>
      <c r="R234" t="s">
        <v>13856</v>
      </c>
      <c r="S234" t="s">
        <v>704</v>
      </c>
      <c r="T234" t="s">
        <v>3280</v>
      </c>
      <c r="U234">
        <v>0</v>
      </c>
      <c r="V234" t="b">
        <v>1</v>
      </c>
      <c r="W234" t="b">
        <v>1</v>
      </c>
      <c r="X234" t="b">
        <v>0</v>
      </c>
      <c r="Y234" t="s">
        <v>13212</v>
      </c>
    </row>
    <row r="235" spans="1:37" x14ac:dyDescent="0.25">
      <c r="A235" t="s">
        <v>3282</v>
      </c>
      <c r="B235" t="s">
        <v>13205</v>
      </c>
      <c r="C235" t="b">
        <v>0</v>
      </c>
      <c r="D235" t="b">
        <v>0</v>
      </c>
      <c r="E235">
        <v>1</v>
      </c>
      <c r="F235">
        <v>1</v>
      </c>
      <c r="G235">
        <v>1</v>
      </c>
      <c r="H235" t="s">
        <v>13205</v>
      </c>
      <c r="I235">
        <v>1</v>
      </c>
      <c r="J235">
        <v>0.01</v>
      </c>
      <c r="K235">
        <v>0</v>
      </c>
      <c r="L235" t="s">
        <v>13205</v>
      </c>
      <c r="M235" t="s">
        <v>833</v>
      </c>
      <c r="N235" t="s">
        <v>13205</v>
      </c>
      <c r="O235" t="s">
        <v>838</v>
      </c>
      <c r="P235" t="s">
        <v>3283</v>
      </c>
      <c r="Q235" t="s">
        <v>3283</v>
      </c>
      <c r="R235" t="s">
        <v>3283</v>
      </c>
      <c r="S235" t="s">
        <v>3283</v>
      </c>
      <c r="T235" t="s">
        <v>3281</v>
      </c>
      <c r="U235">
        <v>0</v>
      </c>
      <c r="V235" t="b">
        <v>1</v>
      </c>
      <c r="W235" t="b">
        <v>1</v>
      </c>
      <c r="X235" t="b">
        <v>0</v>
      </c>
      <c r="Y235" t="s">
        <v>13212</v>
      </c>
    </row>
    <row r="236" spans="1:37" x14ac:dyDescent="0.25">
      <c r="A236" t="s">
        <v>791</v>
      </c>
      <c r="B236" t="s">
        <v>13205</v>
      </c>
      <c r="C236" t="b">
        <v>0</v>
      </c>
      <c r="D236" t="b">
        <v>0</v>
      </c>
      <c r="E236">
        <v>1</v>
      </c>
      <c r="F236">
        <v>1</v>
      </c>
      <c r="G236">
        <v>1</v>
      </c>
      <c r="H236" t="s">
        <v>13205</v>
      </c>
      <c r="I236">
        <v>1</v>
      </c>
      <c r="J236">
        <v>0.01</v>
      </c>
      <c r="K236">
        <v>0</v>
      </c>
      <c r="L236" t="s">
        <v>13205</v>
      </c>
      <c r="M236" t="s">
        <v>833</v>
      </c>
      <c r="N236" t="s">
        <v>13205</v>
      </c>
      <c r="O236" t="s">
        <v>838</v>
      </c>
      <c r="P236" t="s">
        <v>792</v>
      </c>
      <c r="Q236" t="s">
        <v>792</v>
      </c>
      <c r="R236" t="s">
        <v>792</v>
      </c>
      <c r="S236" t="s">
        <v>792</v>
      </c>
      <c r="T236" t="s">
        <v>3284</v>
      </c>
      <c r="U236">
        <v>0</v>
      </c>
      <c r="V236" t="b">
        <v>1</v>
      </c>
      <c r="W236" t="b">
        <v>1</v>
      </c>
      <c r="X236" t="b">
        <v>0</v>
      </c>
      <c r="Y236" t="s">
        <v>13212</v>
      </c>
    </row>
    <row r="237" spans="1:37" x14ac:dyDescent="0.25">
      <c r="A237" t="s">
        <v>94</v>
      </c>
      <c r="B237" t="s">
        <v>13205</v>
      </c>
      <c r="C237" t="b">
        <v>1</v>
      </c>
      <c r="D237" t="b">
        <v>1</v>
      </c>
      <c r="E237">
        <v>24</v>
      </c>
      <c r="F237">
        <v>171</v>
      </c>
      <c r="G237">
        <v>58</v>
      </c>
      <c r="H237" t="s">
        <v>860</v>
      </c>
      <c r="I237">
        <v>8</v>
      </c>
      <c r="J237">
        <v>68.599999999999994</v>
      </c>
      <c r="K237">
        <v>5.5</v>
      </c>
      <c r="L237" t="s">
        <v>859</v>
      </c>
      <c r="M237" t="s">
        <v>13207</v>
      </c>
      <c r="N237" t="s">
        <v>929</v>
      </c>
      <c r="O237" t="s">
        <v>838</v>
      </c>
      <c r="P237" t="s">
        <v>566</v>
      </c>
      <c r="Q237" t="s">
        <v>566</v>
      </c>
      <c r="R237" t="s">
        <v>566</v>
      </c>
      <c r="S237" t="s">
        <v>566</v>
      </c>
      <c r="T237" t="s">
        <v>3289</v>
      </c>
      <c r="U237">
        <v>260</v>
      </c>
      <c r="V237" t="b">
        <v>0</v>
      </c>
      <c r="W237" t="b">
        <v>0</v>
      </c>
      <c r="X237" t="b">
        <v>0</v>
      </c>
      <c r="Y237" t="s">
        <v>13212</v>
      </c>
      <c r="Z237">
        <v>395.87</v>
      </c>
      <c r="AA237" t="s">
        <v>13213</v>
      </c>
      <c r="AB237">
        <v>319.33</v>
      </c>
      <c r="AC237" t="s">
        <v>13213</v>
      </c>
      <c r="AD237">
        <v>367.2</v>
      </c>
      <c r="AE237" t="s">
        <v>13214</v>
      </c>
      <c r="AF237">
        <v>292.07</v>
      </c>
      <c r="AG237" t="s">
        <v>13213</v>
      </c>
      <c r="AH237">
        <v>244.42</v>
      </c>
      <c r="AI237" t="s">
        <v>13215</v>
      </c>
      <c r="AJ237">
        <v>479</v>
      </c>
      <c r="AK237" t="s">
        <v>13213</v>
      </c>
    </row>
    <row r="238" spans="1:37" x14ac:dyDescent="0.25">
      <c r="A238" t="s">
        <v>709</v>
      </c>
      <c r="B238" t="s">
        <v>13205</v>
      </c>
      <c r="C238" t="b">
        <v>0</v>
      </c>
      <c r="D238" t="b">
        <v>0</v>
      </c>
      <c r="E238">
        <v>1</v>
      </c>
      <c r="F238">
        <v>1</v>
      </c>
      <c r="G238">
        <v>1</v>
      </c>
      <c r="H238" t="s">
        <v>13205</v>
      </c>
      <c r="I238">
        <v>1</v>
      </c>
      <c r="J238">
        <v>0.01</v>
      </c>
      <c r="K238">
        <v>0</v>
      </c>
      <c r="L238" t="s">
        <v>13205</v>
      </c>
      <c r="M238" t="s">
        <v>833</v>
      </c>
      <c r="N238" t="s">
        <v>13205</v>
      </c>
      <c r="O238" t="s">
        <v>838</v>
      </c>
      <c r="P238" t="s">
        <v>710</v>
      </c>
      <c r="Q238" t="s">
        <v>710</v>
      </c>
      <c r="R238" t="s">
        <v>710</v>
      </c>
      <c r="S238" t="s">
        <v>710</v>
      </c>
      <c r="T238" t="s">
        <v>3290</v>
      </c>
      <c r="U238">
        <v>0</v>
      </c>
      <c r="V238" t="b">
        <v>1</v>
      </c>
      <c r="W238" t="b">
        <v>1</v>
      </c>
      <c r="X238" t="b">
        <v>0</v>
      </c>
      <c r="Y238" t="s">
        <v>13212</v>
      </c>
    </row>
    <row r="239" spans="1:37" x14ac:dyDescent="0.25">
      <c r="A239" t="s">
        <v>715</v>
      </c>
      <c r="B239" t="s">
        <v>13205</v>
      </c>
      <c r="C239" t="b">
        <v>0</v>
      </c>
      <c r="D239" t="b">
        <v>0</v>
      </c>
      <c r="E239">
        <v>1</v>
      </c>
      <c r="F239">
        <v>1</v>
      </c>
      <c r="G239">
        <v>1</v>
      </c>
      <c r="H239" t="s">
        <v>13205</v>
      </c>
      <c r="I239">
        <v>1</v>
      </c>
      <c r="J239">
        <v>0.01</v>
      </c>
      <c r="K239">
        <v>0</v>
      </c>
      <c r="L239" t="s">
        <v>13205</v>
      </c>
      <c r="M239" t="s">
        <v>833</v>
      </c>
      <c r="N239" t="s">
        <v>13205</v>
      </c>
      <c r="O239" t="s">
        <v>838</v>
      </c>
      <c r="P239" t="s">
        <v>716</v>
      </c>
      <c r="Q239" t="s">
        <v>716</v>
      </c>
      <c r="R239" t="s">
        <v>716</v>
      </c>
      <c r="S239" t="s">
        <v>716</v>
      </c>
      <c r="T239" t="s">
        <v>3291</v>
      </c>
      <c r="U239">
        <v>0</v>
      </c>
      <c r="V239" t="b">
        <v>1</v>
      </c>
      <c r="W239" t="b">
        <v>1</v>
      </c>
      <c r="X239" t="b">
        <v>0</v>
      </c>
      <c r="Y239" t="s">
        <v>13212</v>
      </c>
    </row>
    <row r="240" spans="1:37" x14ac:dyDescent="0.25">
      <c r="A240" t="s">
        <v>272</v>
      </c>
      <c r="B240" t="s">
        <v>13205</v>
      </c>
      <c r="C240" t="b">
        <v>1</v>
      </c>
      <c r="D240" t="b">
        <v>1</v>
      </c>
      <c r="E240">
        <v>104</v>
      </c>
      <c r="F240">
        <v>29</v>
      </c>
      <c r="G240">
        <v>45</v>
      </c>
      <c r="H240" t="s">
        <v>860</v>
      </c>
      <c r="I240">
        <v>14</v>
      </c>
      <c r="J240">
        <v>32.799999999999997</v>
      </c>
      <c r="K240">
        <v>3.1</v>
      </c>
      <c r="L240" t="s">
        <v>859</v>
      </c>
      <c r="M240" t="s">
        <v>13207</v>
      </c>
      <c r="N240" t="s">
        <v>929</v>
      </c>
      <c r="O240" t="s">
        <v>838</v>
      </c>
      <c r="P240" t="s">
        <v>13676</v>
      </c>
      <c r="Q240" t="s">
        <v>13677</v>
      </c>
      <c r="R240" t="s">
        <v>394</v>
      </c>
      <c r="S240" t="s">
        <v>13678</v>
      </c>
      <c r="T240" t="s">
        <v>306</v>
      </c>
      <c r="U240">
        <v>155</v>
      </c>
      <c r="V240" t="b">
        <v>0</v>
      </c>
      <c r="W240" t="b">
        <v>0</v>
      </c>
      <c r="X240" t="b">
        <v>0</v>
      </c>
      <c r="Y240" t="s">
        <v>13212</v>
      </c>
      <c r="Z240">
        <v>180.99</v>
      </c>
      <c r="AA240" t="s">
        <v>13213</v>
      </c>
      <c r="AB240">
        <v>146</v>
      </c>
      <c r="AC240" t="s">
        <v>13213</v>
      </c>
      <c r="AD240">
        <v>162</v>
      </c>
      <c r="AE240" t="s">
        <v>13214</v>
      </c>
      <c r="AF240">
        <v>133.54</v>
      </c>
      <c r="AG240" t="s">
        <v>13213</v>
      </c>
      <c r="AH240">
        <v>98.58</v>
      </c>
      <c r="AI240" t="s">
        <v>13215</v>
      </c>
      <c r="AJ240">
        <v>219</v>
      </c>
      <c r="AK240" t="s">
        <v>13213</v>
      </c>
    </row>
    <row r="241" spans="1:37" x14ac:dyDescent="0.25">
      <c r="A241" t="s">
        <v>275</v>
      </c>
      <c r="B241" t="s">
        <v>13205</v>
      </c>
      <c r="C241" t="b">
        <v>1</v>
      </c>
      <c r="D241" t="b">
        <v>1</v>
      </c>
      <c r="E241">
        <v>1</v>
      </c>
      <c r="F241">
        <v>1</v>
      </c>
      <c r="G241">
        <v>1</v>
      </c>
      <c r="H241" t="s">
        <v>860</v>
      </c>
      <c r="I241">
        <v>1</v>
      </c>
      <c r="J241">
        <v>33.15</v>
      </c>
      <c r="K241">
        <v>0</v>
      </c>
      <c r="L241" t="s">
        <v>13205</v>
      </c>
      <c r="M241" t="s">
        <v>13207</v>
      </c>
      <c r="N241" t="s">
        <v>13205</v>
      </c>
      <c r="O241" t="s">
        <v>838</v>
      </c>
      <c r="P241" t="s">
        <v>13688</v>
      </c>
      <c r="Q241" t="s">
        <v>13689</v>
      </c>
      <c r="R241" t="s">
        <v>397</v>
      </c>
      <c r="S241" t="s">
        <v>13690</v>
      </c>
      <c r="T241" t="s">
        <v>307</v>
      </c>
      <c r="U241">
        <v>0</v>
      </c>
      <c r="V241" t="b">
        <v>1</v>
      </c>
      <c r="W241" t="b">
        <v>0</v>
      </c>
      <c r="X241" t="b">
        <v>0</v>
      </c>
      <c r="Y241" t="s">
        <v>13212</v>
      </c>
      <c r="Z241">
        <v>247.11</v>
      </c>
      <c r="AA241" t="s">
        <v>13213</v>
      </c>
      <c r="AB241">
        <v>199.33</v>
      </c>
      <c r="AC241" t="s">
        <v>13213</v>
      </c>
      <c r="AD241">
        <v>232.66</v>
      </c>
      <c r="AE241" t="s">
        <v>13214</v>
      </c>
      <c r="AF241">
        <v>182.32</v>
      </c>
      <c r="AG241" t="s">
        <v>13213</v>
      </c>
      <c r="AH241">
        <v>145.25</v>
      </c>
      <c r="AI241" t="s">
        <v>13215</v>
      </c>
      <c r="AJ241">
        <v>299</v>
      </c>
      <c r="AK241" t="s">
        <v>13213</v>
      </c>
    </row>
    <row r="242" spans="1:37" x14ac:dyDescent="0.25">
      <c r="A242" t="s">
        <v>289</v>
      </c>
      <c r="B242" t="s">
        <v>13205</v>
      </c>
      <c r="C242" t="b">
        <v>1</v>
      </c>
      <c r="D242" t="b">
        <v>1</v>
      </c>
      <c r="E242">
        <v>40</v>
      </c>
      <c r="F242">
        <v>98</v>
      </c>
      <c r="G242">
        <v>20</v>
      </c>
      <c r="H242" t="s">
        <v>860</v>
      </c>
      <c r="I242">
        <v>21</v>
      </c>
      <c r="J242">
        <v>19.5</v>
      </c>
      <c r="K242">
        <v>2</v>
      </c>
      <c r="L242" t="s">
        <v>859</v>
      </c>
      <c r="M242" t="s">
        <v>13207</v>
      </c>
      <c r="N242" t="s">
        <v>929</v>
      </c>
      <c r="O242" t="s">
        <v>838</v>
      </c>
      <c r="P242" t="s">
        <v>391</v>
      </c>
      <c r="Q242" t="s">
        <v>391</v>
      </c>
      <c r="R242" t="s">
        <v>391</v>
      </c>
      <c r="S242" t="s">
        <v>13685</v>
      </c>
      <c r="T242" t="s">
        <v>308</v>
      </c>
      <c r="U242">
        <v>50</v>
      </c>
      <c r="V242" t="b">
        <v>0</v>
      </c>
      <c r="W242" t="b">
        <v>0</v>
      </c>
      <c r="X242" t="b">
        <v>0</v>
      </c>
      <c r="Y242" t="s">
        <v>13212</v>
      </c>
      <c r="Z242">
        <v>147.93</v>
      </c>
      <c r="AA242" t="s">
        <v>13213</v>
      </c>
      <c r="AB242">
        <v>119.33</v>
      </c>
      <c r="AC242" t="s">
        <v>13213</v>
      </c>
      <c r="AD242">
        <v>139.33000000000001</v>
      </c>
      <c r="AE242" t="s">
        <v>13214</v>
      </c>
      <c r="AF242">
        <v>109.15</v>
      </c>
      <c r="AG242" t="s">
        <v>13213</v>
      </c>
      <c r="AH242">
        <v>92.75</v>
      </c>
      <c r="AI242" t="s">
        <v>13215</v>
      </c>
      <c r="AJ242">
        <v>179</v>
      </c>
      <c r="AK242" t="s">
        <v>13213</v>
      </c>
    </row>
    <row r="243" spans="1:37" x14ac:dyDescent="0.25">
      <c r="A243" t="s">
        <v>273</v>
      </c>
      <c r="B243" t="s">
        <v>13205</v>
      </c>
      <c r="C243" t="b">
        <v>1</v>
      </c>
      <c r="D243" t="b">
        <v>1</v>
      </c>
      <c r="E243">
        <v>29</v>
      </c>
      <c r="F243">
        <v>133</v>
      </c>
      <c r="G243">
        <v>45</v>
      </c>
      <c r="H243" t="s">
        <v>860</v>
      </c>
      <c r="I243">
        <v>8</v>
      </c>
      <c r="J243">
        <v>39.4</v>
      </c>
      <c r="K243">
        <v>4</v>
      </c>
      <c r="L243" t="s">
        <v>859</v>
      </c>
      <c r="M243" t="s">
        <v>13207</v>
      </c>
      <c r="N243" t="s">
        <v>929</v>
      </c>
      <c r="O243" t="s">
        <v>838</v>
      </c>
      <c r="P243" t="s">
        <v>13679</v>
      </c>
      <c r="Q243" t="s">
        <v>13680</v>
      </c>
      <c r="R243" t="s">
        <v>395</v>
      </c>
      <c r="S243" t="s">
        <v>13681</v>
      </c>
      <c r="T243" t="s">
        <v>309</v>
      </c>
      <c r="U243">
        <v>121</v>
      </c>
      <c r="V243" t="b">
        <v>0</v>
      </c>
      <c r="W243" t="b">
        <v>0</v>
      </c>
      <c r="X243" t="b">
        <v>0</v>
      </c>
      <c r="Y243" t="s">
        <v>13212</v>
      </c>
      <c r="Z243">
        <v>230.58</v>
      </c>
      <c r="AA243" t="s">
        <v>13213</v>
      </c>
      <c r="AB243">
        <v>186</v>
      </c>
      <c r="AC243" t="s">
        <v>13213</v>
      </c>
      <c r="AD243">
        <v>206</v>
      </c>
      <c r="AE243" t="s">
        <v>13214</v>
      </c>
      <c r="AF243">
        <v>170.12</v>
      </c>
      <c r="AG243" t="s">
        <v>13213</v>
      </c>
      <c r="AH243">
        <v>133.58000000000001</v>
      </c>
      <c r="AI243" t="s">
        <v>13215</v>
      </c>
      <c r="AJ243">
        <v>279</v>
      </c>
      <c r="AK243" t="s">
        <v>13213</v>
      </c>
    </row>
    <row r="244" spans="1:37" x14ac:dyDescent="0.25">
      <c r="A244" t="s">
        <v>276</v>
      </c>
      <c r="B244" t="s">
        <v>13205</v>
      </c>
      <c r="C244" t="b">
        <v>1</v>
      </c>
      <c r="D244" t="b">
        <v>1</v>
      </c>
      <c r="E244">
        <v>1</v>
      </c>
      <c r="F244">
        <v>1</v>
      </c>
      <c r="G244">
        <v>1</v>
      </c>
      <c r="H244" t="s">
        <v>860</v>
      </c>
      <c r="I244">
        <v>1</v>
      </c>
      <c r="J244">
        <v>38.97</v>
      </c>
      <c r="K244">
        <v>0</v>
      </c>
      <c r="L244" t="s">
        <v>13205</v>
      </c>
      <c r="M244" t="s">
        <v>13207</v>
      </c>
      <c r="N244" t="s">
        <v>13205</v>
      </c>
      <c r="O244" t="s">
        <v>838</v>
      </c>
      <c r="P244" t="s">
        <v>13691</v>
      </c>
      <c r="Q244" t="s">
        <v>13692</v>
      </c>
      <c r="R244" t="s">
        <v>398</v>
      </c>
      <c r="S244" t="s">
        <v>13693</v>
      </c>
      <c r="T244" t="s">
        <v>310</v>
      </c>
      <c r="U244">
        <v>0</v>
      </c>
      <c r="V244" t="b">
        <v>1</v>
      </c>
      <c r="W244" t="b">
        <v>0</v>
      </c>
      <c r="X244" t="b">
        <v>0</v>
      </c>
      <c r="Y244" t="s">
        <v>13212</v>
      </c>
      <c r="Z244">
        <v>296.69</v>
      </c>
      <c r="AA244" t="s">
        <v>13213</v>
      </c>
      <c r="AB244">
        <v>239.33</v>
      </c>
      <c r="AC244" t="s">
        <v>13213</v>
      </c>
      <c r="AD244">
        <v>279.33</v>
      </c>
      <c r="AE244" t="s">
        <v>13214</v>
      </c>
      <c r="AF244">
        <v>218.9</v>
      </c>
      <c r="AG244" t="s">
        <v>13213</v>
      </c>
      <c r="AH244">
        <v>174.42</v>
      </c>
      <c r="AI244" t="s">
        <v>13215</v>
      </c>
      <c r="AJ244">
        <v>359</v>
      </c>
      <c r="AK244" t="s">
        <v>13213</v>
      </c>
    </row>
    <row r="245" spans="1:37" x14ac:dyDescent="0.25">
      <c r="A245" t="s">
        <v>290</v>
      </c>
      <c r="B245" t="s">
        <v>13205</v>
      </c>
      <c r="C245" t="b">
        <v>1</v>
      </c>
      <c r="D245" t="b">
        <v>1</v>
      </c>
      <c r="E245">
        <v>45</v>
      </c>
      <c r="F245">
        <v>128</v>
      </c>
      <c r="G245">
        <v>20</v>
      </c>
      <c r="H245" t="s">
        <v>860</v>
      </c>
      <c r="I245">
        <v>12</v>
      </c>
      <c r="J245">
        <v>24.9</v>
      </c>
      <c r="K245">
        <v>2.5</v>
      </c>
      <c r="L245" t="s">
        <v>859</v>
      </c>
      <c r="M245" t="s">
        <v>13207</v>
      </c>
      <c r="N245" t="s">
        <v>929</v>
      </c>
      <c r="O245" t="s">
        <v>838</v>
      </c>
      <c r="P245" t="s">
        <v>392</v>
      </c>
      <c r="Q245" t="s">
        <v>392</v>
      </c>
      <c r="R245" t="s">
        <v>392</v>
      </c>
      <c r="S245" t="s">
        <v>13686</v>
      </c>
      <c r="T245" t="s">
        <v>311</v>
      </c>
      <c r="U245">
        <v>100</v>
      </c>
      <c r="V245" t="b">
        <v>0</v>
      </c>
      <c r="W245" t="b">
        <v>0</v>
      </c>
      <c r="X245" t="b">
        <v>0</v>
      </c>
      <c r="Y245" t="s">
        <v>13212</v>
      </c>
      <c r="Z245">
        <v>189.26</v>
      </c>
      <c r="AA245" t="s">
        <v>13213</v>
      </c>
      <c r="AB245">
        <v>152.66999999999999</v>
      </c>
      <c r="AC245" t="s">
        <v>13213</v>
      </c>
      <c r="AD245">
        <v>176.66</v>
      </c>
      <c r="AE245" t="s">
        <v>13214</v>
      </c>
      <c r="AF245">
        <v>139.63</v>
      </c>
      <c r="AG245" t="s">
        <v>13213</v>
      </c>
      <c r="AH245">
        <v>116.08</v>
      </c>
      <c r="AI245" t="s">
        <v>13215</v>
      </c>
      <c r="AJ245">
        <v>229</v>
      </c>
      <c r="AK245" t="s">
        <v>13213</v>
      </c>
    </row>
    <row r="246" spans="1:37" x14ac:dyDescent="0.25">
      <c r="A246" t="s">
        <v>274</v>
      </c>
      <c r="B246" t="s">
        <v>13205</v>
      </c>
      <c r="C246" t="b">
        <v>1</v>
      </c>
      <c r="D246" t="b">
        <v>1</v>
      </c>
      <c r="E246">
        <v>31</v>
      </c>
      <c r="F246">
        <v>163</v>
      </c>
      <c r="G246">
        <v>45</v>
      </c>
      <c r="H246" t="s">
        <v>860</v>
      </c>
      <c r="I246">
        <v>8</v>
      </c>
      <c r="J246">
        <v>49.8</v>
      </c>
      <c r="K246">
        <v>4.7</v>
      </c>
      <c r="L246" t="s">
        <v>859</v>
      </c>
      <c r="M246" t="s">
        <v>13207</v>
      </c>
      <c r="N246" t="s">
        <v>929</v>
      </c>
      <c r="O246" t="s">
        <v>838</v>
      </c>
      <c r="P246" t="s">
        <v>13682</v>
      </c>
      <c r="Q246" t="s">
        <v>13683</v>
      </c>
      <c r="R246" t="s">
        <v>396</v>
      </c>
      <c r="S246" t="s">
        <v>13684</v>
      </c>
      <c r="T246" t="s">
        <v>312</v>
      </c>
      <c r="U246">
        <v>92</v>
      </c>
      <c r="V246" t="b">
        <v>0</v>
      </c>
      <c r="W246" t="b">
        <v>0</v>
      </c>
      <c r="X246" t="b">
        <v>0</v>
      </c>
      <c r="Y246" t="s">
        <v>13212</v>
      </c>
      <c r="Z246">
        <v>271.89999999999998</v>
      </c>
      <c r="AA246" t="s">
        <v>13213</v>
      </c>
      <c r="AB246">
        <v>219.33</v>
      </c>
      <c r="AC246" t="s">
        <v>13213</v>
      </c>
      <c r="AD246">
        <v>242.67</v>
      </c>
      <c r="AE246" t="s">
        <v>13214</v>
      </c>
      <c r="AF246">
        <v>200.61</v>
      </c>
      <c r="AG246" t="s">
        <v>13213</v>
      </c>
      <c r="AH246">
        <v>156.91999999999999</v>
      </c>
      <c r="AI246" t="s">
        <v>13215</v>
      </c>
      <c r="AJ246">
        <v>329</v>
      </c>
      <c r="AK246" t="s">
        <v>13213</v>
      </c>
    </row>
    <row r="247" spans="1:37" x14ac:dyDescent="0.25">
      <c r="A247" t="s">
        <v>277</v>
      </c>
      <c r="B247" t="s">
        <v>13205</v>
      </c>
      <c r="C247" t="b">
        <v>1</v>
      </c>
      <c r="D247" t="b">
        <v>1</v>
      </c>
      <c r="E247">
        <v>1</v>
      </c>
      <c r="F247">
        <v>1</v>
      </c>
      <c r="G247">
        <v>1</v>
      </c>
      <c r="H247" t="s">
        <v>860</v>
      </c>
      <c r="I247">
        <v>1</v>
      </c>
      <c r="J247">
        <v>48.43</v>
      </c>
      <c r="K247">
        <v>0</v>
      </c>
      <c r="L247" t="s">
        <v>13205</v>
      </c>
      <c r="M247" t="s">
        <v>13207</v>
      </c>
      <c r="N247" t="s">
        <v>13205</v>
      </c>
      <c r="O247" t="s">
        <v>838</v>
      </c>
      <c r="P247" t="s">
        <v>13694</v>
      </c>
      <c r="Q247" t="s">
        <v>13695</v>
      </c>
      <c r="R247" t="s">
        <v>399</v>
      </c>
      <c r="S247" t="s">
        <v>13696</v>
      </c>
      <c r="T247" t="s">
        <v>313</v>
      </c>
      <c r="U247">
        <v>0</v>
      </c>
      <c r="V247" t="b">
        <v>1</v>
      </c>
      <c r="W247" t="b">
        <v>0</v>
      </c>
      <c r="X247" t="b">
        <v>0</v>
      </c>
      <c r="Y247" t="s">
        <v>13212</v>
      </c>
      <c r="Z247">
        <v>329.75</v>
      </c>
      <c r="AA247" t="s">
        <v>13213</v>
      </c>
      <c r="AB247">
        <v>266</v>
      </c>
      <c r="AC247" t="s">
        <v>13213</v>
      </c>
      <c r="AD247">
        <v>310</v>
      </c>
      <c r="AE247" t="s">
        <v>13214</v>
      </c>
      <c r="AF247">
        <v>243.29</v>
      </c>
      <c r="AG247" t="s">
        <v>13213</v>
      </c>
      <c r="AH247">
        <v>197.75</v>
      </c>
      <c r="AI247" t="s">
        <v>13215</v>
      </c>
      <c r="AJ247">
        <v>399</v>
      </c>
      <c r="AK247" t="s">
        <v>13213</v>
      </c>
    </row>
    <row r="248" spans="1:37" x14ac:dyDescent="0.25">
      <c r="A248" t="s">
        <v>291</v>
      </c>
      <c r="B248" t="s">
        <v>13205</v>
      </c>
      <c r="C248" t="b">
        <v>1</v>
      </c>
      <c r="D248" t="b">
        <v>1</v>
      </c>
      <c r="E248">
        <v>51</v>
      </c>
      <c r="F248">
        <v>159</v>
      </c>
      <c r="G248">
        <v>19</v>
      </c>
      <c r="H248" t="s">
        <v>860</v>
      </c>
      <c r="I248">
        <v>12</v>
      </c>
      <c r="J248">
        <v>31.9</v>
      </c>
      <c r="K248">
        <v>3</v>
      </c>
      <c r="L248" t="s">
        <v>859</v>
      </c>
      <c r="M248" t="s">
        <v>13207</v>
      </c>
      <c r="N248" t="s">
        <v>929</v>
      </c>
      <c r="O248" t="s">
        <v>838</v>
      </c>
      <c r="P248" t="s">
        <v>393</v>
      </c>
      <c r="Q248" t="s">
        <v>393</v>
      </c>
      <c r="R248" t="s">
        <v>393</v>
      </c>
      <c r="S248" t="s">
        <v>13687</v>
      </c>
      <c r="T248" t="s">
        <v>314</v>
      </c>
      <c r="U248">
        <v>100</v>
      </c>
      <c r="V248" t="b">
        <v>0</v>
      </c>
      <c r="W248" t="b">
        <v>0</v>
      </c>
      <c r="X248" t="b">
        <v>0</v>
      </c>
      <c r="Y248" t="s">
        <v>13212</v>
      </c>
      <c r="Z248">
        <v>214.05</v>
      </c>
      <c r="AA248" t="s">
        <v>13213</v>
      </c>
      <c r="AB248">
        <v>172.67</v>
      </c>
      <c r="AC248" t="s">
        <v>13213</v>
      </c>
      <c r="AD248">
        <v>199.33</v>
      </c>
      <c r="AE248" t="s">
        <v>13214</v>
      </c>
      <c r="AF248">
        <v>157.93</v>
      </c>
      <c r="AG248" t="s">
        <v>13213</v>
      </c>
      <c r="AH248">
        <v>133.58000000000001</v>
      </c>
      <c r="AI248" t="s">
        <v>13215</v>
      </c>
      <c r="AJ248">
        <v>259</v>
      </c>
      <c r="AK248" t="s">
        <v>13213</v>
      </c>
    </row>
    <row r="249" spans="1:37" x14ac:dyDescent="0.25">
      <c r="A249" t="s">
        <v>40</v>
      </c>
      <c r="B249" t="s">
        <v>13205</v>
      </c>
      <c r="C249" t="b">
        <v>1</v>
      </c>
      <c r="D249" t="b">
        <v>1</v>
      </c>
      <c r="E249">
        <v>1</v>
      </c>
      <c r="F249">
        <v>1</v>
      </c>
      <c r="G249">
        <v>1</v>
      </c>
      <c r="H249" t="s">
        <v>860</v>
      </c>
      <c r="I249">
        <v>0</v>
      </c>
      <c r="J249">
        <v>76.3</v>
      </c>
      <c r="K249">
        <v>0</v>
      </c>
      <c r="L249" t="s">
        <v>859</v>
      </c>
      <c r="M249" t="s">
        <v>13207</v>
      </c>
      <c r="N249" t="s">
        <v>13205</v>
      </c>
      <c r="O249" t="s">
        <v>838</v>
      </c>
      <c r="P249" t="s">
        <v>13519</v>
      </c>
      <c r="Q249" t="s">
        <v>13520</v>
      </c>
      <c r="R249" t="s">
        <v>728</v>
      </c>
      <c r="S249" t="s">
        <v>728</v>
      </c>
      <c r="T249" t="s">
        <v>3304</v>
      </c>
      <c r="U249">
        <v>1</v>
      </c>
      <c r="V249" t="b">
        <v>1</v>
      </c>
      <c r="W249" t="b">
        <v>0</v>
      </c>
      <c r="X249" t="b">
        <v>0</v>
      </c>
      <c r="Y249" t="s">
        <v>13212</v>
      </c>
      <c r="Z249">
        <v>619.01</v>
      </c>
      <c r="AA249" t="s">
        <v>13213</v>
      </c>
      <c r="AB249">
        <v>499.33</v>
      </c>
      <c r="AC249" t="s">
        <v>13213</v>
      </c>
      <c r="AD249">
        <v>599.20000000000005</v>
      </c>
      <c r="AE249" t="s">
        <v>13214</v>
      </c>
      <c r="AF249">
        <v>456.71</v>
      </c>
      <c r="AG249" t="s">
        <v>13213</v>
      </c>
      <c r="AH249">
        <v>384.42</v>
      </c>
      <c r="AI249" t="s">
        <v>13215</v>
      </c>
      <c r="AJ249">
        <v>749</v>
      </c>
      <c r="AK249" t="s">
        <v>13213</v>
      </c>
    </row>
    <row r="250" spans="1:37" x14ac:dyDescent="0.25">
      <c r="A250" t="s">
        <v>727</v>
      </c>
      <c r="B250" t="s">
        <v>13205</v>
      </c>
      <c r="C250" t="b">
        <v>0</v>
      </c>
      <c r="D250" t="b">
        <v>0</v>
      </c>
      <c r="E250">
        <v>1</v>
      </c>
      <c r="F250">
        <v>1</v>
      </c>
      <c r="G250">
        <v>1</v>
      </c>
      <c r="H250" t="s">
        <v>860</v>
      </c>
      <c r="I250">
        <v>6</v>
      </c>
      <c r="J250">
        <v>76.3</v>
      </c>
      <c r="K250">
        <v>0</v>
      </c>
      <c r="L250" t="s">
        <v>859</v>
      </c>
      <c r="M250" t="s">
        <v>833</v>
      </c>
      <c r="N250" t="s">
        <v>13205</v>
      </c>
      <c r="O250" t="s">
        <v>838</v>
      </c>
      <c r="P250" t="s">
        <v>13519</v>
      </c>
      <c r="Q250" t="s">
        <v>13520</v>
      </c>
      <c r="R250" t="s">
        <v>728</v>
      </c>
      <c r="S250" t="s">
        <v>728</v>
      </c>
      <c r="T250" t="s">
        <v>3305</v>
      </c>
      <c r="U250">
        <v>0</v>
      </c>
      <c r="V250" t="b">
        <v>1</v>
      </c>
      <c r="W250" t="b">
        <v>1</v>
      </c>
      <c r="X250" t="b">
        <v>0</v>
      </c>
      <c r="Y250" t="s">
        <v>13212</v>
      </c>
    </row>
    <row r="251" spans="1:37" x14ac:dyDescent="0.25">
      <c r="A251" t="s">
        <v>30</v>
      </c>
      <c r="B251" t="s">
        <v>13205</v>
      </c>
      <c r="C251" t="b">
        <v>1</v>
      </c>
      <c r="D251" t="b">
        <v>1</v>
      </c>
      <c r="E251">
        <v>1</v>
      </c>
      <c r="F251">
        <v>1</v>
      </c>
      <c r="G251">
        <v>1</v>
      </c>
      <c r="H251" t="s">
        <v>860</v>
      </c>
      <c r="I251">
        <v>0</v>
      </c>
      <c r="J251">
        <v>69.3</v>
      </c>
      <c r="K251">
        <v>0</v>
      </c>
      <c r="L251" t="s">
        <v>859</v>
      </c>
      <c r="M251" t="s">
        <v>13207</v>
      </c>
      <c r="N251" t="s">
        <v>13205</v>
      </c>
      <c r="O251" t="s">
        <v>838</v>
      </c>
      <c r="P251" t="s">
        <v>13504</v>
      </c>
      <c r="Q251" t="s">
        <v>13505</v>
      </c>
      <c r="R251" t="s">
        <v>718</v>
      </c>
      <c r="S251" t="s">
        <v>718</v>
      </c>
      <c r="T251" t="s">
        <v>3309</v>
      </c>
      <c r="U251">
        <v>1</v>
      </c>
      <c r="V251" t="b">
        <v>1</v>
      </c>
      <c r="W251" t="b">
        <v>0</v>
      </c>
      <c r="X251" t="b">
        <v>0</v>
      </c>
      <c r="Y251" t="s">
        <v>13212</v>
      </c>
      <c r="Z251">
        <v>519.83000000000004</v>
      </c>
      <c r="AA251" t="s">
        <v>13213</v>
      </c>
      <c r="AB251">
        <v>419.33</v>
      </c>
      <c r="AC251" t="s">
        <v>13213</v>
      </c>
      <c r="AD251">
        <v>503.2</v>
      </c>
      <c r="AE251" t="s">
        <v>13214</v>
      </c>
      <c r="AF251">
        <v>383.54</v>
      </c>
      <c r="AG251" t="s">
        <v>13213</v>
      </c>
      <c r="AH251">
        <v>320.25</v>
      </c>
      <c r="AI251" t="s">
        <v>13215</v>
      </c>
      <c r="AJ251">
        <v>629</v>
      </c>
      <c r="AK251" t="s">
        <v>13213</v>
      </c>
    </row>
    <row r="252" spans="1:37" x14ac:dyDescent="0.25">
      <c r="A252" t="s">
        <v>717</v>
      </c>
      <c r="B252" t="s">
        <v>13205</v>
      </c>
      <c r="C252" t="b">
        <v>0</v>
      </c>
      <c r="D252" t="b">
        <v>0</v>
      </c>
      <c r="E252">
        <v>1</v>
      </c>
      <c r="F252">
        <v>1</v>
      </c>
      <c r="G252">
        <v>1</v>
      </c>
      <c r="H252" t="s">
        <v>860</v>
      </c>
      <c r="I252">
        <v>6</v>
      </c>
      <c r="J252">
        <v>69.3</v>
      </c>
      <c r="K252">
        <v>0</v>
      </c>
      <c r="L252" t="s">
        <v>859</v>
      </c>
      <c r="M252" t="s">
        <v>833</v>
      </c>
      <c r="N252" t="s">
        <v>13205</v>
      </c>
      <c r="O252" t="s">
        <v>838</v>
      </c>
      <c r="P252" t="s">
        <v>13504</v>
      </c>
      <c r="Q252" t="s">
        <v>13505</v>
      </c>
      <c r="R252" t="s">
        <v>718</v>
      </c>
      <c r="S252" t="s">
        <v>718</v>
      </c>
      <c r="T252" t="s">
        <v>3310</v>
      </c>
      <c r="U252">
        <v>0</v>
      </c>
      <c r="V252" t="b">
        <v>1</v>
      </c>
      <c r="W252" t="b">
        <v>1</v>
      </c>
      <c r="X252" t="b">
        <v>0</v>
      </c>
      <c r="Y252" t="s">
        <v>13212</v>
      </c>
    </row>
    <row r="253" spans="1:37" x14ac:dyDescent="0.25">
      <c r="A253" t="s">
        <v>58</v>
      </c>
      <c r="B253" t="s">
        <v>13205</v>
      </c>
      <c r="C253" t="b">
        <v>1</v>
      </c>
      <c r="D253" t="b">
        <v>1</v>
      </c>
      <c r="E253">
        <v>1</v>
      </c>
      <c r="F253">
        <v>1</v>
      </c>
      <c r="G253">
        <v>1</v>
      </c>
      <c r="H253" t="s">
        <v>860</v>
      </c>
      <c r="I253">
        <v>0</v>
      </c>
      <c r="J253">
        <v>73.599999999999994</v>
      </c>
      <c r="K253">
        <v>0</v>
      </c>
      <c r="L253" t="s">
        <v>859</v>
      </c>
      <c r="M253" t="s">
        <v>13207</v>
      </c>
      <c r="N253" t="s">
        <v>13205</v>
      </c>
      <c r="O253" t="s">
        <v>838</v>
      </c>
      <c r="P253" t="s">
        <v>13513</v>
      </c>
      <c r="Q253" t="s">
        <v>13514</v>
      </c>
      <c r="R253" t="s">
        <v>746</v>
      </c>
      <c r="S253" t="s">
        <v>746</v>
      </c>
      <c r="T253" t="s">
        <v>3311</v>
      </c>
      <c r="U253">
        <v>1</v>
      </c>
      <c r="V253" t="b">
        <v>1</v>
      </c>
      <c r="W253" t="b">
        <v>0</v>
      </c>
      <c r="X253" t="b">
        <v>0</v>
      </c>
      <c r="Y253" t="s">
        <v>13212</v>
      </c>
      <c r="Z253">
        <v>619.01</v>
      </c>
      <c r="AA253" t="s">
        <v>13213</v>
      </c>
      <c r="AB253">
        <v>499.33</v>
      </c>
      <c r="AC253" t="s">
        <v>13213</v>
      </c>
      <c r="AD253">
        <v>599.20000000000005</v>
      </c>
      <c r="AE253" t="s">
        <v>13214</v>
      </c>
      <c r="AF253">
        <v>456.71</v>
      </c>
      <c r="AG253" t="s">
        <v>13213</v>
      </c>
      <c r="AH253">
        <v>384.42</v>
      </c>
      <c r="AI253" t="s">
        <v>13215</v>
      </c>
      <c r="AJ253">
        <v>749</v>
      </c>
      <c r="AK253" t="s">
        <v>13213</v>
      </c>
    </row>
    <row r="254" spans="1:37" x14ac:dyDescent="0.25">
      <c r="A254" t="s">
        <v>745</v>
      </c>
      <c r="B254" t="s">
        <v>13205</v>
      </c>
      <c r="C254" t="b">
        <v>0</v>
      </c>
      <c r="D254" t="b">
        <v>0</v>
      </c>
      <c r="E254">
        <v>1</v>
      </c>
      <c r="F254">
        <v>1</v>
      </c>
      <c r="G254">
        <v>1</v>
      </c>
      <c r="H254" t="s">
        <v>860</v>
      </c>
      <c r="I254">
        <v>6</v>
      </c>
      <c r="J254">
        <v>73.599999999999994</v>
      </c>
      <c r="K254">
        <v>0</v>
      </c>
      <c r="L254" t="s">
        <v>859</v>
      </c>
      <c r="M254" t="s">
        <v>833</v>
      </c>
      <c r="N254" t="s">
        <v>13205</v>
      </c>
      <c r="O254" t="s">
        <v>838</v>
      </c>
      <c r="P254" t="s">
        <v>13513</v>
      </c>
      <c r="Q254" t="s">
        <v>13514</v>
      </c>
      <c r="R254" t="s">
        <v>746</v>
      </c>
      <c r="S254" t="s">
        <v>746</v>
      </c>
      <c r="T254" t="s">
        <v>3312</v>
      </c>
      <c r="U254">
        <v>0</v>
      </c>
      <c r="V254" t="b">
        <v>1</v>
      </c>
      <c r="W254" t="b">
        <v>1</v>
      </c>
      <c r="X254" t="b">
        <v>0</v>
      </c>
      <c r="Y254" t="s">
        <v>13212</v>
      </c>
    </row>
    <row r="255" spans="1:37" x14ac:dyDescent="0.25">
      <c r="A255" t="s">
        <v>50</v>
      </c>
      <c r="B255" t="s">
        <v>13205</v>
      </c>
      <c r="C255" t="b">
        <v>1</v>
      </c>
      <c r="D255" t="b">
        <v>1</v>
      </c>
      <c r="E255">
        <v>1</v>
      </c>
      <c r="F255">
        <v>1</v>
      </c>
      <c r="G255">
        <v>1</v>
      </c>
      <c r="H255" t="s">
        <v>860</v>
      </c>
      <c r="I255">
        <v>0</v>
      </c>
      <c r="J255">
        <v>66.7</v>
      </c>
      <c r="K255">
        <v>0</v>
      </c>
      <c r="L255" t="s">
        <v>859</v>
      </c>
      <c r="M255" t="s">
        <v>13207</v>
      </c>
      <c r="N255" t="s">
        <v>13205</v>
      </c>
      <c r="O255" t="s">
        <v>838</v>
      </c>
      <c r="P255" t="s">
        <v>13605</v>
      </c>
      <c r="Q255" t="s">
        <v>13606</v>
      </c>
      <c r="R255" t="s">
        <v>738</v>
      </c>
      <c r="S255" t="s">
        <v>13607</v>
      </c>
      <c r="T255" t="s">
        <v>3313</v>
      </c>
      <c r="U255">
        <v>1</v>
      </c>
      <c r="V255" t="b">
        <v>1</v>
      </c>
      <c r="W255" t="b">
        <v>0</v>
      </c>
      <c r="X255" t="b">
        <v>0</v>
      </c>
      <c r="Y255" t="s">
        <v>13212</v>
      </c>
      <c r="Z255">
        <v>576.86</v>
      </c>
      <c r="AA255" t="s">
        <v>13213</v>
      </c>
      <c r="AB255">
        <v>465.33</v>
      </c>
      <c r="AC255" t="s">
        <v>13213</v>
      </c>
      <c r="AD255">
        <v>558.4</v>
      </c>
      <c r="AE255" t="s">
        <v>13214</v>
      </c>
      <c r="AF255">
        <v>425.61</v>
      </c>
      <c r="AG255" t="s">
        <v>13213</v>
      </c>
      <c r="AH255">
        <v>355.25</v>
      </c>
      <c r="AI255" t="s">
        <v>13215</v>
      </c>
      <c r="AJ255">
        <v>698</v>
      </c>
      <c r="AK255" t="s">
        <v>13213</v>
      </c>
    </row>
    <row r="256" spans="1:37" x14ac:dyDescent="0.25">
      <c r="A256" t="s">
        <v>737</v>
      </c>
      <c r="B256" t="s">
        <v>13205</v>
      </c>
      <c r="C256" t="b">
        <v>0</v>
      </c>
      <c r="D256" t="b">
        <v>0</v>
      </c>
      <c r="E256">
        <v>1</v>
      </c>
      <c r="F256">
        <v>1</v>
      </c>
      <c r="G256">
        <v>1</v>
      </c>
      <c r="H256" t="s">
        <v>860</v>
      </c>
      <c r="I256">
        <v>6</v>
      </c>
      <c r="J256">
        <v>66.7</v>
      </c>
      <c r="K256">
        <v>0</v>
      </c>
      <c r="L256" t="s">
        <v>859</v>
      </c>
      <c r="M256" t="s">
        <v>833</v>
      </c>
      <c r="N256" t="s">
        <v>13205</v>
      </c>
      <c r="O256" t="s">
        <v>838</v>
      </c>
      <c r="P256" t="s">
        <v>13605</v>
      </c>
      <c r="Q256" t="s">
        <v>13606</v>
      </c>
      <c r="R256" t="s">
        <v>738</v>
      </c>
      <c r="S256" t="s">
        <v>738</v>
      </c>
      <c r="T256" t="s">
        <v>3314</v>
      </c>
      <c r="U256">
        <v>0</v>
      </c>
      <c r="V256" t="b">
        <v>1</v>
      </c>
      <c r="W256" t="b">
        <v>1</v>
      </c>
      <c r="X256" t="b">
        <v>0</v>
      </c>
      <c r="Y256" t="s">
        <v>13212</v>
      </c>
    </row>
    <row r="257" spans="1:37" x14ac:dyDescent="0.25">
      <c r="A257" t="s">
        <v>352</v>
      </c>
      <c r="B257" t="s">
        <v>13205</v>
      </c>
      <c r="C257" t="b">
        <v>1</v>
      </c>
      <c r="D257" t="b">
        <v>1</v>
      </c>
      <c r="E257">
        <v>56</v>
      </c>
      <c r="F257">
        <v>113</v>
      </c>
      <c r="G257">
        <v>30</v>
      </c>
      <c r="H257" t="s">
        <v>860</v>
      </c>
      <c r="I257">
        <v>6</v>
      </c>
      <c r="J257">
        <v>45.3</v>
      </c>
      <c r="K257">
        <v>3.2</v>
      </c>
      <c r="L257" t="s">
        <v>859</v>
      </c>
      <c r="M257" t="s">
        <v>13207</v>
      </c>
      <c r="N257" t="s">
        <v>917</v>
      </c>
      <c r="O257" t="s">
        <v>838</v>
      </c>
      <c r="P257" t="s">
        <v>353</v>
      </c>
      <c r="Q257" t="s">
        <v>353</v>
      </c>
      <c r="R257" t="s">
        <v>353</v>
      </c>
      <c r="S257" t="s">
        <v>353</v>
      </c>
      <c r="T257" t="s">
        <v>368</v>
      </c>
      <c r="U257">
        <v>50</v>
      </c>
      <c r="V257" t="b">
        <v>0</v>
      </c>
      <c r="W257" t="b">
        <v>0</v>
      </c>
      <c r="X257" t="b">
        <v>0</v>
      </c>
      <c r="Y257" t="s">
        <v>13212</v>
      </c>
      <c r="Z257">
        <v>412.4</v>
      </c>
      <c r="AA257" t="s">
        <v>13213</v>
      </c>
      <c r="AB257">
        <v>332.67</v>
      </c>
      <c r="AC257" t="s">
        <v>13213</v>
      </c>
      <c r="AD257">
        <v>399.2</v>
      </c>
      <c r="AE257" t="s">
        <v>13214</v>
      </c>
      <c r="AF257">
        <v>304.27</v>
      </c>
      <c r="AG257" t="s">
        <v>13213</v>
      </c>
      <c r="AH257">
        <v>277.08</v>
      </c>
      <c r="AI257" t="s">
        <v>13215</v>
      </c>
      <c r="AJ257">
        <v>499</v>
      </c>
      <c r="AK257" t="s">
        <v>13213</v>
      </c>
    </row>
    <row r="258" spans="1:37" x14ac:dyDescent="0.25">
      <c r="A258" t="s">
        <v>3328</v>
      </c>
      <c r="B258" t="s">
        <v>13205</v>
      </c>
      <c r="C258" t="b">
        <v>0</v>
      </c>
      <c r="D258" t="b">
        <v>0</v>
      </c>
      <c r="E258">
        <v>56</v>
      </c>
      <c r="F258">
        <v>113</v>
      </c>
      <c r="G258">
        <v>30</v>
      </c>
      <c r="H258" t="s">
        <v>860</v>
      </c>
      <c r="I258">
        <v>6</v>
      </c>
      <c r="J258">
        <v>45.3</v>
      </c>
      <c r="K258">
        <v>3.2</v>
      </c>
      <c r="L258" t="s">
        <v>859</v>
      </c>
      <c r="M258" t="s">
        <v>833</v>
      </c>
      <c r="N258" t="s">
        <v>917</v>
      </c>
      <c r="O258" t="s">
        <v>838</v>
      </c>
      <c r="P258" t="s">
        <v>3329</v>
      </c>
      <c r="Q258" t="s">
        <v>3329</v>
      </c>
      <c r="R258" t="s">
        <v>3329</v>
      </c>
      <c r="S258" t="s">
        <v>3329</v>
      </c>
      <c r="T258" t="s">
        <v>3327</v>
      </c>
      <c r="U258">
        <v>0</v>
      </c>
      <c r="V258" t="b">
        <v>1</v>
      </c>
      <c r="W258" t="b">
        <v>1</v>
      </c>
      <c r="X258" t="b">
        <v>0</v>
      </c>
      <c r="Y258" t="s">
        <v>13212</v>
      </c>
    </row>
    <row r="259" spans="1:37" x14ac:dyDescent="0.25">
      <c r="A259" t="s">
        <v>278</v>
      </c>
      <c r="B259" t="s">
        <v>13205</v>
      </c>
      <c r="C259" t="b">
        <v>1</v>
      </c>
      <c r="D259" t="b">
        <v>1</v>
      </c>
      <c r="E259">
        <v>56</v>
      </c>
      <c r="F259">
        <v>113</v>
      </c>
      <c r="G259">
        <v>31</v>
      </c>
      <c r="H259" t="s">
        <v>860</v>
      </c>
      <c r="I259">
        <v>6</v>
      </c>
      <c r="J259">
        <v>42.6</v>
      </c>
      <c r="K259">
        <v>3.6</v>
      </c>
      <c r="L259" t="s">
        <v>859</v>
      </c>
      <c r="M259" t="s">
        <v>13207</v>
      </c>
      <c r="N259" t="s">
        <v>917</v>
      </c>
      <c r="O259" t="s">
        <v>838</v>
      </c>
      <c r="P259" t="s">
        <v>279</v>
      </c>
      <c r="Q259" t="s">
        <v>279</v>
      </c>
      <c r="R259" t="s">
        <v>279</v>
      </c>
      <c r="S259" t="s">
        <v>279</v>
      </c>
      <c r="T259" t="s">
        <v>315</v>
      </c>
      <c r="U259">
        <v>50</v>
      </c>
      <c r="V259" t="b">
        <v>0</v>
      </c>
      <c r="W259" t="b">
        <v>0</v>
      </c>
      <c r="X259" t="b">
        <v>0</v>
      </c>
      <c r="Y259" t="s">
        <v>13212</v>
      </c>
      <c r="Z259">
        <v>371.07</v>
      </c>
      <c r="AA259" t="s">
        <v>13213</v>
      </c>
      <c r="AB259">
        <v>299.33</v>
      </c>
      <c r="AC259" t="s">
        <v>13213</v>
      </c>
      <c r="AD259">
        <v>359.2</v>
      </c>
      <c r="AE259" t="s">
        <v>13214</v>
      </c>
      <c r="AF259">
        <v>273.77999999999997</v>
      </c>
      <c r="AG259" t="s">
        <v>13213</v>
      </c>
      <c r="AH259">
        <v>226.92</v>
      </c>
      <c r="AI259" t="s">
        <v>13215</v>
      </c>
      <c r="AJ259">
        <v>449</v>
      </c>
      <c r="AK259" t="s">
        <v>13213</v>
      </c>
    </row>
    <row r="260" spans="1:37" x14ac:dyDescent="0.25">
      <c r="A260" t="s">
        <v>793</v>
      </c>
      <c r="B260" t="s">
        <v>13205</v>
      </c>
      <c r="C260" t="b">
        <v>0</v>
      </c>
      <c r="D260" t="b">
        <v>0</v>
      </c>
      <c r="E260">
        <v>56</v>
      </c>
      <c r="F260">
        <v>113</v>
      </c>
      <c r="G260">
        <v>31</v>
      </c>
      <c r="H260" t="s">
        <v>860</v>
      </c>
      <c r="I260">
        <v>6</v>
      </c>
      <c r="J260">
        <v>42.6</v>
      </c>
      <c r="K260">
        <v>3.6</v>
      </c>
      <c r="L260" t="s">
        <v>859</v>
      </c>
      <c r="M260" t="s">
        <v>833</v>
      </c>
      <c r="N260" t="s">
        <v>917</v>
      </c>
      <c r="O260" t="s">
        <v>838</v>
      </c>
      <c r="P260" t="s">
        <v>279</v>
      </c>
      <c r="Q260" t="s">
        <v>279</v>
      </c>
      <c r="R260" t="s">
        <v>279</v>
      </c>
      <c r="S260" t="s">
        <v>279</v>
      </c>
      <c r="T260" t="s">
        <v>3336</v>
      </c>
      <c r="U260">
        <v>0</v>
      </c>
      <c r="V260" t="b">
        <v>1</v>
      </c>
      <c r="W260" t="b">
        <v>1</v>
      </c>
      <c r="X260" t="b">
        <v>0</v>
      </c>
      <c r="Y260" t="s">
        <v>13212</v>
      </c>
    </row>
    <row r="261" spans="1:37" x14ac:dyDescent="0.25">
      <c r="A261" t="s">
        <v>42</v>
      </c>
      <c r="B261" t="s">
        <v>13205</v>
      </c>
      <c r="C261" t="b">
        <v>1</v>
      </c>
      <c r="D261" t="b">
        <v>1</v>
      </c>
      <c r="E261">
        <v>1</v>
      </c>
      <c r="F261">
        <v>1</v>
      </c>
      <c r="G261">
        <v>1</v>
      </c>
      <c r="H261" t="s">
        <v>860</v>
      </c>
      <c r="I261">
        <v>0</v>
      </c>
      <c r="J261">
        <v>113.7</v>
      </c>
      <c r="K261">
        <v>0</v>
      </c>
      <c r="L261" t="s">
        <v>859</v>
      </c>
      <c r="M261" t="s">
        <v>13207</v>
      </c>
      <c r="N261" t="s">
        <v>13205</v>
      </c>
      <c r="O261" t="s">
        <v>838</v>
      </c>
      <c r="P261" t="s">
        <v>13499</v>
      </c>
      <c r="Q261" t="s">
        <v>13500</v>
      </c>
      <c r="R261" t="s">
        <v>730</v>
      </c>
      <c r="S261" t="s">
        <v>730</v>
      </c>
      <c r="T261" t="s">
        <v>3340</v>
      </c>
      <c r="U261">
        <v>1</v>
      </c>
      <c r="V261" t="b">
        <v>1</v>
      </c>
      <c r="W261" t="b">
        <v>0</v>
      </c>
      <c r="X261" t="b">
        <v>0</v>
      </c>
      <c r="Y261" t="s">
        <v>13212</v>
      </c>
      <c r="Z261">
        <v>701.65</v>
      </c>
      <c r="AA261" t="s">
        <v>13213</v>
      </c>
      <c r="AB261">
        <v>566</v>
      </c>
      <c r="AC261" t="s">
        <v>13213</v>
      </c>
      <c r="AD261">
        <v>679.2</v>
      </c>
      <c r="AE261" t="s">
        <v>13214</v>
      </c>
      <c r="AF261">
        <v>517.67999999999995</v>
      </c>
      <c r="AG261" t="s">
        <v>13213</v>
      </c>
      <c r="AH261">
        <v>436.92</v>
      </c>
      <c r="AI261" t="s">
        <v>13215</v>
      </c>
      <c r="AJ261">
        <v>849</v>
      </c>
      <c r="AK261" t="s">
        <v>13213</v>
      </c>
    </row>
    <row r="262" spans="1:37" x14ac:dyDescent="0.25">
      <c r="A262" t="s">
        <v>729</v>
      </c>
      <c r="B262" t="s">
        <v>13205</v>
      </c>
      <c r="C262" t="b">
        <v>0</v>
      </c>
      <c r="D262" t="b">
        <v>0</v>
      </c>
      <c r="E262">
        <v>1</v>
      </c>
      <c r="F262">
        <v>1</v>
      </c>
      <c r="G262">
        <v>1</v>
      </c>
      <c r="H262" t="s">
        <v>860</v>
      </c>
      <c r="I262">
        <v>6</v>
      </c>
      <c r="J262">
        <v>113.7</v>
      </c>
      <c r="K262">
        <v>0</v>
      </c>
      <c r="L262" t="s">
        <v>859</v>
      </c>
      <c r="M262" t="s">
        <v>833</v>
      </c>
      <c r="N262" t="s">
        <v>13205</v>
      </c>
      <c r="O262" t="s">
        <v>838</v>
      </c>
      <c r="P262" t="s">
        <v>13499</v>
      </c>
      <c r="Q262" t="s">
        <v>13500</v>
      </c>
      <c r="R262" t="s">
        <v>730</v>
      </c>
      <c r="S262" t="s">
        <v>730</v>
      </c>
      <c r="T262" t="s">
        <v>3341</v>
      </c>
      <c r="U262">
        <v>0</v>
      </c>
      <c r="V262" t="b">
        <v>1</v>
      </c>
      <c r="W262" t="b">
        <v>1</v>
      </c>
      <c r="X262" t="b">
        <v>0</v>
      </c>
      <c r="Y262" t="s">
        <v>13212</v>
      </c>
    </row>
    <row r="263" spans="1:37" x14ac:dyDescent="0.25">
      <c r="A263" t="s">
        <v>32</v>
      </c>
      <c r="B263" t="s">
        <v>13205</v>
      </c>
      <c r="C263" t="b">
        <v>1</v>
      </c>
      <c r="D263" t="b">
        <v>1</v>
      </c>
      <c r="E263">
        <v>1</v>
      </c>
      <c r="F263">
        <v>1</v>
      </c>
      <c r="G263">
        <v>1</v>
      </c>
      <c r="H263" t="s">
        <v>860</v>
      </c>
      <c r="I263">
        <v>0</v>
      </c>
      <c r="J263">
        <v>101.1</v>
      </c>
      <c r="K263">
        <v>0</v>
      </c>
      <c r="L263" t="s">
        <v>859</v>
      </c>
      <c r="M263" t="s">
        <v>13207</v>
      </c>
      <c r="N263" t="s">
        <v>13205</v>
      </c>
      <c r="O263" t="s">
        <v>838</v>
      </c>
      <c r="P263" t="s">
        <v>13506</v>
      </c>
      <c r="Q263" t="s">
        <v>13507</v>
      </c>
      <c r="R263" t="s">
        <v>720</v>
      </c>
      <c r="S263" t="s">
        <v>720</v>
      </c>
      <c r="T263" t="s">
        <v>3345</v>
      </c>
      <c r="U263">
        <v>1</v>
      </c>
      <c r="V263" t="b">
        <v>1</v>
      </c>
      <c r="W263" t="b">
        <v>0</v>
      </c>
      <c r="X263" t="b">
        <v>0</v>
      </c>
      <c r="Y263" t="s">
        <v>13212</v>
      </c>
      <c r="Z263">
        <v>643.79999999999995</v>
      </c>
      <c r="AA263" t="s">
        <v>13213</v>
      </c>
      <c r="AB263">
        <v>519.33000000000004</v>
      </c>
      <c r="AC263" t="s">
        <v>13213</v>
      </c>
      <c r="AD263">
        <v>623.20000000000005</v>
      </c>
      <c r="AE263" t="s">
        <v>13214</v>
      </c>
      <c r="AF263">
        <v>475</v>
      </c>
      <c r="AG263" t="s">
        <v>13213</v>
      </c>
      <c r="AH263">
        <v>396.08</v>
      </c>
      <c r="AI263" t="s">
        <v>13215</v>
      </c>
      <c r="AJ263">
        <v>779</v>
      </c>
      <c r="AK263" t="s">
        <v>13213</v>
      </c>
    </row>
    <row r="264" spans="1:37" x14ac:dyDescent="0.25">
      <c r="A264" t="s">
        <v>719</v>
      </c>
      <c r="B264" t="s">
        <v>13205</v>
      </c>
      <c r="C264" t="b">
        <v>0</v>
      </c>
      <c r="D264" t="b">
        <v>0</v>
      </c>
      <c r="E264">
        <v>1</v>
      </c>
      <c r="F264">
        <v>1</v>
      </c>
      <c r="G264">
        <v>1</v>
      </c>
      <c r="H264" t="s">
        <v>860</v>
      </c>
      <c r="I264">
        <v>6</v>
      </c>
      <c r="J264">
        <v>101.1</v>
      </c>
      <c r="K264">
        <v>0</v>
      </c>
      <c r="L264" t="s">
        <v>859</v>
      </c>
      <c r="M264" t="s">
        <v>833</v>
      </c>
      <c r="N264" t="s">
        <v>13205</v>
      </c>
      <c r="O264" t="s">
        <v>838</v>
      </c>
      <c r="P264" t="s">
        <v>13506</v>
      </c>
      <c r="Q264" t="s">
        <v>13507</v>
      </c>
      <c r="R264" t="s">
        <v>720</v>
      </c>
      <c r="S264" t="s">
        <v>720</v>
      </c>
      <c r="T264" t="s">
        <v>3346</v>
      </c>
      <c r="U264">
        <v>0</v>
      </c>
      <c r="V264" t="b">
        <v>1</v>
      </c>
      <c r="W264" t="b">
        <v>1</v>
      </c>
      <c r="X264" t="b">
        <v>0</v>
      </c>
      <c r="Y264" t="s">
        <v>13212</v>
      </c>
    </row>
    <row r="265" spans="1:37" x14ac:dyDescent="0.25">
      <c r="A265" t="s">
        <v>60</v>
      </c>
      <c r="B265" t="s">
        <v>13205</v>
      </c>
      <c r="C265" t="b">
        <v>1</v>
      </c>
      <c r="D265" t="b">
        <v>1</v>
      </c>
      <c r="E265">
        <v>1</v>
      </c>
      <c r="F265">
        <v>1</v>
      </c>
      <c r="G265">
        <v>1</v>
      </c>
      <c r="H265" t="s">
        <v>860</v>
      </c>
      <c r="I265">
        <v>0</v>
      </c>
      <c r="J265">
        <v>98.8</v>
      </c>
      <c r="K265">
        <v>0</v>
      </c>
      <c r="L265" t="s">
        <v>859</v>
      </c>
      <c r="M265" t="s">
        <v>13207</v>
      </c>
      <c r="N265" t="s">
        <v>13205</v>
      </c>
      <c r="O265" t="s">
        <v>838</v>
      </c>
      <c r="P265" t="s">
        <v>13515</v>
      </c>
      <c r="Q265" t="s">
        <v>13516</v>
      </c>
      <c r="R265" t="s">
        <v>748</v>
      </c>
      <c r="S265" t="s">
        <v>748</v>
      </c>
      <c r="T265" t="s">
        <v>3347</v>
      </c>
      <c r="U265">
        <v>1</v>
      </c>
      <c r="V265" t="b">
        <v>1</v>
      </c>
      <c r="W265" t="b">
        <v>0</v>
      </c>
      <c r="X265" t="b">
        <v>0</v>
      </c>
      <c r="Y265" t="s">
        <v>13212</v>
      </c>
      <c r="Z265">
        <v>701.65</v>
      </c>
      <c r="AA265" t="s">
        <v>13213</v>
      </c>
      <c r="AB265">
        <v>566</v>
      </c>
      <c r="AC265" t="s">
        <v>13213</v>
      </c>
      <c r="AD265">
        <v>679.2</v>
      </c>
      <c r="AE265" t="s">
        <v>13214</v>
      </c>
      <c r="AF265">
        <v>517.67999999999995</v>
      </c>
      <c r="AG265" t="s">
        <v>13213</v>
      </c>
      <c r="AH265">
        <v>436.92</v>
      </c>
      <c r="AI265" t="s">
        <v>13215</v>
      </c>
      <c r="AJ265">
        <v>849</v>
      </c>
      <c r="AK265" t="s">
        <v>13213</v>
      </c>
    </row>
    <row r="266" spans="1:37" x14ac:dyDescent="0.25">
      <c r="A266" t="s">
        <v>747</v>
      </c>
      <c r="B266" t="s">
        <v>13205</v>
      </c>
      <c r="C266" t="b">
        <v>0</v>
      </c>
      <c r="D266" t="b">
        <v>0</v>
      </c>
      <c r="E266">
        <v>1</v>
      </c>
      <c r="F266">
        <v>1</v>
      </c>
      <c r="G266">
        <v>1</v>
      </c>
      <c r="H266" t="s">
        <v>860</v>
      </c>
      <c r="I266">
        <v>6</v>
      </c>
      <c r="J266">
        <v>98.8</v>
      </c>
      <c r="K266">
        <v>0</v>
      </c>
      <c r="L266" t="s">
        <v>859</v>
      </c>
      <c r="M266" t="s">
        <v>833</v>
      </c>
      <c r="N266" t="s">
        <v>13205</v>
      </c>
      <c r="O266" t="s">
        <v>838</v>
      </c>
      <c r="P266" t="s">
        <v>13515</v>
      </c>
      <c r="Q266" t="s">
        <v>13516</v>
      </c>
      <c r="R266" t="s">
        <v>748</v>
      </c>
      <c r="S266" t="s">
        <v>748</v>
      </c>
      <c r="T266" t="s">
        <v>3348</v>
      </c>
      <c r="U266">
        <v>0</v>
      </c>
      <c r="V266" t="b">
        <v>1</v>
      </c>
      <c r="W266" t="b">
        <v>1</v>
      </c>
      <c r="X266" t="b">
        <v>0</v>
      </c>
      <c r="Y266" t="s">
        <v>13212</v>
      </c>
    </row>
    <row r="267" spans="1:37" x14ac:dyDescent="0.25">
      <c r="A267" t="s">
        <v>52</v>
      </c>
      <c r="B267" t="s">
        <v>13205</v>
      </c>
      <c r="C267" t="b">
        <v>1</v>
      </c>
      <c r="D267" t="b">
        <v>1</v>
      </c>
      <c r="E267">
        <v>1</v>
      </c>
      <c r="F267">
        <v>1</v>
      </c>
      <c r="G267">
        <v>1</v>
      </c>
      <c r="H267" t="s">
        <v>860</v>
      </c>
      <c r="I267">
        <v>0</v>
      </c>
      <c r="J267">
        <v>86.5</v>
      </c>
      <c r="K267">
        <v>0</v>
      </c>
      <c r="L267" t="s">
        <v>859</v>
      </c>
      <c r="M267" t="s">
        <v>13207</v>
      </c>
      <c r="N267" t="s">
        <v>13205</v>
      </c>
      <c r="O267" t="s">
        <v>838</v>
      </c>
      <c r="P267" t="s">
        <v>13608</v>
      </c>
      <c r="Q267" t="s">
        <v>13609</v>
      </c>
      <c r="R267" t="s">
        <v>740</v>
      </c>
      <c r="S267" t="s">
        <v>740</v>
      </c>
      <c r="T267" t="s">
        <v>3349</v>
      </c>
      <c r="U267">
        <v>1</v>
      </c>
      <c r="V267" t="b">
        <v>1</v>
      </c>
      <c r="W267" t="b">
        <v>0</v>
      </c>
      <c r="X267" t="b">
        <v>0</v>
      </c>
      <c r="Y267" t="s">
        <v>13212</v>
      </c>
      <c r="Z267">
        <v>676.03</v>
      </c>
      <c r="AA267" t="s">
        <v>13213</v>
      </c>
      <c r="AB267">
        <v>545.33000000000004</v>
      </c>
      <c r="AC267" t="s">
        <v>13213</v>
      </c>
      <c r="AD267">
        <v>654.4</v>
      </c>
      <c r="AE267" t="s">
        <v>13214</v>
      </c>
      <c r="AF267">
        <v>498.78</v>
      </c>
      <c r="AG267" t="s">
        <v>13213</v>
      </c>
      <c r="AH267">
        <v>419.42</v>
      </c>
      <c r="AI267" t="s">
        <v>13215</v>
      </c>
      <c r="AJ267">
        <v>818</v>
      </c>
      <c r="AK267" t="s">
        <v>13213</v>
      </c>
    </row>
    <row r="268" spans="1:37" x14ac:dyDescent="0.25">
      <c r="A268" t="s">
        <v>739</v>
      </c>
      <c r="B268" t="s">
        <v>13205</v>
      </c>
      <c r="C268" t="b">
        <v>0</v>
      </c>
      <c r="D268" t="b">
        <v>0</v>
      </c>
      <c r="E268">
        <v>1</v>
      </c>
      <c r="F268">
        <v>1</v>
      </c>
      <c r="G268">
        <v>1</v>
      </c>
      <c r="H268" t="s">
        <v>860</v>
      </c>
      <c r="I268">
        <v>6</v>
      </c>
      <c r="J268">
        <v>86.5</v>
      </c>
      <c r="K268">
        <v>0</v>
      </c>
      <c r="L268" t="s">
        <v>859</v>
      </c>
      <c r="M268" t="s">
        <v>833</v>
      </c>
      <c r="N268" t="s">
        <v>13205</v>
      </c>
      <c r="O268" t="s">
        <v>838</v>
      </c>
      <c r="P268" t="s">
        <v>13608</v>
      </c>
      <c r="Q268" t="s">
        <v>13609</v>
      </c>
      <c r="R268" t="s">
        <v>740</v>
      </c>
      <c r="S268" t="s">
        <v>740</v>
      </c>
      <c r="T268" t="s">
        <v>3350</v>
      </c>
      <c r="U268">
        <v>0</v>
      </c>
      <c r="V268" t="b">
        <v>1</v>
      </c>
      <c r="W268" t="b">
        <v>1</v>
      </c>
      <c r="X268" t="b">
        <v>0</v>
      </c>
      <c r="Y268" t="s">
        <v>13212</v>
      </c>
    </row>
    <row r="269" spans="1:37" x14ac:dyDescent="0.25">
      <c r="A269" t="s">
        <v>569</v>
      </c>
      <c r="B269" t="s">
        <v>13205</v>
      </c>
      <c r="C269" t="b">
        <v>0</v>
      </c>
      <c r="D269" t="b">
        <v>0</v>
      </c>
      <c r="E269">
        <v>56</v>
      </c>
      <c r="F269">
        <v>143</v>
      </c>
      <c r="G269">
        <v>32</v>
      </c>
      <c r="H269" t="s">
        <v>860</v>
      </c>
      <c r="I269">
        <v>6</v>
      </c>
      <c r="J269">
        <v>76.8</v>
      </c>
      <c r="K269">
        <v>6.5</v>
      </c>
      <c r="L269" t="s">
        <v>859</v>
      </c>
      <c r="M269" t="s">
        <v>13207</v>
      </c>
      <c r="N269" t="s">
        <v>917</v>
      </c>
      <c r="O269" t="s">
        <v>838</v>
      </c>
      <c r="P269" t="s">
        <v>570</v>
      </c>
      <c r="Q269" t="s">
        <v>570</v>
      </c>
      <c r="R269" t="s">
        <v>570</v>
      </c>
      <c r="S269" t="s">
        <v>570</v>
      </c>
      <c r="T269" t="s">
        <v>3365</v>
      </c>
      <c r="U269">
        <v>0</v>
      </c>
      <c r="V269" t="b">
        <v>0</v>
      </c>
      <c r="W269" t="b">
        <v>0</v>
      </c>
      <c r="X269" t="b">
        <v>0</v>
      </c>
      <c r="Y269" t="s">
        <v>13212</v>
      </c>
      <c r="Z269">
        <v>495.04</v>
      </c>
      <c r="AA269" t="s">
        <v>13213</v>
      </c>
      <c r="AB269">
        <v>399.33</v>
      </c>
      <c r="AC269" t="s">
        <v>13213</v>
      </c>
      <c r="AD269">
        <v>479.2</v>
      </c>
      <c r="AE269" t="s">
        <v>13214</v>
      </c>
      <c r="AF269">
        <v>365.24</v>
      </c>
      <c r="AG269" t="s">
        <v>13213</v>
      </c>
      <c r="AH269">
        <v>331.92</v>
      </c>
      <c r="AI269" t="s">
        <v>13215</v>
      </c>
      <c r="AJ269">
        <v>599</v>
      </c>
      <c r="AK269" t="s">
        <v>13213</v>
      </c>
    </row>
    <row r="270" spans="1:37" x14ac:dyDescent="0.25">
      <c r="A270" t="s">
        <v>3367</v>
      </c>
      <c r="B270" t="s">
        <v>13205</v>
      </c>
      <c r="C270" t="b">
        <v>0</v>
      </c>
      <c r="D270" t="b">
        <v>0</v>
      </c>
      <c r="E270">
        <v>56</v>
      </c>
      <c r="F270">
        <v>143</v>
      </c>
      <c r="G270">
        <v>32</v>
      </c>
      <c r="H270" t="s">
        <v>860</v>
      </c>
      <c r="I270">
        <v>6</v>
      </c>
      <c r="J270">
        <v>76.8</v>
      </c>
      <c r="K270">
        <v>6.5</v>
      </c>
      <c r="L270" t="s">
        <v>859</v>
      </c>
      <c r="M270" t="s">
        <v>833</v>
      </c>
      <c r="N270" t="s">
        <v>917</v>
      </c>
      <c r="O270" t="s">
        <v>838</v>
      </c>
      <c r="P270" t="s">
        <v>570</v>
      </c>
      <c r="Q270" t="s">
        <v>570</v>
      </c>
      <c r="R270" t="s">
        <v>570</v>
      </c>
      <c r="S270" t="s">
        <v>570</v>
      </c>
      <c r="T270" t="s">
        <v>3366</v>
      </c>
      <c r="U270">
        <v>0</v>
      </c>
      <c r="V270" t="b">
        <v>1</v>
      </c>
      <c r="W270" t="b">
        <v>1</v>
      </c>
      <c r="X270" t="b">
        <v>0</v>
      </c>
      <c r="Y270" t="s">
        <v>13212</v>
      </c>
    </row>
    <row r="271" spans="1:37" x14ac:dyDescent="0.25">
      <c r="A271" t="s">
        <v>354</v>
      </c>
      <c r="B271" t="s">
        <v>13205</v>
      </c>
      <c r="C271" t="b">
        <v>1</v>
      </c>
      <c r="D271" t="b">
        <v>1</v>
      </c>
      <c r="E271">
        <v>56</v>
      </c>
      <c r="F271">
        <v>143</v>
      </c>
      <c r="G271">
        <v>32</v>
      </c>
      <c r="H271" t="s">
        <v>860</v>
      </c>
      <c r="I271">
        <v>6</v>
      </c>
      <c r="J271">
        <v>76.8</v>
      </c>
      <c r="K271">
        <v>6.5</v>
      </c>
      <c r="L271" t="s">
        <v>859</v>
      </c>
      <c r="M271" t="s">
        <v>13207</v>
      </c>
      <c r="N271" t="s">
        <v>917</v>
      </c>
      <c r="O271" t="s">
        <v>838</v>
      </c>
      <c r="P271" t="s">
        <v>355</v>
      </c>
      <c r="Q271" t="s">
        <v>355</v>
      </c>
      <c r="R271" t="s">
        <v>355</v>
      </c>
      <c r="S271" t="s">
        <v>355</v>
      </c>
      <c r="T271" t="s">
        <v>369</v>
      </c>
      <c r="U271">
        <v>100</v>
      </c>
      <c r="V271" t="b">
        <v>0</v>
      </c>
      <c r="W271" t="b">
        <v>0</v>
      </c>
      <c r="X271" t="b">
        <v>0</v>
      </c>
      <c r="Y271" t="s">
        <v>13212</v>
      </c>
      <c r="Z271">
        <v>495.04</v>
      </c>
      <c r="AA271" t="s">
        <v>13213</v>
      </c>
      <c r="AB271">
        <v>399.33</v>
      </c>
      <c r="AC271" t="s">
        <v>13213</v>
      </c>
      <c r="AD271">
        <v>479.2</v>
      </c>
      <c r="AE271" t="s">
        <v>13214</v>
      </c>
      <c r="AF271">
        <v>365.24</v>
      </c>
      <c r="AG271" t="s">
        <v>13213</v>
      </c>
      <c r="AH271">
        <v>331.92</v>
      </c>
      <c r="AI271" t="s">
        <v>13215</v>
      </c>
      <c r="AJ271">
        <v>599</v>
      </c>
      <c r="AK271" t="s">
        <v>13213</v>
      </c>
    </row>
    <row r="272" spans="1:37" x14ac:dyDescent="0.25">
      <c r="A272" t="s">
        <v>3369</v>
      </c>
      <c r="B272" t="s">
        <v>13205</v>
      </c>
      <c r="C272" t="b">
        <v>0</v>
      </c>
      <c r="D272" t="b">
        <v>0</v>
      </c>
      <c r="E272">
        <v>56</v>
      </c>
      <c r="F272">
        <v>143</v>
      </c>
      <c r="G272">
        <v>32</v>
      </c>
      <c r="H272" t="s">
        <v>860</v>
      </c>
      <c r="I272">
        <v>6</v>
      </c>
      <c r="J272">
        <v>76.8</v>
      </c>
      <c r="K272">
        <v>6.5</v>
      </c>
      <c r="L272" t="s">
        <v>859</v>
      </c>
      <c r="M272" t="s">
        <v>833</v>
      </c>
      <c r="N272" t="s">
        <v>917</v>
      </c>
      <c r="O272" t="s">
        <v>838</v>
      </c>
      <c r="P272" t="s">
        <v>3370</v>
      </c>
      <c r="Q272" t="s">
        <v>3370</v>
      </c>
      <c r="R272" t="s">
        <v>3370</v>
      </c>
      <c r="S272" t="s">
        <v>3370</v>
      </c>
      <c r="T272" t="s">
        <v>3368</v>
      </c>
      <c r="U272">
        <v>0</v>
      </c>
      <c r="V272" t="b">
        <v>1</v>
      </c>
      <c r="W272" t="b">
        <v>1</v>
      </c>
      <c r="X272" t="b">
        <v>0</v>
      </c>
      <c r="Y272" t="s">
        <v>13212</v>
      </c>
    </row>
    <row r="273" spans="1:37" x14ac:dyDescent="0.25">
      <c r="A273" t="s">
        <v>286</v>
      </c>
      <c r="B273" t="s">
        <v>13205</v>
      </c>
      <c r="C273" t="b">
        <v>1</v>
      </c>
      <c r="D273" t="b">
        <v>1</v>
      </c>
      <c r="E273">
        <v>31</v>
      </c>
      <c r="F273">
        <v>137</v>
      </c>
      <c r="G273">
        <v>55</v>
      </c>
      <c r="H273" t="s">
        <v>860</v>
      </c>
      <c r="I273">
        <v>6</v>
      </c>
      <c r="J273">
        <v>61.9</v>
      </c>
      <c r="K273">
        <v>5.8</v>
      </c>
      <c r="L273" t="s">
        <v>859</v>
      </c>
      <c r="M273" t="s">
        <v>13207</v>
      </c>
      <c r="N273" t="s">
        <v>917</v>
      </c>
      <c r="O273" t="s">
        <v>838</v>
      </c>
      <c r="P273" t="s">
        <v>571</v>
      </c>
      <c r="Q273" t="s">
        <v>571</v>
      </c>
      <c r="R273" t="s">
        <v>571</v>
      </c>
      <c r="S273" t="s">
        <v>571</v>
      </c>
      <c r="T273" t="s">
        <v>316</v>
      </c>
      <c r="U273">
        <v>50</v>
      </c>
      <c r="V273" t="b">
        <v>0</v>
      </c>
      <c r="W273" t="b">
        <v>0</v>
      </c>
      <c r="X273" t="b">
        <v>0</v>
      </c>
      <c r="Y273" t="s">
        <v>13212</v>
      </c>
      <c r="Z273">
        <v>453.72</v>
      </c>
      <c r="AA273" t="s">
        <v>13213</v>
      </c>
      <c r="AB273">
        <v>366</v>
      </c>
      <c r="AC273" t="s">
        <v>13213</v>
      </c>
      <c r="AD273">
        <v>439.2</v>
      </c>
      <c r="AE273" t="s">
        <v>13214</v>
      </c>
      <c r="AF273">
        <v>334.76</v>
      </c>
      <c r="AG273" t="s">
        <v>13213</v>
      </c>
      <c r="AH273">
        <v>279.42</v>
      </c>
      <c r="AI273" t="s">
        <v>13215</v>
      </c>
      <c r="AJ273">
        <v>549</v>
      </c>
      <c r="AK273" t="s">
        <v>13213</v>
      </c>
    </row>
    <row r="274" spans="1:37" x14ac:dyDescent="0.25">
      <c r="A274" t="s">
        <v>797</v>
      </c>
      <c r="B274" t="s">
        <v>13205</v>
      </c>
      <c r="C274" t="b">
        <v>0</v>
      </c>
      <c r="D274" t="b">
        <v>0</v>
      </c>
      <c r="E274">
        <v>55</v>
      </c>
      <c r="F274">
        <v>137</v>
      </c>
      <c r="G274">
        <v>31</v>
      </c>
      <c r="H274" t="s">
        <v>860</v>
      </c>
      <c r="I274">
        <v>6</v>
      </c>
      <c r="J274">
        <v>61.9</v>
      </c>
      <c r="K274">
        <v>5.8</v>
      </c>
      <c r="L274" t="s">
        <v>859</v>
      </c>
      <c r="M274" t="s">
        <v>833</v>
      </c>
      <c r="N274" t="s">
        <v>917</v>
      </c>
      <c r="O274" t="s">
        <v>838</v>
      </c>
      <c r="P274" t="s">
        <v>798</v>
      </c>
      <c r="Q274" t="s">
        <v>798</v>
      </c>
      <c r="R274" t="s">
        <v>798</v>
      </c>
      <c r="S274" t="s">
        <v>798</v>
      </c>
      <c r="T274" t="s">
        <v>3381</v>
      </c>
      <c r="U274">
        <v>0</v>
      </c>
      <c r="V274" t="b">
        <v>1</v>
      </c>
      <c r="W274" t="b">
        <v>1</v>
      </c>
      <c r="X274" t="b">
        <v>0</v>
      </c>
      <c r="Y274" t="s">
        <v>13212</v>
      </c>
    </row>
    <row r="275" spans="1:37" x14ac:dyDescent="0.25">
      <c r="A275" t="s">
        <v>280</v>
      </c>
      <c r="B275" t="s">
        <v>13205</v>
      </c>
      <c r="C275" t="b">
        <v>1</v>
      </c>
      <c r="D275" t="b">
        <v>1</v>
      </c>
      <c r="E275">
        <v>55</v>
      </c>
      <c r="F275">
        <v>137</v>
      </c>
      <c r="G275">
        <v>31</v>
      </c>
      <c r="H275" t="s">
        <v>860</v>
      </c>
      <c r="I275">
        <v>6</v>
      </c>
      <c r="J275">
        <v>61.9</v>
      </c>
      <c r="K275">
        <v>5.8</v>
      </c>
      <c r="L275" t="s">
        <v>859</v>
      </c>
      <c r="M275" t="s">
        <v>13207</v>
      </c>
      <c r="N275" t="s">
        <v>917</v>
      </c>
      <c r="O275" t="s">
        <v>838</v>
      </c>
      <c r="P275" t="s">
        <v>281</v>
      </c>
      <c r="Q275" t="s">
        <v>281</v>
      </c>
      <c r="R275" t="s">
        <v>281</v>
      </c>
      <c r="S275" t="s">
        <v>281</v>
      </c>
      <c r="T275" t="s">
        <v>317</v>
      </c>
      <c r="U275">
        <v>100</v>
      </c>
      <c r="V275" t="b">
        <v>0</v>
      </c>
      <c r="W275" t="b">
        <v>0</v>
      </c>
      <c r="X275" t="b">
        <v>0</v>
      </c>
      <c r="Y275" t="s">
        <v>13212</v>
      </c>
      <c r="Z275">
        <v>453.72</v>
      </c>
      <c r="AA275" t="s">
        <v>13213</v>
      </c>
      <c r="AB275">
        <v>366</v>
      </c>
      <c r="AC275" t="s">
        <v>13213</v>
      </c>
      <c r="AD275">
        <v>439.2</v>
      </c>
      <c r="AE275" t="s">
        <v>13214</v>
      </c>
      <c r="AF275">
        <v>334.76</v>
      </c>
      <c r="AG275" t="s">
        <v>13213</v>
      </c>
      <c r="AH275">
        <v>279.42</v>
      </c>
      <c r="AI275" t="s">
        <v>13215</v>
      </c>
      <c r="AJ275">
        <v>549</v>
      </c>
      <c r="AK275" t="s">
        <v>13213</v>
      </c>
    </row>
    <row r="276" spans="1:37" x14ac:dyDescent="0.25">
      <c r="A276" t="s">
        <v>794</v>
      </c>
      <c r="B276" t="s">
        <v>13205</v>
      </c>
      <c r="C276" t="b">
        <v>0</v>
      </c>
      <c r="D276" t="b">
        <v>0</v>
      </c>
      <c r="E276">
        <v>55</v>
      </c>
      <c r="F276">
        <v>137</v>
      </c>
      <c r="G276">
        <v>31</v>
      </c>
      <c r="H276" t="s">
        <v>860</v>
      </c>
      <c r="I276">
        <v>6</v>
      </c>
      <c r="J276">
        <v>61.9</v>
      </c>
      <c r="K276">
        <v>5.8</v>
      </c>
      <c r="L276" t="s">
        <v>859</v>
      </c>
      <c r="M276" t="s">
        <v>833</v>
      </c>
      <c r="N276" t="s">
        <v>917</v>
      </c>
      <c r="O276" t="s">
        <v>838</v>
      </c>
      <c r="P276" t="s">
        <v>281</v>
      </c>
      <c r="Q276" t="s">
        <v>281</v>
      </c>
      <c r="R276" t="s">
        <v>281</v>
      </c>
      <c r="S276" t="s">
        <v>281</v>
      </c>
      <c r="T276" t="s">
        <v>3382</v>
      </c>
      <c r="U276">
        <v>0</v>
      </c>
      <c r="V276" t="b">
        <v>1</v>
      </c>
      <c r="W276" t="b">
        <v>1</v>
      </c>
      <c r="X276" t="b">
        <v>0</v>
      </c>
      <c r="Y276" t="s">
        <v>13212</v>
      </c>
    </row>
    <row r="277" spans="1:37" x14ac:dyDescent="0.25">
      <c r="A277" t="s">
        <v>437</v>
      </c>
      <c r="B277" t="s">
        <v>13205</v>
      </c>
      <c r="C277" t="b">
        <v>1</v>
      </c>
      <c r="D277" t="b">
        <v>1</v>
      </c>
      <c r="E277">
        <v>1</v>
      </c>
      <c r="F277">
        <v>1</v>
      </c>
      <c r="G277">
        <v>1</v>
      </c>
      <c r="H277" t="s">
        <v>860</v>
      </c>
      <c r="I277">
        <v>1</v>
      </c>
      <c r="J277">
        <v>98.8</v>
      </c>
      <c r="K277">
        <v>0</v>
      </c>
      <c r="L277" t="s">
        <v>13205</v>
      </c>
      <c r="M277" t="s">
        <v>13207</v>
      </c>
      <c r="N277" t="s">
        <v>13205</v>
      </c>
      <c r="O277" t="s">
        <v>838</v>
      </c>
      <c r="P277" t="s">
        <v>13724</v>
      </c>
      <c r="Q277" t="s">
        <v>13725</v>
      </c>
      <c r="R277" t="s">
        <v>448</v>
      </c>
      <c r="S277" t="s">
        <v>448</v>
      </c>
      <c r="T277" t="s">
        <v>436</v>
      </c>
      <c r="U277">
        <v>0</v>
      </c>
      <c r="V277" t="b">
        <v>1</v>
      </c>
      <c r="W277" t="b">
        <v>0</v>
      </c>
      <c r="X277" t="b">
        <v>0</v>
      </c>
      <c r="Y277" t="s">
        <v>13212</v>
      </c>
      <c r="Z277">
        <v>701.65</v>
      </c>
      <c r="AA277" t="s">
        <v>13213</v>
      </c>
      <c r="AB277">
        <v>566</v>
      </c>
      <c r="AC277" t="s">
        <v>13213</v>
      </c>
      <c r="AD277">
        <v>679.2</v>
      </c>
      <c r="AE277" t="s">
        <v>13214</v>
      </c>
      <c r="AF277">
        <v>517.67999999999995</v>
      </c>
      <c r="AG277" t="s">
        <v>13213</v>
      </c>
      <c r="AH277">
        <v>436.92</v>
      </c>
      <c r="AI277" t="s">
        <v>13215</v>
      </c>
      <c r="AJ277">
        <v>849</v>
      </c>
      <c r="AK277" t="s">
        <v>13213</v>
      </c>
    </row>
    <row r="278" spans="1:37" x14ac:dyDescent="0.25">
      <c r="A278" t="s">
        <v>756</v>
      </c>
      <c r="B278" t="s">
        <v>13205</v>
      </c>
      <c r="C278" t="b">
        <v>0</v>
      </c>
      <c r="D278" t="b">
        <v>0</v>
      </c>
      <c r="E278">
        <v>1</v>
      </c>
      <c r="F278">
        <v>1</v>
      </c>
      <c r="G278">
        <v>1</v>
      </c>
      <c r="H278" t="s">
        <v>860</v>
      </c>
      <c r="I278">
        <v>6</v>
      </c>
      <c r="J278">
        <v>98.8</v>
      </c>
      <c r="K278">
        <v>0</v>
      </c>
      <c r="L278" t="s">
        <v>859</v>
      </c>
      <c r="M278" t="s">
        <v>833</v>
      </c>
      <c r="N278" t="s">
        <v>13205</v>
      </c>
      <c r="O278" t="s">
        <v>838</v>
      </c>
      <c r="P278" t="s">
        <v>13724</v>
      </c>
      <c r="Q278" t="s">
        <v>13725</v>
      </c>
      <c r="R278" t="s">
        <v>448</v>
      </c>
      <c r="S278" t="s">
        <v>448</v>
      </c>
      <c r="T278" t="s">
        <v>3408</v>
      </c>
      <c r="U278">
        <v>0</v>
      </c>
      <c r="V278" t="b">
        <v>1</v>
      </c>
      <c r="W278" t="b">
        <v>1</v>
      </c>
      <c r="X278" t="b">
        <v>0</v>
      </c>
      <c r="Y278" t="s">
        <v>13212</v>
      </c>
    </row>
    <row r="279" spans="1:37" x14ac:dyDescent="0.25">
      <c r="A279" t="s">
        <v>439</v>
      </c>
      <c r="B279" t="s">
        <v>13205</v>
      </c>
      <c r="C279" t="b">
        <v>1</v>
      </c>
      <c r="D279" t="b">
        <v>1</v>
      </c>
      <c r="E279">
        <v>1</v>
      </c>
      <c r="F279">
        <v>1</v>
      </c>
      <c r="G279">
        <v>1</v>
      </c>
      <c r="H279" t="s">
        <v>860</v>
      </c>
      <c r="I279">
        <v>1</v>
      </c>
      <c r="J279">
        <v>86.5</v>
      </c>
      <c r="K279">
        <v>0</v>
      </c>
      <c r="L279" t="s">
        <v>13205</v>
      </c>
      <c r="M279" t="s">
        <v>13207</v>
      </c>
      <c r="N279" t="s">
        <v>13205</v>
      </c>
      <c r="O279" t="s">
        <v>838</v>
      </c>
      <c r="P279" t="s">
        <v>13730</v>
      </c>
      <c r="Q279" t="s">
        <v>13731</v>
      </c>
      <c r="R279" t="s">
        <v>572</v>
      </c>
      <c r="S279" t="s">
        <v>572</v>
      </c>
      <c r="T279" t="s">
        <v>438</v>
      </c>
      <c r="U279">
        <v>0</v>
      </c>
      <c r="V279" t="b">
        <v>1</v>
      </c>
      <c r="W279" t="b">
        <v>0</v>
      </c>
      <c r="X279" t="b">
        <v>0</v>
      </c>
      <c r="Y279" t="s">
        <v>13212</v>
      </c>
      <c r="Z279">
        <v>676.03</v>
      </c>
      <c r="AA279" t="s">
        <v>13213</v>
      </c>
      <c r="AB279">
        <v>545.33000000000004</v>
      </c>
      <c r="AC279" t="s">
        <v>13213</v>
      </c>
      <c r="AD279">
        <v>654.4</v>
      </c>
      <c r="AE279" t="s">
        <v>13214</v>
      </c>
      <c r="AF279">
        <v>498.78</v>
      </c>
      <c r="AG279" t="s">
        <v>13213</v>
      </c>
      <c r="AH279">
        <v>419.42</v>
      </c>
      <c r="AI279" t="s">
        <v>13215</v>
      </c>
      <c r="AJ279">
        <v>818</v>
      </c>
      <c r="AK279" t="s">
        <v>13213</v>
      </c>
    </row>
    <row r="280" spans="1:37" x14ac:dyDescent="0.25">
      <c r="A280" t="s">
        <v>753</v>
      </c>
      <c r="B280" t="s">
        <v>13205</v>
      </c>
      <c r="C280" t="b">
        <v>0</v>
      </c>
      <c r="D280" t="b">
        <v>0</v>
      </c>
      <c r="E280">
        <v>1</v>
      </c>
      <c r="F280">
        <v>1</v>
      </c>
      <c r="G280">
        <v>1</v>
      </c>
      <c r="H280" t="s">
        <v>860</v>
      </c>
      <c r="I280">
        <v>6</v>
      </c>
      <c r="J280">
        <v>86.5</v>
      </c>
      <c r="K280">
        <v>0</v>
      </c>
      <c r="L280" t="s">
        <v>859</v>
      </c>
      <c r="M280" t="s">
        <v>833</v>
      </c>
      <c r="N280" t="s">
        <v>13205</v>
      </c>
      <c r="O280" t="s">
        <v>838</v>
      </c>
      <c r="P280" t="s">
        <v>13730</v>
      </c>
      <c r="Q280" t="s">
        <v>13731</v>
      </c>
      <c r="R280" t="s">
        <v>572</v>
      </c>
      <c r="S280" t="s">
        <v>572</v>
      </c>
      <c r="T280" t="s">
        <v>3410</v>
      </c>
      <c r="U280">
        <v>0</v>
      </c>
      <c r="V280" t="b">
        <v>1</v>
      </c>
      <c r="W280" t="b">
        <v>1</v>
      </c>
      <c r="X280" t="b">
        <v>0</v>
      </c>
      <c r="Y280" t="s">
        <v>13212</v>
      </c>
    </row>
    <row r="281" spans="1:37" x14ac:dyDescent="0.25">
      <c r="A281" t="s">
        <v>573</v>
      </c>
      <c r="B281" t="s">
        <v>13205</v>
      </c>
      <c r="C281" t="b">
        <v>1</v>
      </c>
      <c r="D281" t="b">
        <v>0</v>
      </c>
      <c r="E281">
        <v>1</v>
      </c>
      <c r="F281">
        <v>1</v>
      </c>
      <c r="G281">
        <v>1</v>
      </c>
      <c r="H281" t="s">
        <v>860</v>
      </c>
      <c r="I281">
        <v>1</v>
      </c>
      <c r="J281">
        <v>113.7</v>
      </c>
      <c r="K281">
        <v>0</v>
      </c>
      <c r="L281" t="s">
        <v>859</v>
      </c>
      <c r="M281" t="s">
        <v>13207</v>
      </c>
      <c r="N281" t="s">
        <v>13205</v>
      </c>
      <c r="O281" t="s">
        <v>838</v>
      </c>
      <c r="P281" t="s">
        <v>13779</v>
      </c>
      <c r="Q281" t="s">
        <v>13780</v>
      </c>
      <c r="R281" t="s">
        <v>574</v>
      </c>
      <c r="S281" t="s">
        <v>574</v>
      </c>
      <c r="T281" t="s">
        <v>3411</v>
      </c>
      <c r="U281">
        <v>0</v>
      </c>
      <c r="V281" t="b">
        <v>1</v>
      </c>
      <c r="W281" t="b">
        <v>0</v>
      </c>
      <c r="X281" t="b">
        <v>0</v>
      </c>
      <c r="Y281" t="s">
        <v>13212</v>
      </c>
      <c r="Z281">
        <v>701.65</v>
      </c>
      <c r="AA281" t="s">
        <v>13213</v>
      </c>
      <c r="AB281">
        <v>566</v>
      </c>
      <c r="AC281" t="s">
        <v>13213</v>
      </c>
      <c r="AD281">
        <v>679.2</v>
      </c>
      <c r="AE281" t="s">
        <v>13214</v>
      </c>
      <c r="AF281">
        <v>517.67999999999995</v>
      </c>
      <c r="AG281" t="s">
        <v>13213</v>
      </c>
      <c r="AH281">
        <v>424.48</v>
      </c>
      <c r="AI281" t="s">
        <v>13215</v>
      </c>
      <c r="AJ281">
        <v>849</v>
      </c>
      <c r="AK281" t="s">
        <v>13213</v>
      </c>
    </row>
    <row r="282" spans="1:37" x14ac:dyDescent="0.25">
      <c r="A282" t="s">
        <v>765</v>
      </c>
      <c r="B282" t="s">
        <v>13205</v>
      </c>
      <c r="C282" t="b">
        <v>0</v>
      </c>
      <c r="D282" t="b">
        <v>0</v>
      </c>
      <c r="E282">
        <v>1</v>
      </c>
      <c r="F282">
        <v>1</v>
      </c>
      <c r="G282">
        <v>1</v>
      </c>
      <c r="H282" t="s">
        <v>860</v>
      </c>
      <c r="I282">
        <v>6</v>
      </c>
      <c r="J282">
        <v>113.7</v>
      </c>
      <c r="K282">
        <v>0</v>
      </c>
      <c r="L282" t="s">
        <v>859</v>
      </c>
      <c r="M282" t="s">
        <v>833</v>
      </c>
      <c r="N282" t="s">
        <v>13205</v>
      </c>
      <c r="O282" t="s">
        <v>838</v>
      </c>
      <c r="P282" t="s">
        <v>13779</v>
      </c>
      <c r="Q282" t="s">
        <v>13780</v>
      </c>
      <c r="R282" t="s">
        <v>574</v>
      </c>
      <c r="S282" t="s">
        <v>574</v>
      </c>
      <c r="T282" t="s">
        <v>3413</v>
      </c>
      <c r="U282">
        <v>0</v>
      </c>
      <c r="V282" t="b">
        <v>1</v>
      </c>
      <c r="W282" t="b">
        <v>1</v>
      </c>
      <c r="X282" t="b">
        <v>0</v>
      </c>
      <c r="Y282" t="s">
        <v>13212</v>
      </c>
    </row>
    <row r="283" spans="1:37" x14ac:dyDescent="0.25">
      <c r="A283" t="s">
        <v>759</v>
      </c>
      <c r="B283" t="s">
        <v>13205</v>
      </c>
      <c r="C283" t="b">
        <v>0</v>
      </c>
      <c r="D283" t="b">
        <v>0</v>
      </c>
      <c r="E283">
        <v>1</v>
      </c>
      <c r="F283">
        <v>1</v>
      </c>
      <c r="G283">
        <v>1</v>
      </c>
      <c r="H283" t="s">
        <v>860</v>
      </c>
      <c r="I283">
        <v>6</v>
      </c>
      <c r="J283">
        <v>101.1</v>
      </c>
      <c r="K283">
        <v>0</v>
      </c>
      <c r="L283" t="s">
        <v>859</v>
      </c>
      <c r="M283" t="s">
        <v>833</v>
      </c>
      <c r="N283" t="s">
        <v>13205</v>
      </c>
      <c r="O283" t="s">
        <v>838</v>
      </c>
      <c r="P283" t="s">
        <v>13866</v>
      </c>
      <c r="Q283" t="s">
        <v>13867</v>
      </c>
      <c r="R283" t="s">
        <v>760</v>
      </c>
      <c r="S283" t="s">
        <v>760</v>
      </c>
      <c r="T283" t="s">
        <v>3414</v>
      </c>
      <c r="U283">
        <v>0</v>
      </c>
      <c r="V283" t="b">
        <v>1</v>
      </c>
      <c r="W283" t="b">
        <v>1</v>
      </c>
      <c r="X283" t="b">
        <v>0</v>
      </c>
      <c r="Y283" t="s">
        <v>13212</v>
      </c>
    </row>
    <row r="284" spans="1:37" x14ac:dyDescent="0.25">
      <c r="A284" t="s">
        <v>44</v>
      </c>
      <c r="B284" t="s">
        <v>13205</v>
      </c>
      <c r="C284" t="b">
        <v>1</v>
      </c>
      <c r="D284" t="b">
        <v>1</v>
      </c>
      <c r="E284">
        <v>1</v>
      </c>
      <c r="F284">
        <v>1</v>
      </c>
      <c r="G284">
        <v>1</v>
      </c>
      <c r="H284" t="s">
        <v>860</v>
      </c>
      <c r="I284">
        <v>0</v>
      </c>
      <c r="J284">
        <v>125.1</v>
      </c>
      <c r="K284">
        <v>0</v>
      </c>
      <c r="L284" t="s">
        <v>859</v>
      </c>
      <c r="M284" t="s">
        <v>13207</v>
      </c>
      <c r="N284" t="s">
        <v>13205</v>
      </c>
      <c r="O284" t="s">
        <v>838</v>
      </c>
      <c r="P284" t="s">
        <v>13547</v>
      </c>
      <c r="Q284" t="s">
        <v>13548</v>
      </c>
      <c r="R284" t="s">
        <v>732</v>
      </c>
      <c r="S284" t="s">
        <v>732</v>
      </c>
      <c r="T284" t="s">
        <v>3421</v>
      </c>
      <c r="U284">
        <v>1</v>
      </c>
      <c r="V284" t="b">
        <v>1</v>
      </c>
      <c r="W284" t="b">
        <v>0</v>
      </c>
      <c r="X284" t="b">
        <v>0</v>
      </c>
      <c r="Y284" t="s">
        <v>13212</v>
      </c>
      <c r="Z284">
        <v>784.3</v>
      </c>
      <c r="AA284" t="s">
        <v>13213</v>
      </c>
      <c r="AB284">
        <v>632.66999999999996</v>
      </c>
      <c r="AC284" t="s">
        <v>13213</v>
      </c>
      <c r="AD284">
        <v>759.2</v>
      </c>
      <c r="AE284" t="s">
        <v>13214</v>
      </c>
      <c r="AF284">
        <v>578.66</v>
      </c>
      <c r="AG284" t="s">
        <v>13213</v>
      </c>
      <c r="AH284">
        <v>483.58</v>
      </c>
      <c r="AI284" t="s">
        <v>13215</v>
      </c>
      <c r="AJ284">
        <v>949</v>
      </c>
      <c r="AK284" t="s">
        <v>13213</v>
      </c>
    </row>
    <row r="285" spans="1:37" x14ac:dyDescent="0.25">
      <c r="A285" t="s">
        <v>731</v>
      </c>
      <c r="B285" t="s">
        <v>13205</v>
      </c>
      <c r="C285" t="b">
        <v>0</v>
      </c>
      <c r="D285" t="b">
        <v>0</v>
      </c>
      <c r="E285">
        <v>1</v>
      </c>
      <c r="F285">
        <v>1</v>
      </c>
      <c r="G285">
        <v>1</v>
      </c>
      <c r="H285" t="s">
        <v>860</v>
      </c>
      <c r="I285">
        <v>6</v>
      </c>
      <c r="J285">
        <v>113.7</v>
      </c>
      <c r="K285">
        <v>0</v>
      </c>
      <c r="L285" t="s">
        <v>859</v>
      </c>
      <c r="M285" t="s">
        <v>833</v>
      </c>
      <c r="N285" t="s">
        <v>13205</v>
      </c>
      <c r="O285" t="s">
        <v>838</v>
      </c>
      <c r="P285" t="s">
        <v>13547</v>
      </c>
      <c r="Q285" t="s">
        <v>13548</v>
      </c>
      <c r="R285" t="s">
        <v>732</v>
      </c>
      <c r="S285" t="s">
        <v>732</v>
      </c>
      <c r="T285" t="s">
        <v>3422</v>
      </c>
      <c r="U285">
        <v>0</v>
      </c>
      <c r="V285" t="b">
        <v>1</v>
      </c>
      <c r="W285" t="b">
        <v>1</v>
      </c>
      <c r="X285" t="b">
        <v>0</v>
      </c>
      <c r="Y285" t="s">
        <v>13212</v>
      </c>
    </row>
    <row r="286" spans="1:37" x14ac:dyDescent="0.25">
      <c r="A286" t="s">
        <v>34</v>
      </c>
      <c r="B286" t="s">
        <v>13205</v>
      </c>
      <c r="C286" t="b">
        <v>1</v>
      </c>
      <c r="D286" t="b">
        <v>1</v>
      </c>
      <c r="E286">
        <v>1</v>
      </c>
      <c r="F286">
        <v>1</v>
      </c>
      <c r="G286">
        <v>1</v>
      </c>
      <c r="H286" t="s">
        <v>860</v>
      </c>
      <c r="I286">
        <v>0</v>
      </c>
      <c r="J286">
        <v>111.9</v>
      </c>
      <c r="K286">
        <v>0</v>
      </c>
      <c r="L286" t="s">
        <v>859</v>
      </c>
      <c r="M286" t="s">
        <v>13207</v>
      </c>
      <c r="N286" t="s">
        <v>13205</v>
      </c>
      <c r="O286" t="s">
        <v>838</v>
      </c>
      <c r="P286" t="s">
        <v>13532</v>
      </c>
      <c r="Q286" t="s">
        <v>13533</v>
      </c>
      <c r="R286" t="s">
        <v>722</v>
      </c>
      <c r="S286" t="s">
        <v>722</v>
      </c>
      <c r="T286" t="s">
        <v>3426</v>
      </c>
      <c r="U286">
        <v>1</v>
      </c>
      <c r="V286" t="b">
        <v>1</v>
      </c>
      <c r="W286" t="b">
        <v>0</v>
      </c>
      <c r="X286" t="b">
        <v>0</v>
      </c>
      <c r="Y286" t="s">
        <v>13212</v>
      </c>
      <c r="Z286">
        <v>685.12</v>
      </c>
      <c r="AA286" t="s">
        <v>13213</v>
      </c>
      <c r="AB286">
        <v>552.66999999999996</v>
      </c>
      <c r="AC286" t="s">
        <v>13213</v>
      </c>
      <c r="AD286">
        <v>663.2</v>
      </c>
      <c r="AE286" t="s">
        <v>13214</v>
      </c>
      <c r="AF286">
        <v>505.49</v>
      </c>
      <c r="AG286" t="s">
        <v>13213</v>
      </c>
      <c r="AH286">
        <v>425.25</v>
      </c>
      <c r="AI286" t="s">
        <v>13215</v>
      </c>
      <c r="AJ286">
        <v>829</v>
      </c>
      <c r="AK286" t="s">
        <v>13213</v>
      </c>
    </row>
    <row r="287" spans="1:37" x14ac:dyDescent="0.25">
      <c r="A287" t="s">
        <v>721</v>
      </c>
      <c r="B287" t="s">
        <v>13205</v>
      </c>
      <c r="C287" t="b">
        <v>0</v>
      </c>
      <c r="D287" t="b">
        <v>0</v>
      </c>
      <c r="E287">
        <v>1</v>
      </c>
      <c r="F287">
        <v>1</v>
      </c>
      <c r="G287">
        <v>1</v>
      </c>
      <c r="H287" t="s">
        <v>860</v>
      </c>
      <c r="I287">
        <v>6</v>
      </c>
      <c r="J287">
        <v>111.9</v>
      </c>
      <c r="K287">
        <v>0</v>
      </c>
      <c r="L287" t="s">
        <v>859</v>
      </c>
      <c r="M287" t="s">
        <v>833</v>
      </c>
      <c r="N287" t="s">
        <v>13205</v>
      </c>
      <c r="O287" t="s">
        <v>838</v>
      </c>
      <c r="P287" t="s">
        <v>13532</v>
      </c>
      <c r="Q287" t="s">
        <v>13533</v>
      </c>
      <c r="R287" t="s">
        <v>722</v>
      </c>
      <c r="S287" t="s">
        <v>722</v>
      </c>
      <c r="T287" t="s">
        <v>3427</v>
      </c>
      <c r="U287">
        <v>0</v>
      </c>
      <c r="V287" t="b">
        <v>1</v>
      </c>
      <c r="W287" t="b">
        <v>1</v>
      </c>
      <c r="X287" t="b">
        <v>0</v>
      </c>
      <c r="Y287" t="s">
        <v>13212</v>
      </c>
    </row>
    <row r="288" spans="1:37" x14ac:dyDescent="0.25">
      <c r="A288" t="s">
        <v>62</v>
      </c>
      <c r="B288" t="s">
        <v>13205</v>
      </c>
      <c r="C288" t="b">
        <v>1</v>
      </c>
      <c r="D288" t="b">
        <v>1</v>
      </c>
      <c r="E288">
        <v>1</v>
      </c>
      <c r="F288">
        <v>1</v>
      </c>
      <c r="G288">
        <v>1</v>
      </c>
      <c r="H288" t="s">
        <v>860</v>
      </c>
      <c r="I288">
        <v>0</v>
      </c>
      <c r="J288">
        <v>108.2</v>
      </c>
      <c r="K288">
        <v>0</v>
      </c>
      <c r="L288" t="s">
        <v>859</v>
      </c>
      <c r="M288" t="s">
        <v>13207</v>
      </c>
      <c r="N288" t="s">
        <v>13205</v>
      </c>
      <c r="O288" t="s">
        <v>838</v>
      </c>
      <c r="P288" t="s">
        <v>13517</v>
      </c>
      <c r="Q288" t="s">
        <v>13518</v>
      </c>
      <c r="R288" t="s">
        <v>750</v>
      </c>
      <c r="S288" t="s">
        <v>750</v>
      </c>
      <c r="T288" t="s">
        <v>3428</v>
      </c>
      <c r="U288">
        <v>1</v>
      </c>
      <c r="V288" t="b">
        <v>1</v>
      </c>
      <c r="W288" t="b">
        <v>0</v>
      </c>
      <c r="X288" t="b">
        <v>0</v>
      </c>
      <c r="Y288" t="s">
        <v>13212</v>
      </c>
      <c r="Z288">
        <v>784.3</v>
      </c>
      <c r="AA288" t="s">
        <v>13213</v>
      </c>
      <c r="AB288">
        <v>632.66999999999996</v>
      </c>
      <c r="AC288" t="s">
        <v>13213</v>
      </c>
      <c r="AD288">
        <v>759.2</v>
      </c>
      <c r="AE288" t="s">
        <v>13214</v>
      </c>
      <c r="AF288">
        <v>578.66</v>
      </c>
      <c r="AG288" t="s">
        <v>13213</v>
      </c>
      <c r="AH288">
        <v>483.58</v>
      </c>
      <c r="AI288" t="s">
        <v>13215</v>
      </c>
      <c r="AJ288">
        <v>949</v>
      </c>
      <c r="AK288" t="s">
        <v>13213</v>
      </c>
    </row>
    <row r="289" spans="1:37" x14ac:dyDescent="0.25">
      <c r="A289" t="s">
        <v>749</v>
      </c>
      <c r="B289" t="s">
        <v>13205</v>
      </c>
      <c r="C289" t="b">
        <v>0</v>
      </c>
      <c r="D289" t="b">
        <v>0</v>
      </c>
      <c r="E289">
        <v>1</v>
      </c>
      <c r="F289">
        <v>1</v>
      </c>
      <c r="G289">
        <v>1</v>
      </c>
      <c r="H289" t="s">
        <v>860</v>
      </c>
      <c r="I289">
        <v>6</v>
      </c>
      <c r="J289">
        <v>108.2</v>
      </c>
      <c r="K289">
        <v>0</v>
      </c>
      <c r="L289" t="s">
        <v>859</v>
      </c>
      <c r="M289" t="s">
        <v>833</v>
      </c>
      <c r="N289" t="s">
        <v>13205</v>
      </c>
      <c r="O289" t="s">
        <v>838</v>
      </c>
      <c r="P289" t="s">
        <v>13517</v>
      </c>
      <c r="Q289" t="s">
        <v>13518</v>
      </c>
      <c r="R289" t="s">
        <v>750</v>
      </c>
      <c r="S289" t="s">
        <v>750</v>
      </c>
      <c r="T289" t="s">
        <v>3429</v>
      </c>
      <c r="U289">
        <v>0</v>
      </c>
      <c r="V289" t="b">
        <v>1</v>
      </c>
      <c r="W289" t="b">
        <v>1</v>
      </c>
      <c r="X289" t="b">
        <v>0</v>
      </c>
      <c r="Y289" t="s">
        <v>13212</v>
      </c>
    </row>
    <row r="290" spans="1:37" x14ac:dyDescent="0.25">
      <c r="A290" t="s">
        <v>54</v>
      </c>
      <c r="B290" t="s">
        <v>13205</v>
      </c>
      <c r="C290" t="b">
        <v>1</v>
      </c>
      <c r="D290" t="b">
        <v>1</v>
      </c>
      <c r="E290">
        <v>1</v>
      </c>
      <c r="F290">
        <v>1</v>
      </c>
      <c r="G290">
        <v>1</v>
      </c>
      <c r="H290" t="s">
        <v>860</v>
      </c>
      <c r="I290">
        <v>0</v>
      </c>
      <c r="J290">
        <v>95.1</v>
      </c>
      <c r="K290">
        <v>0</v>
      </c>
      <c r="L290" t="s">
        <v>859</v>
      </c>
      <c r="M290" t="s">
        <v>13207</v>
      </c>
      <c r="N290" t="s">
        <v>13205</v>
      </c>
      <c r="O290" t="s">
        <v>838</v>
      </c>
      <c r="P290" t="s">
        <v>13610</v>
      </c>
      <c r="Q290" t="s">
        <v>13611</v>
      </c>
      <c r="R290" t="s">
        <v>742</v>
      </c>
      <c r="S290" t="s">
        <v>742</v>
      </c>
      <c r="T290" t="s">
        <v>3430</v>
      </c>
      <c r="U290">
        <v>1</v>
      </c>
      <c r="V290" t="b">
        <v>1</v>
      </c>
      <c r="W290" t="b">
        <v>0</v>
      </c>
      <c r="X290" t="b">
        <v>0</v>
      </c>
      <c r="Y290" t="s">
        <v>13212</v>
      </c>
      <c r="Z290">
        <v>733.88</v>
      </c>
      <c r="AA290" t="s">
        <v>13213</v>
      </c>
      <c r="AB290">
        <v>592</v>
      </c>
      <c r="AC290" t="s">
        <v>13213</v>
      </c>
      <c r="AD290">
        <v>710.4</v>
      </c>
      <c r="AE290" t="s">
        <v>13214</v>
      </c>
      <c r="AF290">
        <v>541.46</v>
      </c>
      <c r="AG290" t="s">
        <v>13213</v>
      </c>
      <c r="AH290">
        <v>454.42</v>
      </c>
      <c r="AI290" t="s">
        <v>13215</v>
      </c>
      <c r="AJ290">
        <v>888</v>
      </c>
      <c r="AK290" t="s">
        <v>13213</v>
      </c>
    </row>
    <row r="291" spans="1:37" x14ac:dyDescent="0.25">
      <c r="A291" t="s">
        <v>741</v>
      </c>
      <c r="B291" t="s">
        <v>13205</v>
      </c>
      <c r="C291" t="b">
        <v>0</v>
      </c>
      <c r="D291" t="b">
        <v>0</v>
      </c>
      <c r="E291">
        <v>1</v>
      </c>
      <c r="F291">
        <v>1</v>
      </c>
      <c r="G291">
        <v>1</v>
      </c>
      <c r="H291" t="s">
        <v>860</v>
      </c>
      <c r="I291">
        <v>6</v>
      </c>
      <c r="J291">
        <v>95.1</v>
      </c>
      <c r="K291">
        <v>0</v>
      </c>
      <c r="L291" t="s">
        <v>859</v>
      </c>
      <c r="M291" t="s">
        <v>833</v>
      </c>
      <c r="N291" t="s">
        <v>13205</v>
      </c>
      <c r="O291" t="s">
        <v>838</v>
      </c>
      <c r="P291" t="s">
        <v>13610</v>
      </c>
      <c r="Q291" t="s">
        <v>13611</v>
      </c>
      <c r="R291" t="s">
        <v>742</v>
      </c>
      <c r="S291" t="s">
        <v>742</v>
      </c>
      <c r="T291" t="s">
        <v>3431</v>
      </c>
      <c r="U291">
        <v>0</v>
      </c>
      <c r="V291" t="b">
        <v>1</v>
      </c>
      <c r="W291" t="b">
        <v>1</v>
      </c>
      <c r="X291" t="b">
        <v>0</v>
      </c>
      <c r="Y291" t="s">
        <v>13212</v>
      </c>
    </row>
    <row r="292" spans="1:37" x14ac:dyDescent="0.25">
      <c r="A292" t="s">
        <v>576</v>
      </c>
      <c r="B292" t="s">
        <v>13205</v>
      </c>
      <c r="C292" t="b">
        <v>0</v>
      </c>
      <c r="D292" t="b">
        <v>0</v>
      </c>
      <c r="E292">
        <v>56</v>
      </c>
      <c r="F292">
        <v>166</v>
      </c>
      <c r="G292">
        <v>32</v>
      </c>
      <c r="H292" t="s">
        <v>860</v>
      </c>
      <c r="I292">
        <v>6</v>
      </c>
      <c r="J292">
        <v>87.2</v>
      </c>
      <c r="K292">
        <v>7.1</v>
      </c>
      <c r="L292" t="s">
        <v>859</v>
      </c>
      <c r="M292" t="s">
        <v>13207</v>
      </c>
      <c r="N292" t="s">
        <v>917</v>
      </c>
      <c r="O292" t="s">
        <v>838</v>
      </c>
      <c r="P292" t="s">
        <v>577</v>
      </c>
      <c r="Q292" t="s">
        <v>577</v>
      </c>
      <c r="R292" t="s">
        <v>577</v>
      </c>
      <c r="S292" t="s">
        <v>577</v>
      </c>
      <c r="T292" t="s">
        <v>3444</v>
      </c>
      <c r="U292">
        <v>0</v>
      </c>
      <c r="V292" t="b">
        <v>0</v>
      </c>
      <c r="W292" t="b">
        <v>0</v>
      </c>
      <c r="X292" t="b">
        <v>0</v>
      </c>
      <c r="Y292" t="s">
        <v>13212</v>
      </c>
      <c r="Z292">
        <v>544.63</v>
      </c>
      <c r="AA292" t="s">
        <v>13213</v>
      </c>
      <c r="AB292">
        <v>439.33</v>
      </c>
      <c r="AC292" t="s">
        <v>13213</v>
      </c>
      <c r="AD292">
        <v>527.20000000000005</v>
      </c>
      <c r="AE292" t="s">
        <v>13214</v>
      </c>
      <c r="AF292">
        <v>401.83</v>
      </c>
      <c r="AG292" t="s">
        <v>13213</v>
      </c>
      <c r="AH292">
        <v>364.58</v>
      </c>
      <c r="AI292" t="s">
        <v>13215</v>
      </c>
      <c r="AJ292">
        <v>659</v>
      </c>
      <c r="AK292" t="s">
        <v>13213</v>
      </c>
    </row>
    <row r="293" spans="1:37" x14ac:dyDescent="0.25">
      <c r="A293" t="s">
        <v>3446</v>
      </c>
      <c r="B293" t="s">
        <v>13205</v>
      </c>
      <c r="C293" t="b">
        <v>0</v>
      </c>
      <c r="D293" t="b">
        <v>0</v>
      </c>
      <c r="E293">
        <v>56</v>
      </c>
      <c r="F293">
        <v>166</v>
      </c>
      <c r="G293">
        <v>32</v>
      </c>
      <c r="H293" t="s">
        <v>860</v>
      </c>
      <c r="I293">
        <v>6</v>
      </c>
      <c r="J293">
        <v>87.2</v>
      </c>
      <c r="K293">
        <v>7.1</v>
      </c>
      <c r="L293" t="s">
        <v>859</v>
      </c>
      <c r="M293" t="s">
        <v>833</v>
      </c>
      <c r="N293" t="s">
        <v>917</v>
      </c>
      <c r="O293" t="s">
        <v>838</v>
      </c>
      <c r="P293" t="s">
        <v>577</v>
      </c>
      <c r="Q293" t="s">
        <v>577</v>
      </c>
      <c r="R293" t="s">
        <v>577</v>
      </c>
      <c r="S293" t="s">
        <v>577</v>
      </c>
      <c r="T293" t="s">
        <v>3445</v>
      </c>
      <c r="U293">
        <v>0</v>
      </c>
      <c r="V293" t="b">
        <v>1</v>
      </c>
      <c r="W293" t="b">
        <v>1</v>
      </c>
      <c r="X293" t="b">
        <v>0</v>
      </c>
      <c r="Y293" t="s">
        <v>13212</v>
      </c>
    </row>
    <row r="294" spans="1:37" x14ac:dyDescent="0.25">
      <c r="A294" t="s">
        <v>356</v>
      </c>
      <c r="B294" t="s">
        <v>13205</v>
      </c>
      <c r="C294" t="b">
        <v>1</v>
      </c>
      <c r="D294" t="b">
        <v>1</v>
      </c>
      <c r="E294">
        <v>56</v>
      </c>
      <c r="F294">
        <v>166</v>
      </c>
      <c r="G294">
        <v>32</v>
      </c>
      <c r="H294" t="s">
        <v>860</v>
      </c>
      <c r="I294">
        <v>6</v>
      </c>
      <c r="J294">
        <v>87.2</v>
      </c>
      <c r="K294">
        <v>7.1</v>
      </c>
      <c r="L294" t="s">
        <v>859</v>
      </c>
      <c r="M294" t="s">
        <v>13207</v>
      </c>
      <c r="N294" t="s">
        <v>917</v>
      </c>
      <c r="O294" t="s">
        <v>838</v>
      </c>
      <c r="P294" t="s">
        <v>357</v>
      </c>
      <c r="Q294" t="s">
        <v>357</v>
      </c>
      <c r="R294" t="s">
        <v>357</v>
      </c>
      <c r="S294" t="s">
        <v>357</v>
      </c>
      <c r="T294" t="s">
        <v>370</v>
      </c>
      <c r="U294">
        <v>100</v>
      </c>
      <c r="V294" t="b">
        <v>0</v>
      </c>
      <c r="W294" t="b">
        <v>0</v>
      </c>
      <c r="X294" t="b">
        <v>0</v>
      </c>
      <c r="Y294" t="s">
        <v>13212</v>
      </c>
      <c r="Z294">
        <v>544.63</v>
      </c>
      <c r="AA294" t="s">
        <v>13213</v>
      </c>
      <c r="AB294">
        <v>439.33</v>
      </c>
      <c r="AC294" t="s">
        <v>13213</v>
      </c>
      <c r="AD294">
        <v>527.20000000000005</v>
      </c>
      <c r="AE294" t="s">
        <v>13214</v>
      </c>
      <c r="AF294">
        <v>401.83</v>
      </c>
      <c r="AG294" t="s">
        <v>13213</v>
      </c>
      <c r="AH294">
        <v>364.58</v>
      </c>
      <c r="AI294" t="s">
        <v>13215</v>
      </c>
      <c r="AJ294">
        <v>659</v>
      </c>
      <c r="AK294" t="s">
        <v>13213</v>
      </c>
    </row>
    <row r="295" spans="1:37" x14ac:dyDescent="0.25">
      <c r="A295" t="s">
        <v>3448</v>
      </c>
      <c r="B295" t="s">
        <v>13205</v>
      </c>
      <c r="C295" t="b">
        <v>0</v>
      </c>
      <c r="D295" t="b">
        <v>0</v>
      </c>
      <c r="E295">
        <v>56</v>
      </c>
      <c r="F295">
        <v>166</v>
      </c>
      <c r="G295">
        <v>32</v>
      </c>
      <c r="H295" t="s">
        <v>860</v>
      </c>
      <c r="I295">
        <v>6</v>
      </c>
      <c r="J295">
        <v>87.2</v>
      </c>
      <c r="K295">
        <v>7.1</v>
      </c>
      <c r="L295" t="s">
        <v>859</v>
      </c>
      <c r="M295" t="s">
        <v>833</v>
      </c>
      <c r="N295" t="s">
        <v>917</v>
      </c>
      <c r="O295" t="s">
        <v>838</v>
      </c>
      <c r="P295" t="s">
        <v>3449</v>
      </c>
      <c r="Q295" t="s">
        <v>3449</v>
      </c>
      <c r="R295" t="s">
        <v>3449</v>
      </c>
      <c r="S295" t="s">
        <v>3449</v>
      </c>
      <c r="T295" t="s">
        <v>3447</v>
      </c>
      <c r="U295">
        <v>0</v>
      </c>
      <c r="V295" t="b">
        <v>1</v>
      </c>
      <c r="W295" t="b">
        <v>1</v>
      </c>
      <c r="X295" t="b">
        <v>0</v>
      </c>
      <c r="Y295" t="s">
        <v>13212</v>
      </c>
    </row>
    <row r="296" spans="1:37" x14ac:dyDescent="0.25">
      <c r="A296" t="s">
        <v>287</v>
      </c>
      <c r="B296" t="s">
        <v>13205</v>
      </c>
      <c r="C296" t="b">
        <v>1</v>
      </c>
      <c r="D296" t="b">
        <v>1</v>
      </c>
      <c r="E296">
        <v>31</v>
      </c>
      <c r="F296">
        <v>155</v>
      </c>
      <c r="G296">
        <v>56</v>
      </c>
      <c r="H296" t="s">
        <v>860</v>
      </c>
      <c r="I296">
        <v>6</v>
      </c>
      <c r="J296">
        <v>70.3</v>
      </c>
      <c r="K296">
        <v>8.9</v>
      </c>
      <c r="L296" t="s">
        <v>859</v>
      </c>
      <c r="M296" t="s">
        <v>13207</v>
      </c>
      <c r="N296" t="s">
        <v>917</v>
      </c>
      <c r="O296" t="s">
        <v>838</v>
      </c>
      <c r="P296" t="s">
        <v>578</v>
      </c>
      <c r="Q296" t="s">
        <v>578</v>
      </c>
      <c r="R296" t="s">
        <v>578</v>
      </c>
      <c r="S296" t="s">
        <v>578</v>
      </c>
      <c r="T296" t="s">
        <v>318</v>
      </c>
      <c r="U296">
        <v>50</v>
      </c>
      <c r="V296" t="b">
        <v>0</v>
      </c>
      <c r="W296" t="b">
        <v>0</v>
      </c>
      <c r="X296" t="b">
        <v>0</v>
      </c>
      <c r="Y296" t="s">
        <v>13212</v>
      </c>
      <c r="Z296">
        <v>503.31</v>
      </c>
      <c r="AA296" t="s">
        <v>13213</v>
      </c>
      <c r="AB296">
        <v>406</v>
      </c>
      <c r="AC296" t="s">
        <v>13213</v>
      </c>
      <c r="AD296">
        <v>487.2</v>
      </c>
      <c r="AE296" t="s">
        <v>13214</v>
      </c>
      <c r="AF296">
        <v>371.34</v>
      </c>
      <c r="AG296" t="s">
        <v>13213</v>
      </c>
      <c r="AH296">
        <v>308.58</v>
      </c>
      <c r="AI296" t="s">
        <v>13215</v>
      </c>
      <c r="AJ296">
        <v>609</v>
      </c>
      <c r="AK296" t="s">
        <v>13213</v>
      </c>
    </row>
    <row r="297" spans="1:37" x14ac:dyDescent="0.25">
      <c r="A297" t="s">
        <v>799</v>
      </c>
      <c r="B297" t="s">
        <v>13205</v>
      </c>
      <c r="C297" t="b">
        <v>0</v>
      </c>
      <c r="D297" t="b">
        <v>0</v>
      </c>
      <c r="E297">
        <v>56</v>
      </c>
      <c r="F297">
        <v>155</v>
      </c>
      <c r="G297">
        <v>31</v>
      </c>
      <c r="H297" t="s">
        <v>860</v>
      </c>
      <c r="I297">
        <v>6</v>
      </c>
      <c r="J297">
        <v>70.3</v>
      </c>
      <c r="K297">
        <v>8.9</v>
      </c>
      <c r="L297" t="s">
        <v>859</v>
      </c>
      <c r="M297" t="s">
        <v>833</v>
      </c>
      <c r="N297" t="s">
        <v>917</v>
      </c>
      <c r="O297" t="s">
        <v>838</v>
      </c>
      <c r="P297" t="s">
        <v>800</v>
      </c>
      <c r="Q297" t="s">
        <v>800</v>
      </c>
      <c r="R297" t="s">
        <v>800</v>
      </c>
      <c r="S297" t="s">
        <v>800</v>
      </c>
      <c r="T297" t="s">
        <v>3457</v>
      </c>
      <c r="U297">
        <v>0</v>
      </c>
      <c r="V297" t="b">
        <v>1</v>
      </c>
      <c r="W297" t="b">
        <v>1</v>
      </c>
      <c r="X297" t="b">
        <v>0</v>
      </c>
      <c r="Y297" t="s">
        <v>13212</v>
      </c>
    </row>
    <row r="298" spans="1:37" x14ac:dyDescent="0.25">
      <c r="A298" t="s">
        <v>282</v>
      </c>
      <c r="B298" t="s">
        <v>13205</v>
      </c>
      <c r="C298" t="b">
        <v>1</v>
      </c>
      <c r="D298" t="b">
        <v>1</v>
      </c>
      <c r="E298">
        <v>56</v>
      </c>
      <c r="F298">
        <v>155</v>
      </c>
      <c r="G298">
        <v>31</v>
      </c>
      <c r="H298" t="s">
        <v>860</v>
      </c>
      <c r="I298">
        <v>6</v>
      </c>
      <c r="J298">
        <v>70.3</v>
      </c>
      <c r="K298">
        <v>8.9</v>
      </c>
      <c r="L298" t="s">
        <v>859</v>
      </c>
      <c r="M298" t="s">
        <v>13207</v>
      </c>
      <c r="N298" t="s">
        <v>917</v>
      </c>
      <c r="O298" t="s">
        <v>838</v>
      </c>
      <c r="P298" t="s">
        <v>283</v>
      </c>
      <c r="Q298" t="s">
        <v>283</v>
      </c>
      <c r="R298" t="s">
        <v>283</v>
      </c>
      <c r="S298" t="s">
        <v>283</v>
      </c>
      <c r="T298" t="s">
        <v>319</v>
      </c>
      <c r="U298">
        <v>100</v>
      </c>
      <c r="V298" t="b">
        <v>0</v>
      </c>
      <c r="W298" t="b">
        <v>0</v>
      </c>
      <c r="X298" t="b">
        <v>0</v>
      </c>
      <c r="Y298" t="s">
        <v>13212</v>
      </c>
      <c r="Z298">
        <v>503.31</v>
      </c>
      <c r="AA298" t="s">
        <v>13213</v>
      </c>
      <c r="AB298">
        <v>406</v>
      </c>
      <c r="AC298" t="s">
        <v>13213</v>
      </c>
      <c r="AD298">
        <v>487.2</v>
      </c>
      <c r="AE298" t="s">
        <v>13214</v>
      </c>
      <c r="AF298">
        <v>371.34</v>
      </c>
      <c r="AG298" t="s">
        <v>13213</v>
      </c>
      <c r="AH298">
        <v>308.58</v>
      </c>
      <c r="AI298" t="s">
        <v>13215</v>
      </c>
      <c r="AJ298">
        <v>609</v>
      </c>
      <c r="AK298" t="s">
        <v>13213</v>
      </c>
    </row>
    <row r="299" spans="1:37" x14ac:dyDescent="0.25">
      <c r="A299" t="s">
        <v>795</v>
      </c>
      <c r="B299" t="s">
        <v>13205</v>
      </c>
      <c r="C299" t="b">
        <v>0</v>
      </c>
      <c r="D299" t="b">
        <v>0</v>
      </c>
      <c r="E299">
        <v>56</v>
      </c>
      <c r="F299">
        <v>155</v>
      </c>
      <c r="G299">
        <v>31</v>
      </c>
      <c r="H299" t="s">
        <v>860</v>
      </c>
      <c r="I299">
        <v>6</v>
      </c>
      <c r="J299">
        <v>70.3</v>
      </c>
      <c r="K299">
        <v>8.9</v>
      </c>
      <c r="L299" t="s">
        <v>859</v>
      </c>
      <c r="M299" t="s">
        <v>833</v>
      </c>
      <c r="N299" t="s">
        <v>917</v>
      </c>
      <c r="O299" t="s">
        <v>838</v>
      </c>
      <c r="P299" t="s">
        <v>283</v>
      </c>
      <c r="Q299" t="s">
        <v>283</v>
      </c>
      <c r="R299" t="s">
        <v>283</v>
      </c>
      <c r="S299" t="s">
        <v>283</v>
      </c>
      <c r="T299" t="s">
        <v>3458</v>
      </c>
      <c r="U299">
        <v>0</v>
      </c>
      <c r="V299" t="b">
        <v>1</v>
      </c>
      <c r="W299" t="b">
        <v>1</v>
      </c>
      <c r="X299" t="b">
        <v>0</v>
      </c>
      <c r="Y299" t="s">
        <v>13212</v>
      </c>
    </row>
    <row r="300" spans="1:37" x14ac:dyDescent="0.25">
      <c r="A300" t="s">
        <v>441</v>
      </c>
      <c r="B300" t="s">
        <v>13205</v>
      </c>
      <c r="C300" t="b">
        <v>1</v>
      </c>
      <c r="D300" t="b">
        <v>1</v>
      </c>
      <c r="E300">
        <v>1</v>
      </c>
      <c r="F300">
        <v>1</v>
      </c>
      <c r="G300">
        <v>1</v>
      </c>
      <c r="H300" t="s">
        <v>860</v>
      </c>
      <c r="I300">
        <v>1</v>
      </c>
      <c r="J300">
        <v>108.2</v>
      </c>
      <c r="K300">
        <v>0</v>
      </c>
      <c r="L300" t="s">
        <v>13205</v>
      </c>
      <c r="M300" t="s">
        <v>13207</v>
      </c>
      <c r="N300" t="s">
        <v>13205</v>
      </c>
      <c r="O300" t="s">
        <v>838</v>
      </c>
      <c r="P300" t="s">
        <v>13726</v>
      </c>
      <c r="Q300" t="s">
        <v>13727</v>
      </c>
      <c r="R300" t="s">
        <v>450</v>
      </c>
      <c r="S300" t="s">
        <v>450</v>
      </c>
      <c r="T300" t="s">
        <v>440</v>
      </c>
      <c r="U300">
        <v>0</v>
      </c>
      <c r="V300" t="b">
        <v>1</v>
      </c>
      <c r="W300" t="b">
        <v>0</v>
      </c>
      <c r="X300" t="b">
        <v>0</v>
      </c>
      <c r="Y300" t="s">
        <v>13212</v>
      </c>
      <c r="Z300">
        <v>784.3</v>
      </c>
      <c r="AA300" t="s">
        <v>13213</v>
      </c>
      <c r="AB300">
        <v>632.66999999999996</v>
      </c>
      <c r="AC300" t="s">
        <v>13213</v>
      </c>
      <c r="AD300">
        <v>759.2</v>
      </c>
      <c r="AE300" t="s">
        <v>13214</v>
      </c>
      <c r="AF300">
        <v>578.66</v>
      </c>
      <c r="AG300" t="s">
        <v>13213</v>
      </c>
      <c r="AH300">
        <v>483.58</v>
      </c>
      <c r="AI300" t="s">
        <v>13215</v>
      </c>
      <c r="AJ300">
        <v>949</v>
      </c>
      <c r="AK300" t="s">
        <v>13213</v>
      </c>
    </row>
    <row r="301" spans="1:37" x14ac:dyDescent="0.25">
      <c r="A301" t="s">
        <v>757</v>
      </c>
      <c r="B301" t="s">
        <v>13205</v>
      </c>
      <c r="C301" t="b">
        <v>0</v>
      </c>
      <c r="D301" t="b">
        <v>0</v>
      </c>
      <c r="E301">
        <v>1</v>
      </c>
      <c r="F301">
        <v>1</v>
      </c>
      <c r="G301">
        <v>1</v>
      </c>
      <c r="H301" t="s">
        <v>860</v>
      </c>
      <c r="I301">
        <v>6</v>
      </c>
      <c r="J301">
        <v>108.2</v>
      </c>
      <c r="K301">
        <v>0</v>
      </c>
      <c r="L301" t="s">
        <v>859</v>
      </c>
      <c r="M301" t="s">
        <v>833</v>
      </c>
      <c r="N301" t="s">
        <v>13205</v>
      </c>
      <c r="O301" t="s">
        <v>838</v>
      </c>
      <c r="P301" t="s">
        <v>13726</v>
      </c>
      <c r="Q301" t="s">
        <v>13727</v>
      </c>
      <c r="R301" t="s">
        <v>450</v>
      </c>
      <c r="S301" t="s">
        <v>450</v>
      </c>
      <c r="T301" t="s">
        <v>3460</v>
      </c>
      <c r="U301">
        <v>0</v>
      </c>
      <c r="V301" t="b">
        <v>1</v>
      </c>
      <c r="W301" t="b">
        <v>1</v>
      </c>
      <c r="X301" t="b">
        <v>0</v>
      </c>
      <c r="Y301" t="s">
        <v>13212</v>
      </c>
    </row>
    <row r="302" spans="1:37" x14ac:dyDescent="0.25">
      <c r="A302" t="s">
        <v>443</v>
      </c>
      <c r="B302" t="s">
        <v>13205</v>
      </c>
      <c r="C302" t="b">
        <v>1</v>
      </c>
      <c r="D302" t="b">
        <v>1</v>
      </c>
      <c r="E302">
        <v>1</v>
      </c>
      <c r="F302">
        <v>1</v>
      </c>
      <c r="G302">
        <v>1</v>
      </c>
      <c r="H302" t="s">
        <v>860</v>
      </c>
      <c r="I302">
        <v>1</v>
      </c>
      <c r="J302">
        <v>95.1</v>
      </c>
      <c r="K302">
        <v>0</v>
      </c>
      <c r="L302" t="s">
        <v>13205</v>
      </c>
      <c r="M302" t="s">
        <v>13207</v>
      </c>
      <c r="N302" t="s">
        <v>13205</v>
      </c>
      <c r="O302" t="s">
        <v>838</v>
      </c>
      <c r="P302" t="s">
        <v>13732</v>
      </c>
      <c r="Q302" t="s">
        <v>13733</v>
      </c>
      <c r="R302" t="s">
        <v>579</v>
      </c>
      <c r="S302" t="s">
        <v>579</v>
      </c>
      <c r="T302" t="s">
        <v>442</v>
      </c>
      <c r="U302">
        <v>0</v>
      </c>
      <c r="V302" t="b">
        <v>1</v>
      </c>
      <c r="W302" t="b">
        <v>0</v>
      </c>
      <c r="X302" t="b">
        <v>0</v>
      </c>
      <c r="Y302" t="s">
        <v>13212</v>
      </c>
      <c r="Z302">
        <v>733.88</v>
      </c>
      <c r="AA302" t="s">
        <v>13213</v>
      </c>
      <c r="AB302">
        <v>592</v>
      </c>
      <c r="AC302" t="s">
        <v>13213</v>
      </c>
      <c r="AD302">
        <v>710.4</v>
      </c>
      <c r="AE302" t="s">
        <v>13214</v>
      </c>
      <c r="AF302">
        <v>541.46</v>
      </c>
      <c r="AG302" t="s">
        <v>13213</v>
      </c>
      <c r="AH302">
        <v>454.42</v>
      </c>
      <c r="AI302" t="s">
        <v>13215</v>
      </c>
      <c r="AJ302">
        <v>888</v>
      </c>
      <c r="AK302" t="s">
        <v>13213</v>
      </c>
    </row>
    <row r="303" spans="1:37" x14ac:dyDescent="0.25">
      <c r="A303" t="s">
        <v>754</v>
      </c>
      <c r="B303" t="s">
        <v>13205</v>
      </c>
      <c r="C303" t="b">
        <v>0</v>
      </c>
      <c r="D303" t="b">
        <v>0</v>
      </c>
      <c r="E303">
        <v>1</v>
      </c>
      <c r="F303">
        <v>1</v>
      </c>
      <c r="G303">
        <v>1</v>
      </c>
      <c r="H303" t="s">
        <v>860</v>
      </c>
      <c r="I303">
        <v>6</v>
      </c>
      <c r="J303">
        <v>95.1</v>
      </c>
      <c r="K303">
        <v>0</v>
      </c>
      <c r="L303" t="s">
        <v>859</v>
      </c>
      <c r="M303" t="s">
        <v>833</v>
      </c>
      <c r="N303" t="s">
        <v>13205</v>
      </c>
      <c r="O303" t="s">
        <v>838</v>
      </c>
      <c r="P303" t="s">
        <v>13732</v>
      </c>
      <c r="Q303" t="s">
        <v>13733</v>
      </c>
      <c r="R303" t="s">
        <v>579</v>
      </c>
      <c r="S303" t="s">
        <v>579</v>
      </c>
      <c r="T303" t="s">
        <v>3462</v>
      </c>
      <c r="U303">
        <v>0</v>
      </c>
      <c r="V303" t="b">
        <v>1</v>
      </c>
      <c r="W303" t="b">
        <v>1</v>
      </c>
      <c r="X303" t="b">
        <v>0</v>
      </c>
      <c r="Y303" t="s">
        <v>13212</v>
      </c>
    </row>
    <row r="304" spans="1:37" x14ac:dyDescent="0.25">
      <c r="A304" t="s">
        <v>580</v>
      </c>
      <c r="B304" t="s">
        <v>13205</v>
      </c>
      <c r="C304" t="b">
        <v>1</v>
      </c>
      <c r="D304" t="b">
        <v>0</v>
      </c>
      <c r="E304">
        <v>1</v>
      </c>
      <c r="F304">
        <v>1</v>
      </c>
      <c r="G304">
        <v>1</v>
      </c>
      <c r="H304" t="s">
        <v>860</v>
      </c>
      <c r="I304">
        <v>1</v>
      </c>
      <c r="J304">
        <v>125.1</v>
      </c>
      <c r="K304">
        <v>0</v>
      </c>
      <c r="L304" t="s">
        <v>859</v>
      </c>
      <c r="M304" t="s">
        <v>13207</v>
      </c>
      <c r="N304" t="s">
        <v>13205</v>
      </c>
      <c r="O304" t="s">
        <v>838</v>
      </c>
      <c r="P304" t="s">
        <v>13781</v>
      </c>
      <c r="Q304" t="s">
        <v>13782</v>
      </c>
      <c r="R304" t="s">
        <v>581</v>
      </c>
      <c r="S304" t="s">
        <v>581</v>
      </c>
      <c r="T304" t="s">
        <v>3463</v>
      </c>
      <c r="U304">
        <v>0</v>
      </c>
      <c r="V304" t="b">
        <v>1</v>
      </c>
      <c r="W304" t="b">
        <v>0</v>
      </c>
      <c r="X304" t="b">
        <v>0</v>
      </c>
      <c r="Y304" t="s">
        <v>13212</v>
      </c>
      <c r="Z304">
        <v>784.3</v>
      </c>
      <c r="AA304" t="s">
        <v>13213</v>
      </c>
      <c r="AB304">
        <v>632.66999999999996</v>
      </c>
      <c r="AC304" t="s">
        <v>13213</v>
      </c>
      <c r="AD304">
        <v>759.2</v>
      </c>
      <c r="AE304" t="s">
        <v>13214</v>
      </c>
      <c r="AF304">
        <v>578.66</v>
      </c>
      <c r="AG304" t="s">
        <v>13213</v>
      </c>
      <c r="AH304">
        <v>474.48</v>
      </c>
      <c r="AI304" t="s">
        <v>13215</v>
      </c>
      <c r="AJ304">
        <v>949</v>
      </c>
      <c r="AK304" t="s">
        <v>13213</v>
      </c>
    </row>
    <row r="305" spans="1:37" x14ac:dyDescent="0.25">
      <c r="A305" t="s">
        <v>766</v>
      </c>
      <c r="B305" t="s">
        <v>13205</v>
      </c>
      <c r="C305" t="b">
        <v>0</v>
      </c>
      <c r="D305" t="b">
        <v>0</v>
      </c>
      <c r="E305">
        <v>1</v>
      </c>
      <c r="F305">
        <v>1</v>
      </c>
      <c r="G305">
        <v>1</v>
      </c>
      <c r="H305" t="s">
        <v>860</v>
      </c>
      <c r="I305">
        <v>6</v>
      </c>
      <c r="J305">
        <v>113.7</v>
      </c>
      <c r="K305">
        <v>0</v>
      </c>
      <c r="L305" t="s">
        <v>859</v>
      </c>
      <c r="M305" t="s">
        <v>833</v>
      </c>
      <c r="N305" t="s">
        <v>13205</v>
      </c>
      <c r="O305" t="s">
        <v>838</v>
      </c>
      <c r="P305" t="s">
        <v>13781</v>
      </c>
      <c r="Q305" t="s">
        <v>13782</v>
      </c>
      <c r="R305" t="s">
        <v>581</v>
      </c>
      <c r="S305" t="s">
        <v>581</v>
      </c>
      <c r="T305" t="s">
        <v>3464</v>
      </c>
      <c r="U305">
        <v>0</v>
      </c>
      <c r="V305" t="b">
        <v>1</v>
      </c>
      <c r="W305" t="b">
        <v>1</v>
      </c>
      <c r="X305" t="b">
        <v>0</v>
      </c>
      <c r="Y305" t="s">
        <v>13212</v>
      </c>
    </row>
    <row r="306" spans="1:37" x14ac:dyDescent="0.25">
      <c r="A306" t="s">
        <v>761</v>
      </c>
      <c r="B306" t="s">
        <v>13205</v>
      </c>
      <c r="C306" t="b">
        <v>0</v>
      </c>
      <c r="D306" t="b">
        <v>0</v>
      </c>
      <c r="E306">
        <v>1</v>
      </c>
      <c r="F306">
        <v>1</v>
      </c>
      <c r="G306">
        <v>1</v>
      </c>
      <c r="H306" t="s">
        <v>860</v>
      </c>
      <c r="I306">
        <v>6</v>
      </c>
      <c r="J306">
        <v>111.9</v>
      </c>
      <c r="K306">
        <v>0</v>
      </c>
      <c r="L306" t="s">
        <v>859</v>
      </c>
      <c r="M306" t="s">
        <v>833</v>
      </c>
      <c r="N306" t="s">
        <v>13205</v>
      </c>
      <c r="O306" t="s">
        <v>838</v>
      </c>
      <c r="P306" t="s">
        <v>13868</v>
      </c>
      <c r="Q306" t="s">
        <v>13869</v>
      </c>
      <c r="R306" t="s">
        <v>762</v>
      </c>
      <c r="S306" t="s">
        <v>762</v>
      </c>
      <c r="T306" t="s">
        <v>3465</v>
      </c>
      <c r="U306">
        <v>0</v>
      </c>
      <c r="V306" t="b">
        <v>1</v>
      </c>
      <c r="W306" t="b">
        <v>1</v>
      </c>
      <c r="X306" t="b">
        <v>0</v>
      </c>
      <c r="Y306" t="s">
        <v>13212</v>
      </c>
    </row>
    <row r="307" spans="1:37" x14ac:dyDescent="0.25">
      <c r="A307" t="s">
        <v>46</v>
      </c>
      <c r="B307" t="s">
        <v>13205</v>
      </c>
      <c r="C307" t="b">
        <v>1</v>
      </c>
      <c r="D307" t="b">
        <v>1</v>
      </c>
      <c r="E307">
        <v>1</v>
      </c>
      <c r="F307">
        <v>1</v>
      </c>
      <c r="G307">
        <v>1</v>
      </c>
      <c r="H307" t="s">
        <v>860</v>
      </c>
      <c r="I307">
        <v>0</v>
      </c>
      <c r="J307">
        <v>135.80000000000001</v>
      </c>
      <c r="K307">
        <v>0</v>
      </c>
      <c r="L307" t="s">
        <v>859</v>
      </c>
      <c r="M307" t="s">
        <v>13207</v>
      </c>
      <c r="N307" t="s">
        <v>13205</v>
      </c>
      <c r="O307" t="s">
        <v>838</v>
      </c>
      <c r="P307" t="s">
        <v>13549</v>
      </c>
      <c r="Q307" t="s">
        <v>13550</v>
      </c>
      <c r="R307" t="s">
        <v>734</v>
      </c>
      <c r="S307" t="s">
        <v>734</v>
      </c>
      <c r="T307" t="s">
        <v>3469</v>
      </c>
      <c r="U307">
        <v>1</v>
      </c>
      <c r="V307" t="b">
        <v>1</v>
      </c>
      <c r="W307" t="b">
        <v>0</v>
      </c>
      <c r="X307" t="b">
        <v>0</v>
      </c>
      <c r="Y307" t="s">
        <v>13212</v>
      </c>
      <c r="Z307">
        <v>866.94</v>
      </c>
      <c r="AA307" t="s">
        <v>13213</v>
      </c>
      <c r="AB307">
        <v>699.33</v>
      </c>
      <c r="AC307" t="s">
        <v>13213</v>
      </c>
      <c r="AD307">
        <v>839.2</v>
      </c>
      <c r="AE307" t="s">
        <v>13214</v>
      </c>
      <c r="AF307">
        <v>639.63</v>
      </c>
      <c r="AG307" t="s">
        <v>13213</v>
      </c>
      <c r="AH307">
        <v>536.08000000000004</v>
      </c>
      <c r="AI307" t="s">
        <v>13215</v>
      </c>
      <c r="AJ307">
        <v>1049</v>
      </c>
      <c r="AK307" t="s">
        <v>13213</v>
      </c>
    </row>
    <row r="308" spans="1:37" x14ac:dyDescent="0.25">
      <c r="A308" t="s">
        <v>733</v>
      </c>
      <c r="B308" t="s">
        <v>13205</v>
      </c>
      <c r="C308" t="b">
        <v>0</v>
      </c>
      <c r="D308" t="b">
        <v>0</v>
      </c>
      <c r="E308">
        <v>1</v>
      </c>
      <c r="F308">
        <v>1</v>
      </c>
      <c r="G308">
        <v>1</v>
      </c>
      <c r="H308" t="s">
        <v>860</v>
      </c>
      <c r="I308">
        <v>6</v>
      </c>
      <c r="J308">
        <v>135.80000000000001</v>
      </c>
      <c r="K308">
        <v>0</v>
      </c>
      <c r="L308" t="s">
        <v>859</v>
      </c>
      <c r="M308" t="s">
        <v>833</v>
      </c>
      <c r="N308" t="s">
        <v>13205</v>
      </c>
      <c r="O308" t="s">
        <v>838</v>
      </c>
      <c r="P308" t="s">
        <v>13549</v>
      </c>
      <c r="Q308" t="s">
        <v>13550</v>
      </c>
      <c r="R308" t="s">
        <v>734</v>
      </c>
      <c r="S308" t="s">
        <v>734</v>
      </c>
      <c r="T308" t="s">
        <v>3470</v>
      </c>
      <c r="U308">
        <v>0</v>
      </c>
      <c r="V308" t="b">
        <v>1</v>
      </c>
      <c r="W308" t="b">
        <v>1</v>
      </c>
      <c r="X308" t="b">
        <v>0</v>
      </c>
      <c r="Y308" t="s">
        <v>13212</v>
      </c>
    </row>
    <row r="309" spans="1:37" x14ac:dyDescent="0.25">
      <c r="A309" t="s">
        <v>48</v>
      </c>
      <c r="B309" t="s">
        <v>13205</v>
      </c>
      <c r="C309" t="b">
        <v>1</v>
      </c>
      <c r="D309" t="b">
        <v>1</v>
      </c>
      <c r="E309">
        <v>1</v>
      </c>
      <c r="F309">
        <v>1</v>
      </c>
      <c r="G309">
        <v>1</v>
      </c>
      <c r="H309" t="s">
        <v>860</v>
      </c>
      <c r="I309">
        <v>0</v>
      </c>
      <c r="J309">
        <v>135.80000000000001</v>
      </c>
      <c r="K309">
        <v>0</v>
      </c>
      <c r="L309" t="s">
        <v>859</v>
      </c>
      <c r="M309" t="s">
        <v>13207</v>
      </c>
      <c r="N309" t="s">
        <v>13205</v>
      </c>
      <c r="O309" t="s">
        <v>838</v>
      </c>
      <c r="P309" t="s">
        <v>13527</v>
      </c>
      <c r="Q309" t="s">
        <v>13528</v>
      </c>
      <c r="R309" t="s">
        <v>736</v>
      </c>
      <c r="S309" t="s">
        <v>736</v>
      </c>
      <c r="T309" t="s">
        <v>3474</v>
      </c>
      <c r="U309">
        <v>1</v>
      </c>
      <c r="V309" t="b">
        <v>1</v>
      </c>
      <c r="W309" t="b">
        <v>0</v>
      </c>
      <c r="X309" t="b">
        <v>0</v>
      </c>
      <c r="Y309" t="s">
        <v>13212</v>
      </c>
      <c r="Z309">
        <v>908.26</v>
      </c>
      <c r="AA309" t="s">
        <v>13213</v>
      </c>
      <c r="AB309">
        <v>732.67</v>
      </c>
      <c r="AC309" t="s">
        <v>13213</v>
      </c>
      <c r="AD309">
        <v>879.2</v>
      </c>
      <c r="AE309" t="s">
        <v>13214</v>
      </c>
      <c r="AF309">
        <v>670.12</v>
      </c>
      <c r="AG309" t="s">
        <v>13213</v>
      </c>
      <c r="AH309">
        <v>565.25</v>
      </c>
      <c r="AI309" t="s">
        <v>13215</v>
      </c>
      <c r="AJ309">
        <v>1099</v>
      </c>
      <c r="AK309" t="s">
        <v>13213</v>
      </c>
    </row>
    <row r="310" spans="1:37" x14ac:dyDescent="0.25">
      <c r="A310" t="s">
        <v>735</v>
      </c>
      <c r="B310" t="s">
        <v>13205</v>
      </c>
      <c r="C310" t="b">
        <v>0</v>
      </c>
      <c r="D310" t="b">
        <v>0</v>
      </c>
      <c r="E310">
        <v>1</v>
      </c>
      <c r="F310">
        <v>1</v>
      </c>
      <c r="G310">
        <v>1</v>
      </c>
      <c r="H310" t="s">
        <v>860</v>
      </c>
      <c r="I310">
        <v>6</v>
      </c>
      <c r="J310">
        <v>135.80000000000001</v>
      </c>
      <c r="K310">
        <v>0</v>
      </c>
      <c r="L310" t="s">
        <v>859</v>
      </c>
      <c r="M310" t="s">
        <v>833</v>
      </c>
      <c r="N310" t="s">
        <v>13205</v>
      </c>
      <c r="O310" t="s">
        <v>838</v>
      </c>
      <c r="P310" t="s">
        <v>13527</v>
      </c>
      <c r="Q310" t="s">
        <v>13528</v>
      </c>
      <c r="R310" t="s">
        <v>736</v>
      </c>
      <c r="S310" t="s">
        <v>736</v>
      </c>
      <c r="T310" t="s">
        <v>3475</v>
      </c>
      <c r="U310">
        <v>0</v>
      </c>
      <c r="V310" t="b">
        <v>1</v>
      </c>
      <c r="W310" t="b">
        <v>1</v>
      </c>
      <c r="X310" t="b">
        <v>0</v>
      </c>
      <c r="Y310" t="s">
        <v>13212</v>
      </c>
    </row>
    <row r="311" spans="1:37" x14ac:dyDescent="0.25">
      <c r="A311" t="s">
        <v>36</v>
      </c>
      <c r="B311" t="s">
        <v>13205</v>
      </c>
      <c r="C311" t="b">
        <v>1</v>
      </c>
      <c r="D311" t="b">
        <v>1</v>
      </c>
      <c r="E311">
        <v>1</v>
      </c>
      <c r="F311">
        <v>1</v>
      </c>
      <c r="G311">
        <v>1</v>
      </c>
      <c r="H311" t="s">
        <v>860</v>
      </c>
      <c r="I311">
        <v>0</v>
      </c>
      <c r="J311">
        <v>122.2</v>
      </c>
      <c r="K311">
        <v>0</v>
      </c>
      <c r="L311" t="s">
        <v>859</v>
      </c>
      <c r="M311" t="s">
        <v>13207</v>
      </c>
      <c r="N311" t="s">
        <v>13205</v>
      </c>
      <c r="O311" t="s">
        <v>838</v>
      </c>
      <c r="P311" t="s">
        <v>13511</v>
      </c>
      <c r="Q311" t="s">
        <v>13512</v>
      </c>
      <c r="R311" t="s">
        <v>724</v>
      </c>
      <c r="S311" t="s">
        <v>724</v>
      </c>
      <c r="T311" t="s">
        <v>3482</v>
      </c>
      <c r="U311">
        <v>1</v>
      </c>
      <c r="V311" t="b">
        <v>1</v>
      </c>
      <c r="W311" t="b">
        <v>0</v>
      </c>
      <c r="X311" t="b">
        <v>0</v>
      </c>
      <c r="Y311" t="s">
        <v>13212</v>
      </c>
      <c r="Z311">
        <v>767.77</v>
      </c>
      <c r="AA311" t="s">
        <v>13213</v>
      </c>
      <c r="AB311">
        <v>619.33000000000004</v>
      </c>
      <c r="AC311" t="s">
        <v>13213</v>
      </c>
      <c r="AD311">
        <v>743.2</v>
      </c>
      <c r="AE311" t="s">
        <v>13214</v>
      </c>
      <c r="AF311">
        <v>566.46</v>
      </c>
      <c r="AG311" t="s">
        <v>13213</v>
      </c>
      <c r="AH311">
        <v>477.17</v>
      </c>
      <c r="AI311" t="s">
        <v>13215</v>
      </c>
      <c r="AJ311">
        <v>929</v>
      </c>
      <c r="AK311" t="s">
        <v>13213</v>
      </c>
    </row>
    <row r="312" spans="1:37" x14ac:dyDescent="0.25">
      <c r="A312" t="s">
        <v>723</v>
      </c>
      <c r="B312" t="s">
        <v>13205</v>
      </c>
      <c r="C312" t="b">
        <v>0</v>
      </c>
      <c r="D312" t="b">
        <v>0</v>
      </c>
      <c r="E312">
        <v>1</v>
      </c>
      <c r="F312">
        <v>1</v>
      </c>
      <c r="G312">
        <v>1</v>
      </c>
      <c r="H312" t="s">
        <v>860</v>
      </c>
      <c r="I312">
        <v>6</v>
      </c>
      <c r="J312">
        <v>122.2</v>
      </c>
      <c r="K312">
        <v>0</v>
      </c>
      <c r="L312" t="s">
        <v>859</v>
      </c>
      <c r="M312" t="s">
        <v>833</v>
      </c>
      <c r="N312" t="s">
        <v>13205</v>
      </c>
      <c r="O312" t="s">
        <v>838</v>
      </c>
      <c r="P312" t="s">
        <v>13511</v>
      </c>
      <c r="Q312" t="s">
        <v>13512</v>
      </c>
      <c r="R312" t="s">
        <v>724</v>
      </c>
      <c r="S312" t="s">
        <v>724</v>
      </c>
      <c r="T312" t="s">
        <v>3483</v>
      </c>
      <c r="U312">
        <v>0</v>
      </c>
      <c r="V312" t="b">
        <v>1</v>
      </c>
      <c r="W312" t="b">
        <v>1</v>
      </c>
      <c r="X312" t="b">
        <v>0</v>
      </c>
      <c r="Y312" t="s">
        <v>13212</v>
      </c>
    </row>
    <row r="313" spans="1:37" x14ac:dyDescent="0.25">
      <c r="A313" t="s">
        <v>38</v>
      </c>
      <c r="B313" t="s">
        <v>13205</v>
      </c>
      <c r="C313" t="b">
        <v>1</v>
      </c>
      <c r="D313" t="b">
        <v>1</v>
      </c>
      <c r="E313">
        <v>1</v>
      </c>
      <c r="F313">
        <v>1</v>
      </c>
      <c r="G313">
        <v>1</v>
      </c>
      <c r="H313" t="s">
        <v>860</v>
      </c>
      <c r="I313">
        <v>0</v>
      </c>
      <c r="J313">
        <v>122.2</v>
      </c>
      <c r="K313">
        <v>0</v>
      </c>
      <c r="L313" t="s">
        <v>859</v>
      </c>
      <c r="M313" t="s">
        <v>13207</v>
      </c>
      <c r="N313" t="s">
        <v>13205</v>
      </c>
      <c r="O313" t="s">
        <v>838</v>
      </c>
      <c r="P313" t="s">
        <v>13534</v>
      </c>
      <c r="Q313" t="s">
        <v>13535</v>
      </c>
      <c r="R313" t="s">
        <v>726</v>
      </c>
      <c r="S313" t="s">
        <v>726</v>
      </c>
      <c r="T313" t="s">
        <v>3484</v>
      </c>
      <c r="U313">
        <v>1</v>
      </c>
      <c r="V313" t="b">
        <v>1</v>
      </c>
      <c r="W313" t="b">
        <v>0</v>
      </c>
      <c r="X313" t="b">
        <v>0</v>
      </c>
      <c r="Y313" t="s">
        <v>13212</v>
      </c>
      <c r="Z313">
        <v>809.09</v>
      </c>
      <c r="AA313" t="s">
        <v>13213</v>
      </c>
      <c r="AB313">
        <v>652.66999999999996</v>
      </c>
      <c r="AC313" t="s">
        <v>13213</v>
      </c>
      <c r="AD313">
        <v>783.2</v>
      </c>
      <c r="AE313" t="s">
        <v>13214</v>
      </c>
      <c r="AF313">
        <v>596.95000000000005</v>
      </c>
      <c r="AG313" t="s">
        <v>13213</v>
      </c>
      <c r="AH313">
        <v>524.41999999999996</v>
      </c>
      <c r="AI313" t="s">
        <v>13215</v>
      </c>
      <c r="AJ313">
        <v>979</v>
      </c>
      <c r="AK313" t="s">
        <v>13213</v>
      </c>
    </row>
    <row r="314" spans="1:37" x14ac:dyDescent="0.25">
      <c r="A314" t="s">
        <v>725</v>
      </c>
      <c r="B314" t="s">
        <v>13205</v>
      </c>
      <c r="C314" t="b">
        <v>0</v>
      </c>
      <c r="D314" t="b">
        <v>0</v>
      </c>
      <c r="E314">
        <v>1</v>
      </c>
      <c r="F314">
        <v>1</v>
      </c>
      <c r="G314">
        <v>1</v>
      </c>
      <c r="H314" t="s">
        <v>860</v>
      </c>
      <c r="I314">
        <v>6</v>
      </c>
      <c r="J314">
        <v>122.2</v>
      </c>
      <c r="K314">
        <v>0</v>
      </c>
      <c r="L314" t="s">
        <v>859</v>
      </c>
      <c r="M314" t="s">
        <v>833</v>
      </c>
      <c r="N314" t="s">
        <v>13205</v>
      </c>
      <c r="O314" t="s">
        <v>838</v>
      </c>
      <c r="P314" t="s">
        <v>13534</v>
      </c>
      <c r="Q314" t="s">
        <v>13535</v>
      </c>
      <c r="R314" t="s">
        <v>726</v>
      </c>
      <c r="S314" t="s">
        <v>726</v>
      </c>
      <c r="T314" t="s">
        <v>3485</v>
      </c>
      <c r="U314">
        <v>0</v>
      </c>
      <c r="V314" t="b">
        <v>1</v>
      </c>
      <c r="W314" t="b">
        <v>1</v>
      </c>
      <c r="X314" t="b">
        <v>0</v>
      </c>
      <c r="Y314" t="s">
        <v>13212</v>
      </c>
    </row>
    <row r="315" spans="1:37" x14ac:dyDescent="0.25">
      <c r="A315" t="s">
        <v>64</v>
      </c>
      <c r="B315" t="s">
        <v>13205</v>
      </c>
      <c r="C315" t="b">
        <v>1</v>
      </c>
      <c r="D315" t="b">
        <v>1</v>
      </c>
      <c r="E315">
        <v>1</v>
      </c>
      <c r="F315">
        <v>1</v>
      </c>
      <c r="G315">
        <v>1</v>
      </c>
      <c r="H315" t="s">
        <v>860</v>
      </c>
      <c r="I315">
        <v>0</v>
      </c>
      <c r="J315">
        <v>115.9</v>
      </c>
      <c r="K315">
        <v>0</v>
      </c>
      <c r="L315" t="s">
        <v>859</v>
      </c>
      <c r="M315" t="s">
        <v>13207</v>
      </c>
      <c r="N315" t="s">
        <v>13205</v>
      </c>
      <c r="O315" t="s">
        <v>838</v>
      </c>
      <c r="P315" t="s">
        <v>13536</v>
      </c>
      <c r="Q315" t="s">
        <v>13537</v>
      </c>
      <c r="R315" t="s">
        <v>752</v>
      </c>
      <c r="S315" t="s">
        <v>752</v>
      </c>
      <c r="T315" t="s">
        <v>3486</v>
      </c>
      <c r="U315">
        <v>1</v>
      </c>
      <c r="V315" t="b">
        <v>1</v>
      </c>
      <c r="W315" t="b">
        <v>0</v>
      </c>
      <c r="X315" t="b">
        <v>0</v>
      </c>
      <c r="Y315" t="s">
        <v>13212</v>
      </c>
      <c r="Z315">
        <v>866.94</v>
      </c>
      <c r="AA315" t="s">
        <v>13213</v>
      </c>
      <c r="AB315">
        <v>699.33</v>
      </c>
      <c r="AC315" t="s">
        <v>13213</v>
      </c>
      <c r="AD315">
        <v>839.2</v>
      </c>
      <c r="AE315" t="s">
        <v>13214</v>
      </c>
      <c r="AF315">
        <v>639.63</v>
      </c>
      <c r="AG315" t="s">
        <v>13213</v>
      </c>
      <c r="AH315">
        <v>536.08000000000004</v>
      </c>
      <c r="AI315" t="s">
        <v>13215</v>
      </c>
      <c r="AJ315">
        <v>1049</v>
      </c>
      <c r="AK315" t="s">
        <v>13213</v>
      </c>
    </row>
    <row r="316" spans="1:37" x14ac:dyDescent="0.25">
      <c r="A316" t="s">
        <v>751</v>
      </c>
      <c r="B316" t="s">
        <v>13205</v>
      </c>
      <c r="C316" t="b">
        <v>0</v>
      </c>
      <c r="D316" t="b">
        <v>0</v>
      </c>
      <c r="E316">
        <v>1</v>
      </c>
      <c r="F316">
        <v>1</v>
      </c>
      <c r="G316">
        <v>1</v>
      </c>
      <c r="H316" t="s">
        <v>860</v>
      </c>
      <c r="I316">
        <v>6</v>
      </c>
      <c r="J316">
        <v>115.9</v>
      </c>
      <c r="K316">
        <v>0</v>
      </c>
      <c r="L316" t="s">
        <v>859</v>
      </c>
      <c r="M316" t="s">
        <v>833</v>
      </c>
      <c r="N316" t="s">
        <v>13205</v>
      </c>
      <c r="O316" t="s">
        <v>838</v>
      </c>
      <c r="P316" t="s">
        <v>13536</v>
      </c>
      <c r="Q316" t="s">
        <v>13537</v>
      </c>
      <c r="R316" t="s">
        <v>752</v>
      </c>
      <c r="S316" t="s">
        <v>752</v>
      </c>
      <c r="T316" t="s">
        <v>3487</v>
      </c>
      <c r="U316">
        <v>0</v>
      </c>
      <c r="V316" t="b">
        <v>1</v>
      </c>
      <c r="W316" t="b">
        <v>1</v>
      </c>
      <c r="X316" t="b">
        <v>0</v>
      </c>
      <c r="Y316" t="s">
        <v>13212</v>
      </c>
    </row>
    <row r="317" spans="1:37" x14ac:dyDescent="0.25">
      <c r="A317" t="s">
        <v>56</v>
      </c>
      <c r="B317" t="s">
        <v>13205</v>
      </c>
      <c r="C317" t="b">
        <v>1</v>
      </c>
      <c r="D317" t="b">
        <v>1</v>
      </c>
      <c r="E317">
        <v>1</v>
      </c>
      <c r="F317">
        <v>1</v>
      </c>
      <c r="G317">
        <v>1</v>
      </c>
      <c r="H317" t="s">
        <v>860</v>
      </c>
      <c r="I317">
        <v>0</v>
      </c>
      <c r="J317">
        <v>102.5</v>
      </c>
      <c r="K317">
        <v>0</v>
      </c>
      <c r="L317" t="s">
        <v>859</v>
      </c>
      <c r="M317" t="s">
        <v>13207</v>
      </c>
      <c r="N317" t="s">
        <v>13205</v>
      </c>
      <c r="O317" t="s">
        <v>838</v>
      </c>
      <c r="P317" t="s">
        <v>13612</v>
      </c>
      <c r="Q317" t="s">
        <v>13613</v>
      </c>
      <c r="R317" t="s">
        <v>744</v>
      </c>
      <c r="S317" t="s">
        <v>744</v>
      </c>
      <c r="T317" t="s">
        <v>3488</v>
      </c>
      <c r="U317">
        <v>1</v>
      </c>
      <c r="V317" t="b">
        <v>1</v>
      </c>
      <c r="W317" t="b">
        <v>0</v>
      </c>
      <c r="X317" t="b">
        <v>0</v>
      </c>
      <c r="Y317" t="s">
        <v>13212</v>
      </c>
      <c r="Z317">
        <v>808.26</v>
      </c>
      <c r="AA317" t="s">
        <v>13213</v>
      </c>
      <c r="AB317">
        <v>652</v>
      </c>
      <c r="AC317" t="s">
        <v>13213</v>
      </c>
      <c r="AD317">
        <v>782.4</v>
      </c>
      <c r="AE317" t="s">
        <v>13214</v>
      </c>
      <c r="AF317">
        <v>596.34</v>
      </c>
      <c r="AG317" t="s">
        <v>13213</v>
      </c>
      <c r="AH317">
        <v>501.08</v>
      </c>
      <c r="AI317" t="s">
        <v>13215</v>
      </c>
      <c r="AJ317">
        <v>978</v>
      </c>
      <c r="AK317" t="s">
        <v>13213</v>
      </c>
    </row>
    <row r="318" spans="1:37" x14ac:dyDescent="0.25">
      <c r="A318" t="s">
        <v>743</v>
      </c>
      <c r="B318" t="s">
        <v>13205</v>
      </c>
      <c r="C318" t="b">
        <v>0</v>
      </c>
      <c r="D318" t="b">
        <v>0</v>
      </c>
      <c r="E318">
        <v>1</v>
      </c>
      <c r="F318">
        <v>1</v>
      </c>
      <c r="G318">
        <v>1</v>
      </c>
      <c r="H318" t="s">
        <v>860</v>
      </c>
      <c r="I318">
        <v>6</v>
      </c>
      <c r="J318">
        <v>102.5</v>
      </c>
      <c r="K318">
        <v>0</v>
      </c>
      <c r="L318" t="s">
        <v>859</v>
      </c>
      <c r="M318" t="s">
        <v>833</v>
      </c>
      <c r="N318" t="s">
        <v>13205</v>
      </c>
      <c r="O318" t="s">
        <v>838</v>
      </c>
      <c r="P318" t="s">
        <v>13612</v>
      </c>
      <c r="Q318" t="s">
        <v>13872</v>
      </c>
      <c r="R318" t="s">
        <v>744</v>
      </c>
      <c r="S318" t="s">
        <v>744</v>
      </c>
      <c r="T318" t="s">
        <v>3489</v>
      </c>
      <c r="U318">
        <v>0</v>
      </c>
      <c r="V318" t="b">
        <v>1</v>
      </c>
      <c r="W318" t="b">
        <v>1</v>
      </c>
      <c r="X318" t="b">
        <v>0</v>
      </c>
      <c r="Y318" t="s">
        <v>13212</v>
      </c>
    </row>
    <row r="319" spans="1:37" x14ac:dyDescent="0.25">
      <c r="A319" t="s">
        <v>583</v>
      </c>
      <c r="B319" t="s">
        <v>13205</v>
      </c>
      <c r="C319" t="b">
        <v>0</v>
      </c>
      <c r="D319" t="b">
        <v>0</v>
      </c>
      <c r="E319">
        <v>56</v>
      </c>
      <c r="F319">
        <v>176</v>
      </c>
      <c r="G319">
        <v>32</v>
      </c>
      <c r="H319" t="s">
        <v>860</v>
      </c>
      <c r="I319">
        <v>6</v>
      </c>
      <c r="J319">
        <v>97.2</v>
      </c>
      <c r="K319">
        <v>8</v>
      </c>
      <c r="L319" t="s">
        <v>859</v>
      </c>
      <c r="M319" t="s">
        <v>13207</v>
      </c>
      <c r="N319" t="s">
        <v>917</v>
      </c>
      <c r="O319" t="s">
        <v>838</v>
      </c>
      <c r="P319" t="s">
        <v>584</v>
      </c>
      <c r="Q319" t="s">
        <v>584</v>
      </c>
      <c r="R319" t="s">
        <v>584</v>
      </c>
      <c r="S319" t="s">
        <v>584</v>
      </c>
      <c r="T319" t="s">
        <v>3519</v>
      </c>
      <c r="U319">
        <v>0</v>
      </c>
      <c r="V319" t="b">
        <v>0</v>
      </c>
      <c r="W319" t="b">
        <v>0</v>
      </c>
      <c r="X319" t="b">
        <v>0</v>
      </c>
      <c r="Y319" t="s">
        <v>13212</v>
      </c>
      <c r="Z319">
        <v>610.74</v>
      </c>
      <c r="AA319" t="s">
        <v>13213</v>
      </c>
      <c r="AB319">
        <v>492.67</v>
      </c>
      <c r="AC319" t="s">
        <v>13213</v>
      </c>
      <c r="AD319">
        <v>591.20000000000005</v>
      </c>
      <c r="AE319" t="s">
        <v>13214</v>
      </c>
      <c r="AF319">
        <v>450.61</v>
      </c>
      <c r="AG319" t="s">
        <v>13213</v>
      </c>
      <c r="AH319">
        <v>407.75</v>
      </c>
      <c r="AI319" t="s">
        <v>13215</v>
      </c>
      <c r="AJ319">
        <v>739</v>
      </c>
      <c r="AK319" t="s">
        <v>13213</v>
      </c>
    </row>
    <row r="320" spans="1:37" x14ac:dyDescent="0.25">
      <c r="A320" t="s">
        <v>3521</v>
      </c>
      <c r="B320" t="s">
        <v>13205</v>
      </c>
      <c r="C320" t="b">
        <v>0</v>
      </c>
      <c r="D320" t="b">
        <v>0</v>
      </c>
      <c r="E320">
        <v>56</v>
      </c>
      <c r="F320">
        <v>176</v>
      </c>
      <c r="G320">
        <v>32</v>
      </c>
      <c r="H320" t="s">
        <v>860</v>
      </c>
      <c r="I320">
        <v>6</v>
      </c>
      <c r="J320">
        <v>97.2</v>
      </c>
      <c r="K320">
        <v>8</v>
      </c>
      <c r="L320" t="s">
        <v>859</v>
      </c>
      <c r="M320" t="s">
        <v>833</v>
      </c>
      <c r="N320" t="s">
        <v>917</v>
      </c>
      <c r="O320" t="s">
        <v>838</v>
      </c>
      <c r="P320" t="s">
        <v>584</v>
      </c>
      <c r="Q320" t="s">
        <v>584</v>
      </c>
      <c r="R320" t="s">
        <v>584</v>
      </c>
      <c r="S320" t="s">
        <v>584</v>
      </c>
      <c r="T320" t="s">
        <v>3520</v>
      </c>
      <c r="U320">
        <v>0</v>
      </c>
      <c r="V320" t="b">
        <v>1</v>
      </c>
      <c r="W320" t="b">
        <v>1</v>
      </c>
      <c r="X320" t="b">
        <v>0</v>
      </c>
      <c r="Y320" t="s">
        <v>13212</v>
      </c>
    </row>
    <row r="321" spans="1:37" x14ac:dyDescent="0.25">
      <c r="A321" t="s">
        <v>358</v>
      </c>
      <c r="B321" t="s">
        <v>13205</v>
      </c>
      <c r="C321" t="b">
        <v>1</v>
      </c>
      <c r="D321" t="b">
        <v>1</v>
      </c>
      <c r="E321">
        <v>56</v>
      </c>
      <c r="F321">
        <v>176</v>
      </c>
      <c r="G321">
        <v>32</v>
      </c>
      <c r="H321" t="s">
        <v>860</v>
      </c>
      <c r="I321">
        <v>6</v>
      </c>
      <c r="J321">
        <v>97.2</v>
      </c>
      <c r="K321">
        <v>8</v>
      </c>
      <c r="L321" t="s">
        <v>859</v>
      </c>
      <c r="M321" t="s">
        <v>13207</v>
      </c>
      <c r="N321" t="s">
        <v>917</v>
      </c>
      <c r="O321" t="s">
        <v>838</v>
      </c>
      <c r="P321" t="s">
        <v>359</v>
      </c>
      <c r="Q321" t="s">
        <v>359</v>
      </c>
      <c r="R321" t="s">
        <v>359</v>
      </c>
      <c r="S321" t="s">
        <v>359</v>
      </c>
      <c r="T321" t="s">
        <v>371</v>
      </c>
      <c r="U321">
        <v>100</v>
      </c>
      <c r="V321" t="b">
        <v>0</v>
      </c>
      <c r="W321" t="b">
        <v>0</v>
      </c>
      <c r="X321" t="b">
        <v>0</v>
      </c>
      <c r="Y321" t="s">
        <v>13212</v>
      </c>
      <c r="Z321">
        <v>610.74</v>
      </c>
      <c r="AA321" t="s">
        <v>13213</v>
      </c>
      <c r="AB321">
        <v>492.67</v>
      </c>
      <c r="AC321" t="s">
        <v>13213</v>
      </c>
      <c r="AD321">
        <v>591.20000000000005</v>
      </c>
      <c r="AE321" t="s">
        <v>13214</v>
      </c>
      <c r="AF321">
        <v>450.61</v>
      </c>
      <c r="AG321" t="s">
        <v>13213</v>
      </c>
      <c r="AH321">
        <v>407.75</v>
      </c>
      <c r="AI321" t="s">
        <v>13215</v>
      </c>
      <c r="AJ321">
        <v>739</v>
      </c>
      <c r="AK321" t="s">
        <v>13213</v>
      </c>
    </row>
    <row r="322" spans="1:37" x14ac:dyDescent="0.25">
      <c r="A322" t="s">
        <v>3523</v>
      </c>
      <c r="B322" t="s">
        <v>13205</v>
      </c>
      <c r="C322" t="b">
        <v>0</v>
      </c>
      <c r="D322" t="b">
        <v>0</v>
      </c>
      <c r="E322">
        <v>56</v>
      </c>
      <c r="F322">
        <v>176</v>
      </c>
      <c r="G322">
        <v>32</v>
      </c>
      <c r="H322" t="s">
        <v>860</v>
      </c>
      <c r="I322">
        <v>6</v>
      </c>
      <c r="J322">
        <v>97.2</v>
      </c>
      <c r="K322">
        <v>8</v>
      </c>
      <c r="L322" t="s">
        <v>859</v>
      </c>
      <c r="M322" t="s">
        <v>833</v>
      </c>
      <c r="N322" t="s">
        <v>917</v>
      </c>
      <c r="O322" t="s">
        <v>838</v>
      </c>
      <c r="P322" t="s">
        <v>359</v>
      </c>
      <c r="Q322" t="s">
        <v>359</v>
      </c>
      <c r="R322" t="s">
        <v>359</v>
      </c>
      <c r="S322" t="s">
        <v>359</v>
      </c>
      <c r="T322" t="s">
        <v>3522</v>
      </c>
      <c r="U322">
        <v>0</v>
      </c>
      <c r="V322" t="b">
        <v>1</v>
      </c>
      <c r="W322" t="b">
        <v>1</v>
      </c>
      <c r="X322" t="b">
        <v>0</v>
      </c>
      <c r="Y322" t="s">
        <v>13212</v>
      </c>
    </row>
    <row r="323" spans="1:37" x14ac:dyDescent="0.25">
      <c r="A323" t="s">
        <v>360</v>
      </c>
      <c r="B323" t="s">
        <v>13205</v>
      </c>
      <c r="C323" t="b">
        <v>1</v>
      </c>
      <c r="D323" t="b">
        <v>1</v>
      </c>
      <c r="E323">
        <v>56</v>
      </c>
      <c r="F323">
        <v>176</v>
      </c>
      <c r="G323">
        <v>32</v>
      </c>
      <c r="H323" t="s">
        <v>860</v>
      </c>
      <c r="I323">
        <v>6</v>
      </c>
      <c r="J323">
        <v>97.2</v>
      </c>
      <c r="K323">
        <v>8</v>
      </c>
      <c r="L323" t="s">
        <v>859</v>
      </c>
      <c r="M323" t="s">
        <v>13207</v>
      </c>
      <c r="N323" t="s">
        <v>917</v>
      </c>
      <c r="O323" t="s">
        <v>838</v>
      </c>
      <c r="P323" t="s">
        <v>361</v>
      </c>
      <c r="Q323" t="s">
        <v>361</v>
      </c>
      <c r="R323" t="s">
        <v>361</v>
      </c>
      <c r="S323" t="s">
        <v>361</v>
      </c>
      <c r="T323" t="s">
        <v>372</v>
      </c>
      <c r="U323">
        <v>50</v>
      </c>
      <c r="V323" t="b">
        <v>0</v>
      </c>
      <c r="W323" t="b">
        <v>0</v>
      </c>
      <c r="X323" t="b">
        <v>0</v>
      </c>
      <c r="Y323" t="s">
        <v>13212</v>
      </c>
      <c r="Z323">
        <v>643.79999999999995</v>
      </c>
      <c r="AA323" t="s">
        <v>13213</v>
      </c>
      <c r="AB323">
        <v>519.33000000000004</v>
      </c>
      <c r="AC323" t="s">
        <v>13213</v>
      </c>
      <c r="AD323">
        <v>623.20000000000005</v>
      </c>
      <c r="AE323" t="s">
        <v>13214</v>
      </c>
      <c r="AF323">
        <v>475</v>
      </c>
      <c r="AG323" t="s">
        <v>13213</v>
      </c>
      <c r="AH323">
        <v>431.08</v>
      </c>
      <c r="AI323" t="s">
        <v>13215</v>
      </c>
      <c r="AJ323">
        <v>779</v>
      </c>
      <c r="AK323" t="s">
        <v>13213</v>
      </c>
    </row>
    <row r="324" spans="1:37" x14ac:dyDescent="0.25">
      <c r="A324" t="s">
        <v>3525</v>
      </c>
      <c r="B324" t="s">
        <v>13205</v>
      </c>
      <c r="C324" t="b">
        <v>0</v>
      </c>
      <c r="D324" t="b">
        <v>0</v>
      </c>
      <c r="E324">
        <v>56</v>
      </c>
      <c r="F324">
        <v>176</v>
      </c>
      <c r="G324">
        <v>32</v>
      </c>
      <c r="H324" t="s">
        <v>860</v>
      </c>
      <c r="I324">
        <v>6</v>
      </c>
      <c r="J324">
        <v>97.2</v>
      </c>
      <c r="K324">
        <v>8</v>
      </c>
      <c r="L324" t="s">
        <v>859</v>
      </c>
      <c r="M324" t="s">
        <v>833</v>
      </c>
      <c r="N324" t="s">
        <v>917</v>
      </c>
      <c r="O324" t="s">
        <v>838</v>
      </c>
      <c r="P324" t="s">
        <v>3526</v>
      </c>
      <c r="Q324" t="s">
        <v>3526</v>
      </c>
      <c r="R324" t="s">
        <v>3526</v>
      </c>
      <c r="S324" t="s">
        <v>3526</v>
      </c>
      <c r="T324" t="s">
        <v>3524</v>
      </c>
      <c r="U324">
        <v>0</v>
      </c>
      <c r="V324" t="b">
        <v>1</v>
      </c>
      <c r="W324" t="b">
        <v>1</v>
      </c>
      <c r="X324" t="b">
        <v>0</v>
      </c>
      <c r="Y324" t="s">
        <v>13212</v>
      </c>
    </row>
    <row r="325" spans="1:37" x14ac:dyDescent="0.25">
      <c r="A325" t="s">
        <v>288</v>
      </c>
      <c r="B325" t="s">
        <v>13205</v>
      </c>
      <c r="C325" t="b">
        <v>1</v>
      </c>
      <c r="D325" t="b">
        <v>1</v>
      </c>
      <c r="E325">
        <v>31</v>
      </c>
      <c r="F325">
        <v>171</v>
      </c>
      <c r="G325">
        <v>55</v>
      </c>
      <c r="H325" t="s">
        <v>860</v>
      </c>
      <c r="I325">
        <v>6</v>
      </c>
      <c r="J325">
        <v>77.3</v>
      </c>
      <c r="K325">
        <v>9</v>
      </c>
      <c r="L325" t="s">
        <v>859</v>
      </c>
      <c r="M325" t="s">
        <v>13207</v>
      </c>
      <c r="N325" t="s">
        <v>917</v>
      </c>
      <c r="O325" t="s">
        <v>838</v>
      </c>
      <c r="P325" t="s">
        <v>585</v>
      </c>
      <c r="Q325" t="s">
        <v>585</v>
      </c>
      <c r="R325" t="s">
        <v>585</v>
      </c>
      <c r="S325" t="s">
        <v>585</v>
      </c>
      <c r="T325" t="s">
        <v>320</v>
      </c>
      <c r="U325">
        <v>50</v>
      </c>
      <c r="V325" t="b">
        <v>0</v>
      </c>
      <c r="W325" t="b">
        <v>0</v>
      </c>
      <c r="X325" t="b">
        <v>0</v>
      </c>
      <c r="Y325" t="s">
        <v>13212</v>
      </c>
      <c r="Z325">
        <v>569.41999999999996</v>
      </c>
      <c r="AA325" t="s">
        <v>13213</v>
      </c>
      <c r="AB325">
        <v>459.33</v>
      </c>
      <c r="AC325" t="s">
        <v>13213</v>
      </c>
      <c r="AD325">
        <v>551.20000000000005</v>
      </c>
      <c r="AE325" t="s">
        <v>13214</v>
      </c>
      <c r="AF325">
        <v>420.12</v>
      </c>
      <c r="AG325" t="s">
        <v>13213</v>
      </c>
      <c r="AH325">
        <v>349.42</v>
      </c>
      <c r="AI325" t="s">
        <v>13215</v>
      </c>
      <c r="AJ325">
        <v>689</v>
      </c>
      <c r="AK325" t="s">
        <v>13213</v>
      </c>
    </row>
    <row r="326" spans="1:37" x14ac:dyDescent="0.25">
      <c r="A326" t="s">
        <v>801</v>
      </c>
      <c r="B326" t="s">
        <v>13205</v>
      </c>
      <c r="C326" t="b">
        <v>0</v>
      </c>
      <c r="D326" t="b">
        <v>0</v>
      </c>
      <c r="E326">
        <v>55</v>
      </c>
      <c r="F326">
        <v>171</v>
      </c>
      <c r="G326">
        <v>31</v>
      </c>
      <c r="H326" t="s">
        <v>860</v>
      </c>
      <c r="I326">
        <v>6</v>
      </c>
      <c r="J326">
        <v>77.3</v>
      </c>
      <c r="K326">
        <v>9</v>
      </c>
      <c r="L326" t="s">
        <v>859</v>
      </c>
      <c r="M326" t="s">
        <v>833</v>
      </c>
      <c r="N326" t="s">
        <v>917</v>
      </c>
      <c r="O326" t="s">
        <v>838</v>
      </c>
      <c r="P326" t="s">
        <v>802</v>
      </c>
      <c r="Q326" t="s">
        <v>802</v>
      </c>
      <c r="R326" t="s">
        <v>802</v>
      </c>
      <c r="S326" t="s">
        <v>802</v>
      </c>
      <c r="T326" t="s">
        <v>3536</v>
      </c>
      <c r="U326">
        <v>0</v>
      </c>
      <c r="V326" t="b">
        <v>1</v>
      </c>
      <c r="W326" t="b">
        <v>1</v>
      </c>
      <c r="X326" t="b">
        <v>0</v>
      </c>
      <c r="Y326" t="s">
        <v>13212</v>
      </c>
    </row>
    <row r="327" spans="1:37" x14ac:dyDescent="0.25">
      <c r="A327" t="s">
        <v>284</v>
      </c>
      <c r="B327" t="s">
        <v>13205</v>
      </c>
      <c r="C327" t="b">
        <v>1</v>
      </c>
      <c r="D327" t="b">
        <v>1</v>
      </c>
      <c r="E327">
        <v>55</v>
      </c>
      <c r="F327">
        <v>171</v>
      </c>
      <c r="G327">
        <v>31</v>
      </c>
      <c r="H327" t="s">
        <v>860</v>
      </c>
      <c r="I327">
        <v>6</v>
      </c>
      <c r="J327">
        <v>77.3</v>
      </c>
      <c r="K327">
        <v>9</v>
      </c>
      <c r="L327" t="s">
        <v>859</v>
      </c>
      <c r="M327" t="s">
        <v>13207</v>
      </c>
      <c r="N327" t="s">
        <v>917</v>
      </c>
      <c r="O327" t="s">
        <v>838</v>
      </c>
      <c r="P327" t="s">
        <v>285</v>
      </c>
      <c r="Q327" t="s">
        <v>285</v>
      </c>
      <c r="R327" t="s">
        <v>285</v>
      </c>
      <c r="S327" t="s">
        <v>285</v>
      </c>
      <c r="T327" t="s">
        <v>321</v>
      </c>
      <c r="U327">
        <v>100</v>
      </c>
      <c r="V327" t="b">
        <v>0</v>
      </c>
      <c r="W327" t="b">
        <v>0</v>
      </c>
      <c r="X327" t="b">
        <v>0</v>
      </c>
      <c r="Y327" t="s">
        <v>13212</v>
      </c>
      <c r="Z327">
        <v>569.41999999999996</v>
      </c>
      <c r="AA327" t="s">
        <v>13213</v>
      </c>
      <c r="AB327">
        <v>459.33</v>
      </c>
      <c r="AC327" t="s">
        <v>13213</v>
      </c>
      <c r="AD327">
        <v>551.20000000000005</v>
      </c>
      <c r="AE327" t="s">
        <v>13214</v>
      </c>
      <c r="AF327">
        <v>420.12</v>
      </c>
      <c r="AG327" t="s">
        <v>13213</v>
      </c>
      <c r="AH327">
        <v>349.42</v>
      </c>
      <c r="AI327" t="s">
        <v>13215</v>
      </c>
      <c r="AJ327">
        <v>689</v>
      </c>
      <c r="AK327" t="s">
        <v>13213</v>
      </c>
    </row>
    <row r="328" spans="1:37" x14ac:dyDescent="0.25">
      <c r="A328" t="s">
        <v>796</v>
      </c>
      <c r="B328" t="s">
        <v>13205</v>
      </c>
      <c r="C328" t="b">
        <v>0</v>
      </c>
      <c r="D328" t="b">
        <v>0</v>
      </c>
      <c r="E328">
        <v>55</v>
      </c>
      <c r="F328">
        <v>171</v>
      </c>
      <c r="G328">
        <v>31</v>
      </c>
      <c r="H328" t="s">
        <v>860</v>
      </c>
      <c r="I328">
        <v>6</v>
      </c>
      <c r="J328">
        <v>77.3</v>
      </c>
      <c r="K328">
        <v>9</v>
      </c>
      <c r="L328" t="s">
        <v>859</v>
      </c>
      <c r="M328" t="s">
        <v>833</v>
      </c>
      <c r="N328" t="s">
        <v>917</v>
      </c>
      <c r="O328" t="s">
        <v>838</v>
      </c>
      <c r="P328" t="s">
        <v>285</v>
      </c>
      <c r="Q328" t="s">
        <v>285</v>
      </c>
      <c r="R328" t="s">
        <v>285</v>
      </c>
      <c r="S328" t="s">
        <v>285</v>
      </c>
      <c r="T328" t="s">
        <v>3537</v>
      </c>
      <c r="U328">
        <v>0</v>
      </c>
      <c r="V328" t="b">
        <v>1</v>
      </c>
      <c r="W328" t="b">
        <v>1</v>
      </c>
      <c r="X328" t="b">
        <v>0</v>
      </c>
      <c r="Y328" t="s">
        <v>13212</v>
      </c>
    </row>
    <row r="329" spans="1:37" x14ac:dyDescent="0.25">
      <c r="A329" t="s">
        <v>445</v>
      </c>
      <c r="B329" t="s">
        <v>13205</v>
      </c>
      <c r="C329" t="b">
        <v>1</v>
      </c>
      <c r="D329" t="b">
        <v>1</v>
      </c>
      <c r="E329">
        <v>1</v>
      </c>
      <c r="F329">
        <v>1</v>
      </c>
      <c r="G329">
        <v>1</v>
      </c>
      <c r="H329" t="s">
        <v>860</v>
      </c>
      <c r="I329">
        <v>1</v>
      </c>
      <c r="J329">
        <v>115.9</v>
      </c>
      <c r="K329">
        <v>0</v>
      </c>
      <c r="L329" t="s">
        <v>13205</v>
      </c>
      <c r="M329" t="s">
        <v>13207</v>
      </c>
      <c r="N329" t="s">
        <v>13205</v>
      </c>
      <c r="O329" t="s">
        <v>838</v>
      </c>
      <c r="P329" t="s">
        <v>13822</v>
      </c>
      <c r="Q329" t="s">
        <v>13823</v>
      </c>
      <c r="R329" t="s">
        <v>449</v>
      </c>
      <c r="S329" t="s">
        <v>449</v>
      </c>
      <c r="T329" t="s">
        <v>444</v>
      </c>
      <c r="U329">
        <v>0</v>
      </c>
      <c r="V329" t="b">
        <v>1</v>
      </c>
      <c r="W329" t="b">
        <v>0</v>
      </c>
      <c r="X329" t="b">
        <v>0</v>
      </c>
      <c r="Y329" t="s">
        <v>13212</v>
      </c>
      <c r="Z329">
        <v>866.94</v>
      </c>
      <c r="AA329" t="s">
        <v>13213</v>
      </c>
      <c r="AB329">
        <v>699.33</v>
      </c>
      <c r="AC329" t="s">
        <v>13213</v>
      </c>
      <c r="AD329">
        <v>839.2</v>
      </c>
      <c r="AE329" t="s">
        <v>13214</v>
      </c>
      <c r="AF329">
        <v>639.63</v>
      </c>
      <c r="AG329" t="s">
        <v>13213</v>
      </c>
      <c r="AH329">
        <v>536.08000000000004</v>
      </c>
      <c r="AI329" t="s">
        <v>13215</v>
      </c>
      <c r="AJ329">
        <v>1049</v>
      </c>
      <c r="AK329" t="s">
        <v>13213</v>
      </c>
    </row>
    <row r="330" spans="1:37" x14ac:dyDescent="0.25">
      <c r="A330" t="s">
        <v>758</v>
      </c>
      <c r="B330" t="s">
        <v>13205</v>
      </c>
      <c r="C330" t="b">
        <v>0</v>
      </c>
      <c r="D330" t="b">
        <v>0</v>
      </c>
      <c r="E330">
        <v>1</v>
      </c>
      <c r="F330">
        <v>1</v>
      </c>
      <c r="G330">
        <v>1</v>
      </c>
      <c r="H330" t="s">
        <v>860</v>
      </c>
      <c r="I330">
        <v>6</v>
      </c>
      <c r="J330">
        <v>115.9</v>
      </c>
      <c r="K330">
        <v>0</v>
      </c>
      <c r="L330" t="s">
        <v>859</v>
      </c>
      <c r="M330" t="s">
        <v>833</v>
      </c>
      <c r="N330" t="s">
        <v>13205</v>
      </c>
      <c r="O330" t="s">
        <v>838</v>
      </c>
      <c r="P330" t="s">
        <v>13822</v>
      </c>
      <c r="Q330" t="s">
        <v>13823</v>
      </c>
      <c r="R330" t="s">
        <v>449</v>
      </c>
      <c r="S330" t="s">
        <v>449</v>
      </c>
      <c r="T330" t="s">
        <v>3556</v>
      </c>
      <c r="U330">
        <v>0</v>
      </c>
      <c r="V330" t="b">
        <v>1</v>
      </c>
      <c r="W330" t="b">
        <v>1</v>
      </c>
      <c r="X330" t="b">
        <v>0</v>
      </c>
      <c r="Y330" t="s">
        <v>13212</v>
      </c>
    </row>
    <row r="331" spans="1:37" x14ac:dyDescent="0.25">
      <c r="A331" t="s">
        <v>447</v>
      </c>
      <c r="B331" t="s">
        <v>13205</v>
      </c>
      <c r="C331" t="b">
        <v>1</v>
      </c>
      <c r="D331" t="b">
        <v>1</v>
      </c>
      <c r="E331">
        <v>1</v>
      </c>
      <c r="F331">
        <v>1</v>
      </c>
      <c r="G331">
        <v>1</v>
      </c>
      <c r="H331" t="s">
        <v>860</v>
      </c>
      <c r="I331">
        <v>1</v>
      </c>
      <c r="J331">
        <v>102.5</v>
      </c>
      <c r="K331">
        <v>0</v>
      </c>
      <c r="L331" t="s">
        <v>13205</v>
      </c>
      <c r="M331" t="s">
        <v>13207</v>
      </c>
      <c r="N331" t="s">
        <v>13205</v>
      </c>
      <c r="O331" t="s">
        <v>838</v>
      </c>
      <c r="P331" t="s">
        <v>13824</v>
      </c>
      <c r="Q331" t="s">
        <v>13825</v>
      </c>
      <c r="R331" t="s">
        <v>586</v>
      </c>
      <c r="S331" t="s">
        <v>586</v>
      </c>
      <c r="T331" t="s">
        <v>446</v>
      </c>
      <c r="U331">
        <v>0</v>
      </c>
      <c r="V331" t="b">
        <v>1</v>
      </c>
      <c r="W331" t="b">
        <v>0</v>
      </c>
      <c r="X331" t="b">
        <v>0</v>
      </c>
      <c r="Y331" t="s">
        <v>13212</v>
      </c>
      <c r="Z331">
        <v>808.26</v>
      </c>
      <c r="AA331" t="s">
        <v>13213</v>
      </c>
      <c r="AB331">
        <v>652</v>
      </c>
      <c r="AC331" t="s">
        <v>13213</v>
      </c>
      <c r="AD331">
        <v>782.4</v>
      </c>
      <c r="AE331" t="s">
        <v>13214</v>
      </c>
      <c r="AF331">
        <v>596.34</v>
      </c>
      <c r="AG331" t="s">
        <v>13213</v>
      </c>
      <c r="AH331">
        <v>501.08</v>
      </c>
      <c r="AI331" t="s">
        <v>13215</v>
      </c>
      <c r="AJ331">
        <v>978</v>
      </c>
      <c r="AK331" t="s">
        <v>13213</v>
      </c>
    </row>
    <row r="332" spans="1:37" x14ac:dyDescent="0.25">
      <c r="A332" t="s">
        <v>755</v>
      </c>
      <c r="B332" t="s">
        <v>13205</v>
      </c>
      <c r="C332" t="b">
        <v>0</v>
      </c>
      <c r="D332" t="b">
        <v>0</v>
      </c>
      <c r="E332">
        <v>1</v>
      </c>
      <c r="F332">
        <v>1</v>
      </c>
      <c r="G332">
        <v>1</v>
      </c>
      <c r="H332" t="s">
        <v>860</v>
      </c>
      <c r="I332">
        <v>6</v>
      </c>
      <c r="J332">
        <v>102.5</v>
      </c>
      <c r="K332">
        <v>0</v>
      </c>
      <c r="L332" t="s">
        <v>859</v>
      </c>
      <c r="M332" t="s">
        <v>833</v>
      </c>
      <c r="N332" t="s">
        <v>13205</v>
      </c>
      <c r="O332" t="s">
        <v>838</v>
      </c>
      <c r="P332" t="s">
        <v>13824</v>
      </c>
      <c r="Q332" t="s">
        <v>13825</v>
      </c>
      <c r="R332" t="s">
        <v>586</v>
      </c>
      <c r="S332" t="s">
        <v>586</v>
      </c>
      <c r="T332" t="s">
        <v>3558</v>
      </c>
      <c r="U332">
        <v>0</v>
      </c>
      <c r="V332" t="b">
        <v>1</v>
      </c>
      <c r="W332" t="b">
        <v>1</v>
      </c>
      <c r="X332" t="b">
        <v>0</v>
      </c>
      <c r="Y332" t="s">
        <v>13212</v>
      </c>
    </row>
    <row r="333" spans="1:37" x14ac:dyDescent="0.25">
      <c r="A333" t="s">
        <v>587</v>
      </c>
      <c r="B333" t="s">
        <v>13205</v>
      </c>
      <c r="C333" t="b">
        <v>1</v>
      </c>
      <c r="D333" t="b">
        <v>0</v>
      </c>
      <c r="E333">
        <v>1</v>
      </c>
      <c r="F333">
        <v>1</v>
      </c>
      <c r="G333">
        <v>1</v>
      </c>
      <c r="H333" t="s">
        <v>860</v>
      </c>
      <c r="I333">
        <v>1</v>
      </c>
      <c r="J333">
        <v>135.80000000000001</v>
      </c>
      <c r="K333">
        <v>0</v>
      </c>
      <c r="L333" t="s">
        <v>859</v>
      </c>
      <c r="M333" t="s">
        <v>13207</v>
      </c>
      <c r="N333" t="s">
        <v>13205</v>
      </c>
      <c r="O333" t="s">
        <v>838</v>
      </c>
      <c r="P333" t="s">
        <v>13783</v>
      </c>
      <c r="Q333" t="s">
        <v>13784</v>
      </c>
      <c r="R333" t="s">
        <v>588</v>
      </c>
      <c r="S333" t="s">
        <v>588</v>
      </c>
      <c r="T333" t="s">
        <v>3559</v>
      </c>
      <c r="U333">
        <v>0</v>
      </c>
      <c r="V333" t="b">
        <v>1</v>
      </c>
      <c r="W333" t="b">
        <v>0</v>
      </c>
      <c r="X333" t="b">
        <v>0</v>
      </c>
      <c r="Y333" t="s">
        <v>13212</v>
      </c>
      <c r="Z333">
        <v>866.94</v>
      </c>
      <c r="AA333" t="s">
        <v>13213</v>
      </c>
      <c r="AB333">
        <v>699.33</v>
      </c>
      <c r="AC333" t="s">
        <v>13213</v>
      </c>
      <c r="AD333">
        <v>839.2</v>
      </c>
      <c r="AE333" t="s">
        <v>13214</v>
      </c>
      <c r="AF333">
        <v>639.63</v>
      </c>
      <c r="AG333" t="s">
        <v>13213</v>
      </c>
      <c r="AH333">
        <v>524.47</v>
      </c>
      <c r="AI333" t="s">
        <v>13215</v>
      </c>
      <c r="AJ333">
        <v>1049</v>
      </c>
      <c r="AK333" t="s">
        <v>13213</v>
      </c>
    </row>
    <row r="334" spans="1:37" x14ac:dyDescent="0.25">
      <c r="A334" t="s">
        <v>767</v>
      </c>
      <c r="B334" t="s">
        <v>13205</v>
      </c>
      <c r="C334" t="b">
        <v>0</v>
      </c>
      <c r="D334" t="b">
        <v>0</v>
      </c>
      <c r="E334">
        <v>1</v>
      </c>
      <c r="F334">
        <v>1</v>
      </c>
      <c r="G334">
        <v>1</v>
      </c>
      <c r="H334" t="s">
        <v>860</v>
      </c>
      <c r="I334">
        <v>6</v>
      </c>
      <c r="J334">
        <v>135.80000000000001</v>
      </c>
      <c r="K334">
        <v>0</v>
      </c>
      <c r="L334" t="s">
        <v>859</v>
      </c>
      <c r="M334" t="s">
        <v>833</v>
      </c>
      <c r="N334" t="s">
        <v>13205</v>
      </c>
      <c r="O334" t="s">
        <v>838</v>
      </c>
      <c r="P334" t="s">
        <v>13783</v>
      </c>
      <c r="Q334" t="s">
        <v>13784</v>
      </c>
      <c r="R334" t="s">
        <v>588</v>
      </c>
      <c r="S334" t="s">
        <v>588</v>
      </c>
      <c r="T334" t="s">
        <v>3560</v>
      </c>
      <c r="U334">
        <v>0</v>
      </c>
      <c r="V334" t="b">
        <v>1</v>
      </c>
      <c r="W334" t="b">
        <v>1</v>
      </c>
      <c r="X334" t="b">
        <v>0</v>
      </c>
      <c r="Y334" t="s">
        <v>13212</v>
      </c>
    </row>
    <row r="335" spans="1:37" x14ac:dyDescent="0.25">
      <c r="A335" t="s">
        <v>763</v>
      </c>
      <c r="B335" t="s">
        <v>13205</v>
      </c>
      <c r="C335" t="b">
        <v>0</v>
      </c>
      <c r="D335" t="b">
        <v>0</v>
      </c>
      <c r="E335">
        <v>1</v>
      </c>
      <c r="F335">
        <v>1</v>
      </c>
      <c r="G335">
        <v>1</v>
      </c>
      <c r="H335" t="s">
        <v>860</v>
      </c>
      <c r="I335">
        <v>6</v>
      </c>
      <c r="J335">
        <v>122.2</v>
      </c>
      <c r="K335">
        <v>0</v>
      </c>
      <c r="L335" t="s">
        <v>859</v>
      </c>
      <c r="M335" t="s">
        <v>833</v>
      </c>
      <c r="N335" t="s">
        <v>13205</v>
      </c>
      <c r="O335" t="s">
        <v>838</v>
      </c>
      <c r="P335" t="s">
        <v>13870</v>
      </c>
      <c r="Q335" t="s">
        <v>13871</v>
      </c>
      <c r="R335" t="s">
        <v>764</v>
      </c>
      <c r="S335" t="s">
        <v>764</v>
      </c>
      <c r="T335" t="s">
        <v>3561</v>
      </c>
      <c r="U335">
        <v>0</v>
      </c>
      <c r="V335" t="b">
        <v>1</v>
      </c>
      <c r="W335" t="b">
        <v>1</v>
      </c>
      <c r="X335" t="b">
        <v>0</v>
      </c>
      <c r="Y335" t="s">
        <v>13212</v>
      </c>
    </row>
    <row r="336" spans="1:37" x14ac:dyDescent="0.25">
      <c r="A336" t="s">
        <v>86</v>
      </c>
      <c r="B336" t="s">
        <v>13205</v>
      </c>
      <c r="C336" t="b">
        <v>1</v>
      </c>
      <c r="D336" t="b">
        <v>1</v>
      </c>
      <c r="E336">
        <v>1</v>
      </c>
      <c r="F336">
        <v>1</v>
      </c>
      <c r="G336">
        <v>1</v>
      </c>
      <c r="H336" t="s">
        <v>860</v>
      </c>
      <c r="I336">
        <v>0</v>
      </c>
      <c r="J336">
        <v>116.6</v>
      </c>
      <c r="K336">
        <v>0</v>
      </c>
      <c r="L336" t="s">
        <v>859</v>
      </c>
      <c r="M336" t="s">
        <v>13207</v>
      </c>
      <c r="N336" t="s">
        <v>13205</v>
      </c>
      <c r="O336" t="s">
        <v>838</v>
      </c>
      <c r="P336" t="s">
        <v>13579</v>
      </c>
      <c r="Q336" t="s">
        <v>13580</v>
      </c>
      <c r="R336" t="s">
        <v>777</v>
      </c>
      <c r="S336" t="s">
        <v>777</v>
      </c>
      <c r="T336" t="s">
        <v>3594</v>
      </c>
      <c r="U336">
        <v>1</v>
      </c>
      <c r="V336" t="b">
        <v>1</v>
      </c>
      <c r="W336" t="b">
        <v>0</v>
      </c>
      <c r="X336" t="b">
        <v>0</v>
      </c>
      <c r="Y336" t="s">
        <v>13212</v>
      </c>
      <c r="Z336">
        <v>742.98</v>
      </c>
      <c r="AA336" t="s">
        <v>13213</v>
      </c>
      <c r="AB336">
        <v>599.33000000000004</v>
      </c>
      <c r="AC336" t="s">
        <v>13213</v>
      </c>
      <c r="AD336">
        <v>719.2</v>
      </c>
      <c r="AE336" t="s">
        <v>13214</v>
      </c>
      <c r="AF336">
        <v>548.16999999999996</v>
      </c>
      <c r="AG336" t="s">
        <v>13213</v>
      </c>
      <c r="AH336">
        <v>460.25</v>
      </c>
      <c r="AI336" t="s">
        <v>13215</v>
      </c>
      <c r="AJ336">
        <v>899</v>
      </c>
      <c r="AK336" t="s">
        <v>13213</v>
      </c>
    </row>
    <row r="337" spans="1:37" x14ac:dyDescent="0.25">
      <c r="A337" t="s">
        <v>776</v>
      </c>
      <c r="B337" t="s">
        <v>13205</v>
      </c>
      <c r="C337" t="b">
        <v>0</v>
      </c>
      <c r="D337" t="b">
        <v>0</v>
      </c>
      <c r="E337">
        <v>1</v>
      </c>
      <c r="F337">
        <v>1</v>
      </c>
      <c r="G337">
        <v>1</v>
      </c>
      <c r="H337" t="s">
        <v>860</v>
      </c>
      <c r="I337">
        <v>6</v>
      </c>
      <c r="J337">
        <v>116.6</v>
      </c>
      <c r="K337">
        <v>0</v>
      </c>
      <c r="L337" t="s">
        <v>859</v>
      </c>
      <c r="M337" t="s">
        <v>833</v>
      </c>
      <c r="N337" t="s">
        <v>13205</v>
      </c>
      <c r="O337" t="s">
        <v>838</v>
      </c>
      <c r="P337" t="s">
        <v>13579</v>
      </c>
      <c r="Q337" t="s">
        <v>13580</v>
      </c>
      <c r="R337" t="s">
        <v>777</v>
      </c>
      <c r="S337" t="s">
        <v>777</v>
      </c>
      <c r="T337" t="s">
        <v>3595</v>
      </c>
      <c r="U337">
        <v>0</v>
      </c>
      <c r="V337" t="b">
        <v>1</v>
      </c>
      <c r="W337" t="b">
        <v>1</v>
      </c>
      <c r="X337" t="b">
        <v>0</v>
      </c>
      <c r="Y337" t="s">
        <v>13212</v>
      </c>
    </row>
    <row r="338" spans="1:37" x14ac:dyDescent="0.25">
      <c r="A338" t="s">
        <v>454</v>
      </c>
      <c r="B338" t="s">
        <v>13205</v>
      </c>
      <c r="C338" t="b">
        <v>1</v>
      </c>
      <c r="D338" t="b">
        <v>1</v>
      </c>
      <c r="E338">
        <v>1</v>
      </c>
      <c r="F338">
        <v>1</v>
      </c>
      <c r="G338">
        <v>1</v>
      </c>
      <c r="H338" t="s">
        <v>860</v>
      </c>
      <c r="I338">
        <v>1</v>
      </c>
      <c r="J338">
        <v>95.65</v>
      </c>
      <c r="K338">
        <v>0</v>
      </c>
      <c r="L338" t="s">
        <v>859</v>
      </c>
      <c r="M338" t="s">
        <v>13207</v>
      </c>
      <c r="N338" t="s">
        <v>13205</v>
      </c>
      <c r="O338" t="s">
        <v>838</v>
      </c>
      <c r="P338" t="s">
        <v>13738</v>
      </c>
      <c r="Q338" t="s">
        <v>13739</v>
      </c>
      <c r="R338" t="s">
        <v>781</v>
      </c>
      <c r="S338" t="s">
        <v>781</v>
      </c>
      <c r="T338" t="s">
        <v>3596</v>
      </c>
      <c r="U338">
        <v>0</v>
      </c>
      <c r="V338" t="b">
        <v>1</v>
      </c>
      <c r="W338" t="b">
        <v>0</v>
      </c>
      <c r="X338" t="b">
        <v>0</v>
      </c>
      <c r="Y338" t="s">
        <v>13212</v>
      </c>
      <c r="Z338">
        <v>742.98</v>
      </c>
      <c r="AA338" t="s">
        <v>13213</v>
      </c>
      <c r="AB338">
        <v>599.33000000000004</v>
      </c>
      <c r="AC338" t="s">
        <v>13213</v>
      </c>
      <c r="AD338">
        <v>666</v>
      </c>
      <c r="AE338" t="s">
        <v>13214</v>
      </c>
      <c r="AF338">
        <v>548.16999999999996</v>
      </c>
      <c r="AG338" t="s">
        <v>13213</v>
      </c>
      <c r="AH338">
        <v>460.25</v>
      </c>
      <c r="AI338" t="s">
        <v>13215</v>
      </c>
      <c r="AJ338">
        <v>899</v>
      </c>
      <c r="AK338" t="s">
        <v>13213</v>
      </c>
    </row>
    <row r="339" spans="1:37" x14ac:dyDescent="0.25">
      <c r="A339" t="s">
        <v>780</v>
      </c>
      <c r="B339" t="s">
        <v>13205</v>
      </c>
      <c r="C339" t="b">
        <v>0</v>
      </c>
      <c r="D339" t="b">
        <v>0</v>
      </c>
      <c r="E339">
        <v>1</v>
      </c>
      <c r="F339">
        <v>1</v>
      </c>
      <c r="G339">
        <v>1</v>
      </c>
      <c r="H339" t="s">
        <v>860</v>
      </c>
      <c r="I339">
        <v>6</v>
      </c>
      <c r="J339">
        <v>95.65</v>
      </c>
      <c r="K339">
        <v>0</v>
      </c>
      <c r="L339" t="s">
        <v>859</v>
      </c>
      <c r="M339" t="s">
        <v>833</v>
      </c>
      <c r="N339" t="s">
        <v>13205</v>
      </c>
      <c r="O339" t="s">
        <v>838</v>
      </c>
      <c r="P339" t="s">
        <v>13738</v>
      </c>
      <c r="Q339" t="s">
        <v>13739</v>
      </c>
      <c r="R339" t="s">
        <v>781</v>
      </c>
      <c r="S339" t="s">
        <v>781</v>
      </c>
      <c r="T339" t="s">
        <v>3597</v>
      </c>
      <c r="U339">
        <v>0</v>
      </c>
      <c r="V339" t="b">
        <v>1</v>
      </c>
      <c r="W339" t="b">
        <v>1</v>
      </c>
      <c r="X339" t="b">
        <v>0</v>
      </c>
      <c r="Y339" t="s">
        <v>13212</v>
      </c>
    </row>
    <row r="340" spans="1:37" x14ac:dyDescent="0.25">
      <c r="A340" t="s">
        <v>3599</v>
      </c>
      <c r="B340" t="s">
        <v>13205</v>
      </c>
      <c r="C340" t="b">
        <v>0</v>
      </c>
      <c r="D340" t="b">
        <v>0</v>
      </c>
      <c r="E340">
        <v>47</v>
      </c>
      <c r="F340">
        <v>185</v>
      </c>
      <c r="G340">
        <v>44</v>
      </c>
      <c r="H340" t="s">
        <v>860</v>
      </c>
      <c r="I340">
        <v>4</v>
      </c>
      <c r="J340">
        <v>80</v>
      </c>
      <c r="K340">
        <v>4.5</v>
      </c>
      <c r="L340" t="s">
        <v>859</v>
      </c>
      <c r="M340" t="s">
        <v>833</v>
      </c>
      <c r="N340" t="s">
        <v>917</v>
      </c>
      <c r="O340" t="s">
        <v>838</v>
      </c>
      <c r="P340" t="s">
        <v>3600</v>
      </c>
      <c r="Q340" t="s">
        <v>3600</v>
      </c>
      <c r="R340" t="s">
        <v>3600</v>
      </c>
      <c r="S340" t="s">
        <v>3600</v>
      </c>
      <c r="T340" t="s">
        <v>3598</v>
      </c>
      <c r="U340">
        <v>0</v>
      </c>
      <c r="V340" t="b">
        <v>1</v>
      </c>
      <c r="W340" t="b">
        <v>1</v>
      </c>
      <c r="X340" t="b">
        <v>0</v>
      </c>
      <c r="Y340" t="s">
        <v>13212</v>
      </c>
    </row>
    <row r="341" spans="1:37" x14ac:dyDescent="0.25">
      <c r="A341" t="s">
        <v>362</v>
      </c>
      <c r="B341" t="s">
        <v>13205</v>
      </c>
      <c r="C341" t="b">
        <v>1</v>
      </c>
      <c r="D341" t="b">
        <v>1</v>
      </c>
      <c r="E341">
        <v>47</v>
      </c>
      <c r="F341">
        <v>185</v>
      </c>
      <c r="G341">
        <v>44</v>
      </c>
      <c r="H341" t="s">
        <v>860</v>
      </c>
      <c r="I341">
        <v>4</v>
      </c>
      <c r="J341">
        <v>80</v>
      </c>
      <c r="K341">
        <v>4.5</v>
      </c>
      <c r="L341" t="s">
        <v>859</v>
      </c>
      <c r="M341" t="s">
        <v>13207</v>
      </c>
      <c r="N341" t="s">
        <v>917</v>
      </c>
      <c r="O341" t="s">
        <v>838</v>
      </c>
      <c r="P341" t="s">
        <v>589</v>
      </c>
      <c r="Q341" t="s">
        <v>589</v>
      </c>
      <c r="R341" t="s">
        <v>589</v>
      </c>
      <c r="S341" t="s">
        <v>589</v>
      </c>
      <c r="T341" t="s">
        <v>373</v>
      </c>
      <c r="U341">
        <v>25</v>
      </c>
      <c r="V341" t="b">
        <v>0</v>
      </c>
      <c r="W341" t="b">
        <v>0</v>
      </c>
      <c r="X341" t="b">
        <v>0</v>
      </c>
      <c r="Y341" t="s">
        <v>13212</v>
      </c>
      <c r="Z341">
        <v>536.36</v>
      </c>
      <c r="AA341" t="s">
        <v>13213</v>
      </c>
      <c r="AB341">
        <v>432.67</v>
      </c>
      <c r="AC341" t="s">
        <v>13213</v>
      </c>
      <c r="AD341">
        <v>519.20000000000005</v>
      </c>
      <c r="AE341" t="s">
        <v>13214</v>
      </c>
      <c r="AF341">
        <v>395.73</v>
      </c>
      <c r="AG341" t="s">
        <v>13213</v>
      </c>
      <c r="AH341">
        <v>358.75</v>
      </c>
      <c r="AI341" t="s">
        <v>13215</v>
      </c>
      <c r="AJ341">
        <v>649</v>
      </c>
      <c r="AK341" t="s">
        <v>13213</v>
      </c>
    </row>
    <row r="342" spans="1:37" x14ac:dyDescent="0.25">
      <c r="A342" t="s">
        <v>3603</v>
      </c>
      <c r="B342" t="s">
        <v>13205</v>
      </c>
      <c r="C342" t="b">
        <v>0</v>
      </c>
      <c r="D342" t="b">
        <v>0</v>
      </c>
      <c r="E342">
        <v>47</v>
      </c>
      <c r="F342">
        <v>185</v>
      </c>
      <c r="G342">
        <v>44</v>
      </c>
      <c r="H342" t="s">
        <v>860</v>
      </c>
      <c r="I342">
        <v>4</v>
      </c>
      <c r="J342">
        <v>80</v>
      </c>
      <c r="K342">
        <v>4.5</v>
      </c>
      <c r="L342" t="s">
        <v>859</v>
      </c>
      <c r="M342" t="s">
        <v>833</v>
      </c>
      <c r="N342" t="s">
        <v>917</v>
      </c>
      <c r="O342" t="s">
        <v>838</v>
      </c>
      <c r="P342" t="s">
        <v>589</v>
      </c>
      <c r="Q342" t="s">
        <v>589</v>
      </c>
      <c r="R342" t="s">
        <v>589</v>
      </c>
      <c r="S342" t="s">
        <v>589</v>
      </c>
      <c r="T342" t="s">
        <v>3602</v>
      </c>
      <c r="U342">
        <v>0</v>
      </c>
      <c r="V342" t="b">
        <v>1</v>
      </c>
      <c r="W342" t="b">
        <v>1</v>
      </c>
      <c r="X342" t="b">
        <v>0</v>
      </c>
      <c r="Y342" t="s">
        <v>13212</v>
      </c>
    </row>
    <row r="343" spans="1:37" x14ac:dyDescent="0.25">
      <c r="A343" t="s">
        <v>471</v>
      </c>
      <c r="B343" t="s">
        <v>13205</v>
      </c>
      <c r="C343" t="b">
        <v>1</v>
      </c>
      <c r="D343" t="b">
        <v>1</v>
      </c>
      <c r="E343">
        <v>47</v>
      </c>
      <c r="F343">
        <v>185</v>
      </c>
      <c r="G343">
        <v>35</v>
      </c>
      <c r="H343" t="s">
        <v>860</v>
      </c>
      <c r="I343">
        <v>6</v>
      </c>
      <c r="J343">
        <v>63.05</v>
      </c>
      <c r="K343">
        <v>9.5500000000000007</v>
      </c>
      <c r="L343" t="s">
        <v>859</v>
      </c>
      <c r="M343" t="s">
        <v>13207</v>
      </c>
      <c r="N343" t="s">
        <v>917</v>
      </c>
      <c r="O343" t="s">
        <v>838</v>
      </c>
      <c r="P343" t="s">
        <v>472</v>
      </c>
      <c r="Q343" t="s">
        <v>472</v>
      </c>
      <c r="R343" t="s">
        <v>472</v>
      </c>
      <c r="S343" t="s">
        <v>472</v>
      </c>
      <c r="T343" t="s">
        <v>3613</v>
      </c>
      <c r="U343">
        <v>50</v>
      </c>
      <c r="V343" t="b">
        <v>0</v>
      </c>
      <c r="W343" t="b">
        <v>0</v>
      </c>
      <c r="X343" t="b">
        <v>0</v>
      </c>
      <c r="Y343" t="s">
        <v>13212</v>
      </c>
      <c r="Z343">
        <v>495.04</v>
      </c>
      <c r="AA343" t="s">
        <v>13213</v>
      </c>
      <c r="AB343">
        <v>399.33</v>
      </c>
      <c r="AC343" t="s">
        <v>13213</v>
      </c>
      <c r="AD343">
        <v>439.33</v>
      </c>
      <c r="AE343" t="s">
        <v>13214</v>
      </c>
      <c r="AF343">
        <v>365.24</v>
      </c>
      <c r="AG343" t="s">
        <v>13213</v>
      </c>
      <c r="AH343">
        <v>308.58</v>
      </c>
      <c r="AI343" t="s">
        <v>13215</v>
      </c>
      <c r="AJ343">
        <v>599</v>
      </c>
      <c r="AK343" t="s">
        <v>13213</v>
      </c>
    </row>
    <row r="344" spans="1:37" x14ac:dyDescent="0.25">
      <c r="A344" t="s">
        <v>803</v>
      </c>
      <c r="B344" t="s">
        <v>13205</v>
      </c>
      <c r="C344" t="b">
        <v>0</v>
      </c>
      <c r="D344" t="b">
        <v>0</v>
      </c>
      <c r="E344">
        <v>47</v>
      </c>
      <c r="F344">
        <v>185</v>
      </c>
      <c r="G344">
        <v>35</v>
      </c>
      <c r="H344" t="s">
        <v>860</v>
      </c>
      <c r="I344">
        <v>6</v>
      </c>
      <c r="J344">
        <v>63.05</v>
      </c>
      <c r="K344">
        <v>9.5500000000000007</v>
      </c>
      <c r="L344" t="s">
        <v>859</v>
      </c>
      <c r="M344" t="s">
        <v>833</v>
      </c>
      <c r="N344" t="s">
        <v>917</v>
      </c>
      <c r="O344" t="s">
        <v>838</v>
      </c>
      <c r="P344" t="s">
        <v>472</v>
      </c>
      <c r="Q344" t="s">
        <v>472</v>
      </c>
      <c r="R344" t="s">
        <v>472</v>
      </c>
      <c r="S344" t="s">
        <v>472</v>
      </c>
      <c r="T344" t="s">
        <v>3615</v>
      </c>
      <c r="U344">
        <v>0</v>
      </c>
      <c r="V344" t="b">
        <v>1</v>
      </c>
      <c r="W344" t="b">
        <v>1</v>
      </c>
      <c r="X344" t="b">
        <v>0</v>
      </c>
      <c r="Y344" t="s">
        <v>13212</v>
      </c>
    </row>
    <row r="345" spans="1:37" x14ac:dyDescent="0.25">
      <c r="A345" t="s">
        <v>473</v>
      </c>
      <c r="B345" t="s">
        <v>13205</v>
      </c>
      <c r="C345" t="b">
        <v>1</v>
      </c>
      <c r="D345" t="b">
        <v>1</v>
      </c>
      <c r="E345">
        <v>47</v>
      </c>
      <c r="F345">
        <v>185</v>
      </c>
      <c r="G345">
        <v>35</v>
      </c>
      <c r="H345" t="s">
        <v>860</v>
      </c>
      <c r="I345">
        <v>6</v>
      </c>
      <c r="J345">
        <v>63.05</v>
      </c>
      <c r="K345">
        <v>9.5500000000000007</v>
      </c>
      <c r="L345" t="s">
        <v>859</v>
      </c>
      <c r="M345" t="s">
        <v>13207</v>
      </c>
      <c r="N345" t="s">
        <v>917</v>
      </c>
      <c r="O345" t="s">
        <v>838</v>
      </c>
      <c r="P345" t="s">
        <v>474</v>
      </c>
      <c r="Q345" t="s">
        <v>474</v>
      </c>
      <c r="R345" t="s">
        <v>474</v>
      </c>
      <c r="S345" t="s">
        <v>474</v>
      </c>
      <c r="T345" t="s">
        <v>3616</v>
      </c>
      <c r="U345">
        <v>50</v>
      </c>
      <c r="V345" t="b">
        <v>0</v>
      </c>
      <c r="W345" t="b">
        <v>0</v>
      </c>
      <c r="X345" t="b">
        <v>0</v>
      </c>
      <c r="Y345" t="s">
        <v>13212</v>
      </c>
      <c r="Z345">
        <v>495.04</v>
      </c>
      <c r="AA345" t="s">
        <v>13213</v>
      </c>
      <c r="AB345">
        <v>399.33</v>
      </c>
      <c r="AC345" t="s">
        <v>13213</v>
      </c>
      <c r="AD345">
        <v>439.33</v>
      </c>
      <c r="AE345" t="s">
        <v>13214</v>
      </c>
      <c r="AF345">
        <v>365.24</v>
      </c>
      <c r="AG345" t="s">
        <v>13213</v>
      </c>
      <c r="AH345">
        <v>308.58</v>
      </c>
      <c r="AI345" t="s">
        <v>13215</v>
      </c>
      <c r="AJ345">
        <v>599</v>
      </c>
      <c r="AK345" t="s">
        <v>13213</v>
      </c>
    </row>
    <row r="346" spans="1:37" x14ac:dyDescent="0.25">
      <c r="A346" t="s">
        <v>804</v>
      </c>
      <c r="B346" t="s">
        <v>13205</v>
      </c>
      <c r="C346" t="b">
        <v>0</v>
      </c>
      <c r="D346" t="b">
        <v>0</v>
      </c>
      <c r="E346">
        <v>47</v>
      </c>
      <c r="F346">
        <v>185</v>
      </c>
      <c r="G346">
        <v>35</v>
      </c>
      <c r="H346" t="s">
        <v>860</v>
      </c>
      <c r="I346">
        <v>6</v>
      </c>
      <c r="J346">
        <v>63.05</v>
      </c>
      <c r="K346">
        <v>9.5500000000000007</v>
      </c>
      <c r="L346" t="s">
        <v>859</v>
      </c>
      <c r="M346" t="s">
        <v>833</v>
      </c>
      <c r="N346" t="s">
        <v>917</v>
      </c>
      <c r="O346" t="s">
        <v>838</v>
      </c>
      <c r="P346" t="s">
        <v>474</v>
      </c>
      <c r="Q346" t="s">
        <v>474</v>
      </c>
      <c r="R346" t="s">
        <v>474</v>
      </c>
      <c r="S346" t="s">
        <v>474</v>
      </c>
      <c r="T346" t="s">
        <v>3617</v>
      </c>
      <c r="U346">
        <v>0</v>
      </c>
      <c r="V346" t="b">
        <v>1</v>
      </c>
      <c r="W346" t="b">
        <v>1</v>
      </c>
      <c r="X346" t="b">
        <v>0</v>
      </c>
      <c r="Y346" t="s">
        <v>13212</v>
      </c>
    </row>
    <row r="347" spans="1:37" x14ac:dyDescent="0.25">
      <c r="A347" t="s">
        <v>778</v>
      </c>
      <c r="B347" t="s">
        <v>13205</v>
      </c>
      <c r="C347" t="b">
        <v>0</v>
      </c>
      <c r="D347" t="b">
        <v>0</v>
      </c>
      <c r="E347">
        <v>1</v>
      </c>
      <c r="F347">
        <v>1</v>
      </c>
      <c r="G347">
        <v>1</v>
      </c>
      <c r="H347" t="s">
        <v>860</v>
      </c>
      <c r="I347">
        <v>6</v>
      </c>
      <c r="J347">
        <v>116.6</v>
      </c>
      <c r="K347">
        <v>0</v>
      </c>
      <c r="L347" t="s">
        <v>859</v>
      </c>
      <c r="M347" t="s">
        <v>833</v>
      </c>
      <c r="N347" t="s">
        <v>13205</v>
      </c>
      <c r="O347" t="s">
        <v>838</v>
      </c>
      <c r="P347" t="s">
        <v>13877</v>
      </c>
      <c r="Q347" t="s">
        <v>13878</v>
      </c>
      <c r="R347" t="s">
        <v>779</v>
      </c>
      <c r="S347" t="s">
        <v>779</v>
      </c>
      <c r="T347" t="s">
        <v>3618</v>
      </c>
      <c r="U347">
        <v>0</v>
      </c>
      <c r="V347" t="b">
        <v>1</v>
      </c>
      <c r="W347" t="b">
        <v>1</v>
      </c>
      <c r="X347" t="b">
        <v>0</v>
      </c>
      <c r="Y347" t="s">
        <v>13212</v>
      </c>
    </row>
    <row r="348" spans="1:37" x14ac:dyDescent="0.25">
      <c r="A348" t="s">
        <v>469</v>
      </c>
      <c r="B348" t="s">
        <v>13205</v>
      </c>
      <c r="C348" t="b">
        <v>1</v>
      </c>
      <c r="D348" t="b">
        <v>1</v>
      </c>
      <c r="E348">
        <v>1</v>
      </c>
      <c r="F348">
        <v>1</v>
      </c>
      <c r="G348">
        <v>1</v>
      </c>
      <c r="H348" t="s">
        <v>860</v>
      </c>
      <c r="I348">
        <v>0</v>
      </c>
      <c r="J348">
        <v>99.65</v>
      </c>
      <c r="K348">
        <v>0</v>
      </c>
      <c r="L348" t="s">
        <v>13205</v>
      </c>
      <c r="M348" t="s">
        <v>13207</v>
      </c>
      <c r="N348" t="s">
        <v>13205</v>
      </c>
      <c r="O348" t="s">
        <v>838</v>
      </c>
      <c r="P348" t="s">
        <v>13736</v>
      </c>
      <c r="Q348" t="s">
        <v>13737</v>
      </c>
      <c r="R348" t="s">
        <v>783</v>
      </c>
      <c r="S348" t="s">
        <v>783</v>
      </c>
      <c r="T348" t="s">
        <v>3619</v>
      </c>
      <c r="U348">
        <v>0</v>
      </c>
      <c r="V348" t="b">
        <v>1</v>
      </c>
      <c r="W348" t="b">
        <v>0</v>
      </c>
      <c r="X348" t="b">
        <v>0</v>
      </c>
      <c r="Y348" t="s">
        <v>13212</v>
      </c>
      <c r="Z348">
        <v>742.98</v>
      </c>
      <c r="AA348" t="s">
        <v>13213</v>
      </c>
      <c r="AB348">
        <v>599.33000000000004</v>
      </c>
      <c r="AC348" t="s">
        <v>13213</v>
      </c>
      <c r="AD348">
        <v>666</v>
      </c>
      <c r="AE348" t="s">
        <v>13214</v>
      </c>
      <c r="AF348">
        <v>548.16999999999996</v>
      </c>
      <c r="AG348" t="s">
        <v>13213</v>
      </c>
      <c r="AH348">
        <v>460.25</v>
      </c>
      <c r="AI348" t="s">
        <v>13215</v>
      </c>
      <c r="AJ348">
        <v>899</v>
      </c>
      <c r="AK348" t="s">
        <v>13213</v>
      </c>
    </row>
    <row r="349" spans="1:37" x14ac:dyDescent="0.25">
      <c r="A349" t="s">
        <v>782</v>
      </c>
      <c r="B349" t="s">
        <v>13205</v>
      </c>
      <c r="C349" t="b">
        <v>0</v>
      </c>
      <c r="D349" t="b">
        <v>0</v>
      </c>
      <c r="E349">
        <v>1</v>
      </c>
      <c r="F349">
        <v>1</v>
      </c>
      <c r="G349">
        <v>1</v>
      </c>
      <c r="H349" t="s">
        <v>860</v>
      </c>
      <c r="I349">
        <v>6</v>
      </c>
      <c r="J349">
        <v>99.65</v>
      </c>
      <c r="K349">
        <v>0</v>
      </c>
      <c r="L349" t="s">
        <v>859</v>
      </c>
      <c r="M349" t="s">
        <v>833</v>
      </c>
      <c r="N349" t="s">
        <v>13205</v>
      </c>
      <c r="O349" t="s">
        <v>838</v>
      </c>
      <c r="P349" t="s">
        <v>13736</v>
      </c>
      <c r="Q349" t="s">
        <v>13737</v>
      </c>
      <c r="R349" t="s">
        <v>783</v>
      </c>
      <c r="S349" t="s">
        <v>783</v>
      </c>
      <c r="T349" t="s">
        <v>3621</v>
      </c>
      <c r="U349">
        <v>0</v>
      </c>
      <c r="V349" t="b">
        <v>1</v>
      </c>
      <c r="W349" t="b">
        <v>1</v>
      </c>
      <c r="X349" t="b">
        <v>0</v>
      </c>
      <c r="Y349" t="s">
        <v>13212</v>
      </c>
    </row>
    <row r="350" spans="1:37" x14ac:dyDescent="0.25">
      <c r="A350" t="s">
        <v>104</v>
      </c>
      <c r="B350" t="s">
        <v>13205</v>
      </c>
      <c r="C350" t="b">
        <v>1</v>
      </c>
      <c r="D350" t="b">
        <v>1</v>
      </c>
      <c r="E350">
        <v>1</v>
      </c>
      <c r="F350">
        <v>1</v>
      </c>
      <c r="G350">
        <v>1</v>
      </c>
      <c r="H350" t="s">
        <v>860</v>
      </c>
      <c r="I350">
        <v>0</v>
      </c>
      <c r="J350">
        <v>84.3</v>
      </c>
      <c r="K350">
        <v>0</v>
      </c>
      <c r="L350" t="s">
        <v>859</v>
      </c>
      <c r="M350" t="s">
        <v>13207</v>
      </c>
      <c r="N350" t="s">
        <v>13205</v>
      </c>
      <c r="O350" t="s">
        <v>838</v>
      </c>
      <c r="P350" t="s">
        <v>105</v>
      </c>
      <c r="Q350" t="s">
        <v>105</v>
      </c>
      <c r="R350" t="s">
        <v>105</v>
      </c>
      <c r="S350" t="s">
        <v>105</v>
      </c>
      <c r="T350" t="s">
        <v>3623</v>
      </c>
      <c r="U350">
        <v>1</v>
      </c>
      <c r="V350" t="b">
        <v>1</v>
      </c>
      <c r="W350" t="b">
        <v>0</v>
      </c>
      <c r="X350" t="b">
        <v>0</v>
      </c>
      <c r="Y350" t="s">
        <v>13212</v>
      </c>
      <c r="Z350">
        <v>685.12</v>
      </c>
      <c r="AA350" t="s">
        <v>13213</v>
      </c>
      <c r="AB350">
        <v>552.66999999999996</v>
      </c>
      <c r="AC350" t="s">
        <v>13213</v>
      </c>
      <c r="AD350">
        <v>663.2</v>
      </c>
      <c r="AE350" t="s">
        <v>13214</v>
      </c>
      <c r="AF350">
        <v>505.49</v>
      </c>
      <c r="AG350" t="s">
        <v>13213</v>
      </c>
      <c r="AH350">
        <v>425.25</v>
      </c>
      <c r="AI350" t="s">
        <v>13215</v>
      </c>
      <c r="AJ350">
        <v>829</v>
      </c>
      <c r="AK350" t="s">
        <v>13213</v>
      </c>
    </row>
    <row r="351" spans="1:37" x14ac:dyDescent="0.25">
      <c r="A351" t="s">
        <v>784</v>
      </c>
      <c r="B351" t="s">
        <v>13205</v>
      </c>
      <c r="C351" t="b">
        <v>0</v>
      </c>
      <c r="D351" t="b">
        <v>0</v>
      </c>
      <c r="E351">
        <v>1</v>
      </c>
      <c r="F351">
        <v>1</v>
      </c>
      <c r="G351">
        <v>1</v>
      </c>
      <c r="H351" t="s">
        <v>860</v>
      </c>
      <c r="I351">
        <v>6</v>
      </c>
      <c r="J351">
        <v>84.3</v>
      </c>
      <c r="K351">
        <v>0</v>
      </c>
      <c r="L351" t="s">
        <v>859</v>
      </c>
      <c r="M351" t="s">
        <v>833</v>
      </c>
      <c r="N351" t="s">
        <v>13205</v>
      </c>
      <c r="O351" t="s">
        <v>838</v>
      </c>
      <c r="P351" t="s">
        <v>105</v>
      </c>
      <c r="Q351" t="s">
        <v>105</v>
      </c>
      <c r="R351" t="s">
        <v>105</v>
      </c>
      <c r="S351" t="s">
        <v>105</v>
      </c>
      <c r="T351" t="s">
        <v>3624</v>
      </c>
      <c r="U351">
        <v>0</v>
      </c>
      <c r="V351" t="b">
        <v>1</v>
      </c>
      <c r="W351" t="b">
        <v>1</v>
      </c>
      <c r="X351" t="b">
        <v>0</v>
      </c>
      <c r="Y351" t="s">
        <v>13212</v>
      </c>
    </row>
    <row r="352" spans="1:37" x14ac:dyDescent="0.25">
      <c r="A352" t="s">
        <v>84</v>
      </c>
      <c r="B352" t="s">
        <v>13205</v>
      </c>
      <c r="C352" t="b">
        <v>1</v>
      </c>
      <c r="D352" t="b">
        <v>1</v>
      </c>
      <c r="E352">
        <v>1</v>
      </c>
      <c r="F352">
        <v>1</v>
      </c>
      <c r="G352">
        <v>1</v>
      </c>
      <c r="H352" t="s">
        <v>860</v>
      </c>
      <c r="I352">
        <v>0</v>
      </c>
      <c r="J352">
        <v>123.8</v>
      </c>
      <c r="K352">
        <v>0</v>
      </c>
      <c r="L352" t="s">
        <v>859</v>
      </c>
      <c r="M352" t="s">
        <v>13207</v>
      </c>
      <c r="N352" t="s">
        <v>13205</v>
      </c>
      <c r="O352" t="s">
        <v>838</v>
      </c>
      <c r="P352" t="s">
        <v>13572</v>
      </c>
      <c r="Q352" t="s">
        <v>13573</v>
      </c>
      <c r="R352" t="s">
        <v>773</v>
      </c>
      <c r="S352" t="s">
        <v>773</v>
      </c>
      <c r="T352" t="s">
        <v>3625</v>
      </c>
      <c r="U352">
        <v>1</v>
      </c>
      <c r="V352" t="b">
        <v>1</v>
      </c>
      <c r="W352" t="b">
        <v>0</v>
      </c>
      <c r="X352" t="b">
        <v>0</v>
      </c>
      <c r="Y352" t="s">
        <v>13212</v>
      </c>
      <c r="Z352">
        <v>957.85</v>
      </c>
      <c r="AA352" t="s">
        <v>13213</v>
      </c>
      <c r="AB352">
        <v>772.67</v>
      </c>
      <c r="AC352" t="s">
        <v>13213</v>
      </c>
      <c r="AD352">
        <v>919.2</v>
      </c>
      <c r="AE352" t="s">
        <v>13214</v>
      </c>
      <c r="AF352">
        <v>706.71</v>
      </c>
      <c r="AG352" t="s">
        <v>13213</v>
      </c>
      <c r="AH352">
        <v>597.41999999999996</v>
      </c>
      <c r="AI352" t="s">
        <v>13215</v>
      </c>
      <c r="AJ352">
        <v>1159</v>
      </c>
      <c r="AK352" t="s">
        <v>13213</v>
      </c>
    </row>
    <row r="353" spans="1:37" x14ac:dyDescent="0.25">
      <c r="A353" t="s">
        <v>772</v>
      </c>
      <c r="B353" t="s">
        <v>13205</v>
      </c>
      <c r="C353" t="b">
        <v>0</v>
      </c>
      <c r="D353" t="b">
        <v>0</v>
      </c>
      <c r="E353">
        <v>1</v>
      </c>
      <c r="F353">
        <v>1</v>
      </c>
      <c r="G353">
        <v>1</v>
      </c>
      <c r="H353" t="s">
        <v>860</v>
      </c>
      <c r="I353">
        <v>6</v>
      </c>
      <c r="J353">
        <v>123.8</v>
      </c>
      <c r="K353">
        <v>0</v>
      </c>
      <c r="L353" t="s">
        <v>859</v>
      </c>
      <c r="M353" t="s">
        <v>833</v>
      </c>
      <c r="N353" t="s">
        <v>13205</v>
      </c>
      <c r="O353" t="s">
        <v>838</v>
      </c>
      <c r="P353" t="s">
        <v>13572</v>
      </c>
      <c r="Q353" t="s">
        <v>13573</v>
      </c>
      <c r="R353" t="s">
        <v>773</v>
      </c>
      <c r="S353" t="s">
        <v>773</v>
      </c>
      <c r="T353" t="s">
        <v>3626</v>
      </c>
      <c r="U353">
        <v>0</v>
      </c>
      <c r="V353" t="b">
        <v>1</v>
      </c>
      <c r="W353" t="b">
        <v>1</v>
      </c>
      <c r="X353" t="b">
        <v>0</v>
      </c>
      <c r="Y353" t="s">
        <v>13212</v>
      </c>
    </row>
    <row r="354" spans="1:37" x14ac:dyDescent="0.25">
      <c r="A354" t="s">
        <v>82</v>
      </c>
      <c r="B354" t="s">
        <v>13205</v>
      </c>
      <c r="C354" t="b">
        <v>1</v>
      </c>
      <c r="D354" t="b">
        <v>1</v>
      </c>
      <c r="E354">
        <v>1</v>
      </c>
      <c r="F354">
        <v>1</v>
      </c>
      <c r="G354">
        <v>1</v>
      </c>
      <c r="H354" t="s">
        <v>860</v>
      </c>
      <c r="I354">
        <v>0</v>
      </c>
      <c r="J354">
        <v>144.6</v>
      </c>
      <c r="K354">
        <v>0</v>
      </c>
      <c r="L354" t="s">
        <v>859</v>
      </c>
      <c r="M354" t="s">
        <v>13207</v>
      </c>
      <c r="N354" t="s">
        <v>13205</v>
      </c>
      <c r="O354" t="s">
        <v>838</v>
      </c>
      <c r="P354" t="s">
        <v>13711</v>
      </c>
      <c r="Q354" t="s">
        <v>13712</v>
      </c>
      <c r="R354" t="s">
        <v>769</v>
      </c>
      <c r="S354" t="s">
        <v>769</v>
      </c>
      <c r="T354" t="s">
        <v>3627</v>
      </c>
      <c r="U354">
        <v>1</v>
      </c>
      <c r="V354" t="b">
        <v>1</v>
      </c>
      <c r="W354" t="b">
        <v>0</v>
      </c>
      <c r="X354" t="b">
        <v>0</v>
      </c>
      <c r="Y354" t="s">
        <v>13212</v>
      </c>
      <c r="Z354">
        <v>957.85</v>
      </c>
      <c r="AA354" t="s">
        <v>13213</v>
      </c>
      <c r="AB354">
        <v>772.67</v>
      </c>
      <c r="AC354" t="s">
        <v>13213</v>
      </c>
      <c r="AD354">
        <v>919.2</v>
      </c>
      <c r="AE354" t="s">
        <v>13214</v>
      </c>
      <c r="AF354">
        <v>706.71</v>
      </c>
      <c r="AG354" t="s">
        <v>13213</v>
      </c>
      <c r="AH354">
        <v>594.41999999999996</v>
      </c>
      <c r="AI354" t="s">
        <v>13215</v>
      </c>
      <c r="AJ354">
        <v>1159</v>
      </c>
      <c r="AK354" t="s">
        <v>13213</v>
      </c>
    </row>
    <row r="355" spans="1:37" x14ac:dyDescent="0.25">
      <c r="A355" t="s">
        <v>768</v>
      </c>
      <c r="B355" t="s">
        <v>13205</v>
      </c>
      <c r="C355" t="b">
        <v>0</v>
      </c>
      <c r="D355" t="b">
        <v>0</v>
      </c>
      <c r="E355">
        <v>1</v>
      </c>
      <c r="F355">
        <v>1</v>
      </c>
      <c r="G355">
        <v>1</v>
      </c>
      <c r="H355" t="s">
        <v>860</v>
      </c>
      <c r="I355">
        <v>6</v>
      </c>
      <c r="J355">
        <v>144.6</v>
      </c>
      <c r="K355">
        <v>0</v>
      </c>
      <c r="L355" t="s">
        <v>859</v>
      </c>
      <c r="M355" t="s">
        <v>833</v>
      </c>
      <c r="N355" t="s">
        <v>13205</v>
      </c>
      <c r="O355" t="s">
        <v>838</v>
      </c>
      <c r="P355" t="s">
        <v>13711</v>
      </c>
      <c r="Q355" t="s">
        <v>13712</v>
      </c>
      <c r="R355" t="s">
        <v>769</v>
      </c>
      <c r="S355" t="s">
        <v>769</v>
      </c>
      <c r="T355" t="s">
        <v>3628</v>
      </c>
      <c r="U355">
        <v>0</v>
      </c>
      <c r="V355" t="b">
        <v>1</v>
      </c>
      <c r="W355" t="b">
        <v>1</v>
      </c>
      <c r="X355" t="b">
        <v>0</v>
      </c>
      <c r="Y355" t="s">
        <v>13212</v>
      </c>
    </row>
    <row r="356" spans="1:37" x14ac:dyDescent="0.25">
      <c r="A356" t="s">
        <v>785</v>
      </c>
      <c r="B356" t="s">
        <v>13205</v>
      </c>
      <c r="C356" t="b">
        <v>0</v>
      </c>
      <c r="D356" t="b">
        <v>0</v>
      </c>
      <c r="E356">
        <v>1</v>
      </c>
      <c r="F356">
        <v>1</v>
      </c>
      <c r="G356">
        <v>1</v>
      </c>
      <c r="H356" t="s">
        <v>860</v>
      </c>
      <c r="I356">
        <v>6</v>
      </c>
      <c r="J356">
        <v>84.3</v>
      </c>
      <c r="K356">
        <v>0</v>
      </c>
      <c r="L356" t="s">
        <v>859</v>
      </c>
      <c r="M356" t="s">
        <v>833</v>
      </c>
      <c r="N356" t="s">
        <v>13205</v>
      </c>
      <c r="O356" t="s">
        <v>838</v>
      </c>
      <c r="P356" t="s">
        <v>786</v>
      </c>
      <c r="Q356" t="s">
        <v>786</v>
      </c>
      <c r="R356" t="s">
        <v>786</v>
      </c>
      <c r="S356" t="s">
        <v>786</v>
      </c>
      <c r="T356" t="s">
        <v>3629</v>
      </c>
      <c r="U356">
        <v>0</v>
      </c>
      <c r="V356" t="b">
        <v>1</v>
      </c>
      <c r="W356" t="b">
        <v>1</v>
      </c>
      <c r="X356" t="b">
        <v>0</v>
      </c>
      <c r="Y356" t="s">
        <v>13212</v>
      </c>
    </row>
    <row r="357" spans="1:37" x14ac:dyDescent="0.25">
      <c r="A357" t="s">
        <v>774</v>
      </c>
      <c r="B357" t="s">
        <v>13205</v>
      </c>
      <c r="C357" t="b">
        <v>0</v>
      </c>
      <c r="D357" t="b">
        <v>0</v>
      </c>
      <c r="E357">
        <v>1</v>
      </c>
      <c r="F357">
        <v>1</v>
      </c>
      <c r="G357">
        <v>1</v>
      </c>
      <c r="H357" t="s">
        <v>860</v>
      </c>
      <c r="I357">
        <v>6</v>
      </c>
      <c r="J357">
        <v>123.8</v>
      </c>
      <c r="K357">
        <v>0</v>
      </c>
      <c r="L357" t="s">
        <v>859</v>
      </c>
      <c r="M357" t="s">
        <v>833</v>
      </c>
      <c r="N357" t="s">
        <v>13205</v>
      </c>
      <c r="O357" t="s">
        <v>838</v>
      </c>
      <c r="P357" t="s">
        <v>13873</v>
      </c>
      <c r="Q357" t="s">
        <v>13874</v>
      </c>
      <c r="R357" t="s">
        <v>775</v>
      </c>
      <c r="S357" t="s">
        <v>775</v>
      </c>
      <c r="T357" t="s">
        <v>3630</v>
      </c>
      <c r="U357">
        <v>0</v>
      </c>
      <c r="V357" t="b">
        <v>1</v>
      </c>
      <c r="W357" t="b">
        <v>1</v>
      </c>
      <c r="X357" t="b">
        <v>0</v>
      </c>
      <c r="Y357" t="s">
        <v>13212</v>
      </c>
    </row>
    <row r="358" spans="1:37" x14ac:dyDescent="0.25">
      <c r="A358" t="s">
        <v>770</v>
      </c>
      <c r="B358" t="s">
        <v>13205</v>
      </c>
      <c r="C358" t="b">
        <v>0</v>
      </c>
      <c r="D358" t="b">
        <v>0</v>
      </c>
      <c r="E358">
        <v>1</v>
      </c>
      <c r="F358">
        <v>1</v>
      </c>
      <c r="G358">
        <v>1</v>
      </c>
      <c r="H358" t="s">
        <v>860</v>
      </c>
      <c r="I358">
        <v>6</v>
      </c>
      <c r="J358">
        <v>144.6</v>
      </c>
      <c r="K358">
        <v>0</v>
      </c>
      <c r="L358" t="s">
        <v>859</v>
      </c>
      <c r="M358" t="s">
        <v>833</v>
      </c>
      <c r="N358" t="s">
        <v>13205</v>
      </c>
      <c r="O358" t="s">
        <v>838</v>
      </c>
      <c r="P358" t="s">
        <v>13875</v>
      </c>
      <c r="Q358" t="s">
        <v>13876</v>
      </c>
      <c r="R358" t="s">
        <v>771</v>
      </c>
      <c r="S358" t="s">
        <v>771</v>
      </c>
      <c r="T358" t="s">
        <v>3631</v>
      </c>
      <c r="U358">
        <v>0</v>
      </c>
      <c r="V358" t="b">
        <v>1</v>
      </c>
      <c r="W358" t="b">
        <v>1</v>
      </c>
      <c r="X358" t="b">
        <v>0</v>
      </c>
      <c r="Y358" t="s">
        <v>13212</v>
      </c>
    </row>
    <row r="359" spans="1:37" x14ac:dyDescent="0.25">
      <c r="A359" t="s">
        <v>427</v>
      </c>
      <c r="B359" t="s">
        <v>13205</v>
      </c>
      <c r="C359" t="b">
        <v>1</v>
      </c>
      <c r="D359" t="b">
        <v>1</v>
      </c>
      <c r="E359">
        <v>64</v>
      </c>
      <c r="F359">
        <v>197</v>
      </c>
      <c r="G359">
        <v>24</v>
      </c>
      <c r="H359" t="s">
        <v>860</v>
      </c>
      <c r="I359">
        <v>6</v>
      </c>
      <c r="J359">
        <v>40.9</v>
      </c>
      <c r="K359">
        <v>8</v>
      </c>
      <c r="L359" t="s">
        <v>859</v>
      </c>
      <c r="M359" t="s">
        <v>13207</v>
      </c>
      <c r="N359" t="s">
        <v>929</v>
      </c>
      <c r="O359" t="s">
        <v>838</v>
      </c>
      <c r="P359" t="s">
        <v>591</v>
      </c>
      <c r="Q359" t="s">
        <v>591</v>
      </c>
      <c r="R359" t="s">
        <v>591</v>
      </c>
      <c r="S359" t="s">
        <v>591</v>
      </c>
      <c r="T359" t="s">
        <v>3632</v>
      </c>
      <c r="U359">
        <v>69</v>
      </c>
      <c r="V359" t="b">
        <v>0</v>
      </c>
      <c r="W359" t="b">
        <v>0</v>
      </c>
      <c r="X359" t="b">
        <v>0</v>
      </c>
      <c r="Y359" t="s">
        <v>13212</v>
      </c>
      <c r="Z359">
        <v>342.98</v>
      </c>
      <c r="AA359" t="s">
        <v>13213</v>
      </c>
      <c r="AB359">
        <v>276.67</v>
      </c>
      <c r="AC359" t="s">
        <v>13213</v>
      </c>
      <c r="AD359">
        <v>332</v>
      </c>
      <c r="AE359" t="s">
        <v>13214</v>
      </c>
      <c r="AF359">
        <v>304.27</v>
      </c>
      <c r="AG359" t="s">
        <v>13213</v>
      </c>
      <c r="AH359">
        <v>279.42</v>
      </c>
      <c r="AI359" t="s">
        <v>13215</v>
      </c>
      <c r="AJ359">
        <v>415</v>
      </c>
      <c r="AK359" t="s">
        <v>13213</v>
      </c>
    </row>
    <row r="360" spans="1:37" x14ac:dyDescent="0.25">
      <c r="A360" t="s">
        <v>3635</v>
      </c>
      <c r="B360" t="s">
        <v>13205</v>
      </c>
      <c r="C360" t="b">
        <v>0</v>
      </c>
      <c r="D360" t="b">
        <v>0</v>
      </c>
      <c r="E360">
        <v>64</v>
      </c>
      <c r="F360">
        <v>197</v>
      </c>
      <c r="G360">
        <v>24</v>
      </c>
      <c r="H360" t="s">
        <v>860</v>
      </c>
      <c r="I360">
        <v>6</v>
      </c>
      <c r="J360">
        <v>40.9</v>
      </c>
      <c r="K360">
        <v>8</v>
      </c>
      <c r="L360" t="s">
        <v>859</v>
      </c>
      <c r="M360" t="s">
        <v>833</v>
      </c>
      <c r="N360" t="s">
        <v>929</v>
      </c>
      <c r="O360" t="s">
        <v>838</v>
      </c>
      <c r="P360" t="s">
        <v>3636</v>
      </c>
      <c r="Q360" t="s">
        <v>3636</v>
      </c>
      <c r="R360" t="s">
        <v>3636</v>
      </c>
      <c r="S360" t="s">
        <v>3636</v>
      </c>
      <c r="T360" t="s">
        <v>3634</v>
      </c>
      <c r="U360">
        <v>0</v>
      </c>
      <c r="V360" t="b">
        <v>1</v>
      </c>
      <c r="W360" t="b">
        <v>1</v>
      </c>
      <c r="X360" t="b">
        <v>0</v>
      </c>
      <c r="Y360" t="s">
        <v>13212</v>
      </c>
    </row>
    <row r="361" spans="1:37" x14ac:dyDescent="0.25">
      <c r="A361" t="s">
        <v>428</v>
      </c>
      <c r="B361" t="s">
        <v>13205</v>
      </c>
      <c r="C361" t="b">
        <v>1</v>
      </c>
      <c r="D361" t="b">
        <v>1</v>
      </c>
      <c r="E361">
        <v>64</v>
      </c>
      <c r="F361">
        <v>188</v>
      </c>
      <c r="G361">
        <v>24</v>
      </c>
      <c r="H361" t="s">
        <v>860</v>
      </c>
      <c r="I361">
        <v>6</v>
      </c>
      <c r="J361">
        <v>20.100000000000001</v>
      </c>
      <c r="K361">
        <v>8.1</v>
      </c>
      <c r="L361" t="s">
        <v>859</v>
      </c>
      <c r="M361" t="s">
        <v>13207</v>
      </c>
      <c r="N361" t="s">
        <v>929</v>
      </c>
      <c r="O361" t="s">
        <v>838</v>
      </c>
      <c r="P361" t="s">
        <v>592</v>
      </c>
      <c r="Q361" t="s">
        <v>592</v>
      </c>
      <c r="R361" t="s">
        <v>592</v>
      </c>
      <c r="S361" t="s">
        <v>592</v>
      </c>
      <c r="T361" t="s">
        <v>3637</v>
      </c>
      <c r="U361">
        <v>72</v>
      </c>
      <c r="V361" t="b">
        <v>0</v>
      </c>
      <c r="W361" t="b">
        <v>0</v>
      </c>
      <c r="X361" t="b">
        <v>0</v>
      </c>
      <c r="Y361" t="s">
        <v>13212</v>
      </c>
      <c r="Z361">
        <v>342.98</v>
      </c>
      <c r="AA361" t="s">
        <v>13213</v>
      </c>
      <c r="AB361">
        <v>276.67</v>
      </c>
      <c r="AC361" t="s">
        <v>13213</v>
      </c>
      <c r="AD361">
        <v>332</v>
      </c>
      <c r="AE361" t="s">
        <v>13214</v>
      </c>
      <c r="AF361">
        <v>304.27</v>
      </c>
      <c r="AG361" t="s">
        <v>13213</v>
      </c>
      <c r="AH361">
        <v>279.42</v>
      </c>
      <c r="AI361" t="s">
        <v>13215</v>
      </c>
      <c r="AJ361">
        <v>415</v>
      </c>
      <c r="AK361" t="s">
        <v>13213</v>
      </c>
    </row>
    <row r="362" spans="1:37" x14ac:dyDescent="0.25">
      <c r="A362" t="s">
        <v>927</v>
      </c>
      <c r="B362" t="s">
        <v>13205</v>
      </c>
      <c r="C362" t="b">
        <v>0</v>
      </c>
      <c r="D362" t="b">
        <v>0</v>
      </c>
      <c r="E362">
        <v>64</v>
      </c>
      <c r="F362">
        <v>188</v>
      </c>
      <c r="G362">
        <v>24</v>
      </c>
      <c r="H362" t="s">
        <v>860</v>
      </c>
      <c r="I362">
        <v>6</v>
      </c>
      <c r="J362">
        <v>20.100000000000001</v>
      </c>
      <c r="K362">
        <v>8.1</v>
      </c>
      <c r="L362" t="s">
        <v>859</v>
      </c>
      <c r="M362" t="s">
        <v>833</v>
      </c>
      <c r="N362" t="s">
        <v>929</v>
      </c>
      <c r="O362" t="s">
        <v>838</v>
      </c>
      <c r="P362" t="s">
        <v>928</v>
      </c>
      <c r="Q362" t="s">
        <v>928</v>
      </c>
      <c r="R362" t="s">
        <v>928</v>
      </c>
      <c r="S362" t="s">
        <v>928</v>
      </c>
      <c r="T362" t="s">
        <v>3639</v>
      </c>
      <c r="U362">
        <v>0</v>
      </c>
      <c r="V362" t="b">
        <v>1</v>
      </c>
      <c r="W362" t="b">
        <v>1</v>
      </c>
      <c r="X362" t="b">
        <v>0</v>
      </c>
      <c r="Y362" t="s">
        <v>13212</v>
      </c>
    </row>
    <row r="363" spans="1:37" x14ac:dyDescent="0.25">
      <c r="A363" t="s">
        <v>429</v>
      </c>
      <c r="B363" t="s">
        <v>13205</v>
      </c>
      <c r="C363" t="b">
        <v>1</v>
      </c>
      <c r="D363" t="b">
        <v>1</v>
      </c>
      <c r="E363">
        <v>45</v>
      </c>
      <c r="F363">
        <v>195</v>
      </c>
      <c r="G363">
        <v>18</v>
      </c>
      <c r="H363" t="s">
        <v>860</v>
      </c>
      <c r="I363">
        <v>9</v>
      </c>
      <c r="J363">
        <v>64.2</v>
      </c>
      <c r="K363">
        <v>6.1</v>
      </c>
      <c r="L363" t="s">
        <v>859</v>
      </c>
      <c r="M363" t="s">
        <v>13207</v>
      </c>
      <c r="N363" t="s">
        <v>929</v>
      </c>
      <c r="O363" t="s">
        <v>838</v>
      </c>
      <c r="P363" t="s">
        <v>593</v>
      </c>
      <c r="Q363" t="s">
        <v>593</v>
      </c>
      <c r="R363" t="s">
        <v>593</v>
      </c>
      <c r="S363" t="s">
        <v>593</v>
      </c>
      <c r="T363" t="s">
        <v>3640</v>
      </c>
      <c r="U363">
        <v>133</v>
      </c>
      <c r="V363" t="b">
        <v>0</v>
      </c>
      <c r="W363" t="b">
        <v>0</v>
      </c>
      <c r="X363" t="b">
        <v>0</v>
      </c>
      <c r="Y363" t="s">
        <v>13212</v>
      </c>
      <c r="Z363">
        <v>260.33</v>
      </c>
      <c r="AA363" t="s">
        <v>13213</v>
      </c>
      <c r="AB363">
        <v>210</v>
      </c>
      <c r="AC363" t="s">
        <v>13213</v>
      </c>
      <c r="AD363">
        <v>252</v>
      </c>
      <c r="AE363" t="s">
        <v>13214</v>
      </c>
      <c r="AF363">
        <v>243.29</v>
      </c>
      <c r="AG363" t="s">
        <v>13213</v>
      </c>
      <c r="AH363">
        <v>220.93</v>
      </c>
      <c r="AI363" t="s">
        <v>13215</v>
      </c>
      <c r="AJ363">
        <v>315</v>
      </c>
      <c r="AK363" t="s">
        <v>13213</v>
      </c>
    </row>
    <row r="364" spans="1:37" x14ac:dyDescent="0.25">
      <c r="A364" t="s">
        <v>3643</v>
      </c>
      <c r="B364" t="s">
        <v>13205</v>
      </c>
      <c r="C364" t="b">
        <v>0</v>
      </c>
      <c r="D364" t="b">
        <v>0</v>
      </c>
      <c r="E364">
        <v>45</v>
      </c>
      <c r="F364">
        <v>195</v>
      </c>
      <c r="G364">
        <v>18</v>
      </c>
      <c r="H364" t="s">
        <v>860</v>
      </c>
      <c r="I364">
        <v>9</v>
      </c>
      <c r="J364">
        <v>64.2</v>
      </c>
      <c r="K364">
        <v>6.1</v>
      </c>
      <c r="L364" t="s">
        <v>859</v>
      </c>
      <c r="M364" t="s">
        <v>833</v>
      </c>
      <c r="N364" t="s">
        <v>929</v>
      </c>
      <c r="O364" t="s">
        <v>838</v>
      </c>
      <c r="P364" t="s">
        <v>593</v>
      </c>
      <c r="Q364" t="s">
        <v>593</v>
      </c>
      <c r="R364" t="s">
        <v>593</v>
      </c>
      <c r="S364" t="s">
        <v>593</v>
      </c>
      <c r="T364" t="s">
        <v>3642</v>
      </c>
      <c r="U364">
        <v>0</v>
      </c>
      <c r="V364" t="b">
        <v>1</v>
      </c>
      <c r="W364" t="b">
        <v>1</v>
      </c>
      <c r="X364" t="b">
        <v>0</v>
      </c>
      <c r="Y364" t="s">
        <v>13212</v>
      </c>
    </row>
    <row r="365" spans="1:37" x14ac:dyDescent="0.25">
      <c r="A365" t="s">
        <v>325</v>
      </c>
      <c r="B365" t="s">
        <v>13205</v>
      </c>
      <c r="C365" t="b">
        <v>1</v>
      </c>
      <c r="D365" t="b">
        <v>1</v>
      </c>
      <c r="E365">
        <v>33</v>
      </c>
      <c r="F365">
        <v>126</v>
      </c>
      <c r="G365">
        <v>28.5</v>
      </c>
      <c r="H365" t="s">
        <v>860</v>
      </c>
      <c r="I365">
        <v>12</v>
      </c>
      <c r="J365">
        <v>31</v>
      </c>
      <c r="K365">
        <v>3</v>
      </c>
      <c r="L365" t="s">
        <v>859</v>
      </c>
      <c r="M365" t="s">
        <v>13207</v>
      </c>
      <c r="N365" t="s">
        <v>917</v>
      </c>
      <c r="O365" t="s">
        <v>838</v>
      </c>
      <c r="P365" t="s">
        <v>13591</v>
      </c>
      <c r="Q365" t="s">
        <v>13592</v>
      </c>
      <c r="R365" t="s">
        <v>594</v>
      </c>
      <c r="S365" t="s">
        <v>525</v>
      </c>
      <c r="T365" t="s">
        <v>374</v>
      </c>
      <c r="U365">
        <v>50</v>
      </c>
      <c r="V365" t="b">
        <v>0</v>
      </c>
      <c r="W365" t="b">
        <v>0</v>
      </c>
      <c r="X365" t="b">
        <v>0</v>
      </c>
      <c r="Y365" t="s">
        <v>13212</v>
      </c>
      <c r="Z365">
        <v>263.64</v>
      </c>
      <c r="AA365" t="s">
        <v>13213</v>
      </c>
      <c r="AB365">
        <v>212.67</v>
      </c>
      <c r="AC365" t="s">
        <v>13213</v>
      </c>
      <c r="AD365">
        <v>255.2</v>
      </c>
      <c r="AE365" t="s">
        <v>13214</v>
      </c>
      <c r="AF365">
        <v>194.51</v>
      </c>
      <c r="AG365" t="s">
        <v>13213</v>
      </c>
      <c r="AH365">
        <v>162.75</v>
      </c>
      <c r="AI365" t="s">
        <v>13215</v>
      </c>
      <c r="AJ365">
        <v>319</v>
      </c>
      <c r="AK365" t="s">
        <v>13213</v>
      </c>
    </row>
    <row r="366" spans="1:37" x14ac:dyDescent="0.25">
      <c r="A366" t="s">
        <v>326</v>
      </c>
      <c r="B366" t="s">
        <v>13205</v>
      </c>
      <c r="C366" t="b">
        <v>1</v>
      </c>
      <c r="D366" t="b">
        <v>1</v>
      </c>
      <c r="E366">
        <v>33</v>
      </c>
      <c r="F366">
        <v>126</v>
      </c>
      <c r="G366">
        <v>28.5</v>
      </c>
      <c r="H366" t="s">
        <v>860</v>
      </c>
      <c r="I366">
        <v>12</v>
      </c>
      <c r="J366">
        <v>36.9</v>
      </c>
      <c r="K366">
        <v>2.9</v>
      </c>
      <c r="L366" t="s">
        <v>859</v>
      </c>
      <c r="M366" t="s">
        <v>13207</v>
      </c>
      <c r="N366" t="s">
        <v>917</v>
      </c>
      <c r="O366" t="s">
        <v>838</v>
      </c>
      <c r="P366" t="s">
        <v>13666</v>
      </c>
      <c r="Q366" t="s">
        <v>13667</v>
      </c>
      <c r="R366" t="s">
        <v>595</v>
      </c>
      <c r="S366" t="s">
        <v>526</v>
      </c>
      <c r="T366" t="s">
        <v>375</v>
      </c>
      <c r="U366">
        <v>100</v>
      </c>
      <c r="V366" t="b">
        <v>0</v>
      </c>
      <c r="W366" t="b">
        <v>0</v>
      </c>
      <c r="X366" t="b">
        <v>0</v>
      </c>
      <c r="Y366" t="s">
        <v>13212</v>
      </c>
      <c r="Z366">
        <v>288.43</v>
      </c>
      <c r="AA366" t="s">
        <v>13213</v>
      </c>
      <c r="AB366">
        <v>232.67</v>
      </c>
      <c r="AC366" t="s">
        <v>13213</v>
      </c>
      <c r="AD366">
        <v>279.2</v>
      </c>
      <c r="AE366" t="s">
        <v>13214</v>
      </c>
      <c r="AF366">
        <v>212.8</v>
      </c>
      <c r="AG366" t="s">
        <v>13213</v>
      </c>
      <c r="AH366">
        <v>180.25</v>
      </c>
      <c r="AI366" t="s">
        <v>13215</v>
      </c>
      <c r="AJ366">
        <v>349</v>
      </c>
      <c r="AK366" t="s">
        <v>13213</v>
      </c>
    </row>
    <row r="367" spans="1:37" x14ac:dyDescent="0.25">
      <c r="A367" t="s">
        <v>327</v>
      </c>
      <c r="B367" t="s">
        <v>13205</v>
      </c>
      <c r="C367" t="b">
        <v>1</v>
      </c>
      <c r="D367" t="b">
        <v>1</v>
      </c>
      <c r="E367">
        <v>33</v>
      </c>
      <c r="F367">
        <v>126</v>
      </c>
      <c r="G367">
        <v>28.5</v>
      </c>
      <c r="H367" t="s">
        <v>860</v>
      </c>
      <c r="I367">
        <v>12</v>
      </c>
      <c r="J367">
        <v>37.9</v>
      </c>
      <c r="K367">
        <v>2.9</v>
      </c>
      <c r="L367" t="s">
        <v>859</v>
      </c>
      <c r="M367" t="s">
        <v>13207</v>
      </c>
      <c r="N367" t="s">
        <v>917</v>
      </c>
      <c r="O367" t="s">
        <v>838</v>
      </c>
      <c r="P367" t="s">
        <v>13728</v>
      </c>
      <c r="Q367" t="s">
        <v>13729</v>
      </c>
      <c r="R367" t="s">
        <v>596</v>
      </c>
      <c r="S367" t="s">
        <v>527</v>
      </c>
      <c r="T367" t="s">
        <v>376</v>
      </c>
      <c r="U367">
        <v>100</v>
      </c>
      <c r="V367" t="b">
        <v>0</v>
      </c>
      <c r="W367" t="b">
        <v>0</v>
      </c>
      <c r="X367" t="b">
        <v>0</v>
      </c>
      <c r="Y367" t="s">
        <v>13212</v>
      </c>
      <c r="Z367">
        <v>304.95999999999998</v>
      </c>
      <c r="AA367" t="s">
        <v>13213</v>
      </c>
      <c r="AB367">
        <v>246</v>
      </c>
      <c r="AC367" t="s">
        <v>13213</v>
      </c>
      <c r="AD367">
        <v>295.2</v>
      </c>
      <c r="AE367" t="s">
        <v>13214</v>
      </c>
      <c r="AF367">
        <v>225</v>
      </c>
      <c r="AG367" t="s">
        <v>13213</v>
      </c>
      <c r="AH367">
        <v>186.08</v>
      </c>
      <c r="AI367" t="s">
        <v>13215</v>
      </c>
      <c r="AJ367">
        <v>369</v>
      </c>
      <c r="AK367" t="s">
        <v>13213</v>
      </c>
    </row>
    <row r="368" spans="1:37" x14ac:dyDescent="0.25">
      <c r="A368" t="s">
        <v>328</v>
      </c>
      <c r="B368" t="s">
        <v>13205</v>
      </c>
      <c r="C368" t="b">
        <v>1</v>
      </c>
      <c r="D368" t="b">
        <v>1</v>
      </c>
      <c r="E368">
        <v>33</v>
      </c>
      <c r="F368">
        <v>126</v>
      </c>
      <c r="G368">
        <v>28.5</v>
      </c>
      <c r="H368" t="s">
        <v>860</v>
      </c>
      <c r="I368">
        <v>12</v>
      </c>
      <c r="J368">
        <v>38.6</v>
      </c>
      <c r="K368">
        <v>2.9</v>
      </c>
      <c r="L368" t="s">
        <v>859</v>
      </c>
      <c r="M368" t="s">
        <v>13207</v>
      </c>
      <c r="N368" t="s">
        <v>917</v>
      </c>
      <c r="O368" t="s">
        <v>838</v>
      </c>
      <c r="P368" t="s">
        <v>13734</v>
      </c>
      <c r="Q368" t="s">
        <v>13735</v>
      </c>
      <c r="R368" t="s">
        <v>597</v>
      </c>
      <c r="S368" t="s">
        <v>528</v>
      </c>
      <c r="T368" t="s">
        <v>377</v>
      </c>
      <c r="U368">
        <v>100</v>
      </c>
      <c r="V368" t="b">
        <v>0</v>
      </c>
      <c r="W368" t="b">
        <v>0</v>
      </c>
      <c r="X368" t="b">
        <v>0</v>
      </c>
      <c r="Y368" t="s">
        <v>13212</v>
      </c>
      <c r="Z368">
        <v>329.75</v>
      </c>
      <c r="AA368" t="s">
        <v>13213</v>
      </c>
      <c r="AB368">
        <v>266</v>
      </c>
      <c r="AC368" t="s">
        <v>13213</v>
      </c>
      <c r="AD368">
        <v>319.2</v>
      </c>
      <c r="AE368" t="s">
        <v>13214</v>
      </c>
      <c r="AF368">
        <v>243.29</v>
      </c>
      <c r="AG368" t="s">
        <v>13213</v>
      </c>
      <c r="AH368">
        <v>203.58</v>
      </c>
      <c r="AI368" t="s">
        <v>13215</v>
      </c>
      <c r="AJ368">
        <v>399</v>
      </c>
      <c r="AK368" t="s">
        <v>13213</v>
      </c>
    </row>
    <row r="369" spans="1:37" x14ac:dyDescent="0.25">
      <c r="A369" t="s">
        <v>329</v>
      </c>
      <c r="B369" t="s">
        <v>13205</v>
      </c>
      <c r="C369" t="b">
        <v>1</v>
      </c>
      <c r="D369" t="b">
        <v>1</v>
      </c>
      <c r="E369">
        <v>33</v>
      </c>
      <c r="F369">
        <v>126</v>
      </c>
      <c r="G369">
        <v>28.5</v>
      </c>
      <c r="H369" t="s">
        <v>860</v>
      </c>
      <c r="I369">
        <v>12</v>
      </c>
      <c r="J369">
        <v>36.6</v>
      </c>
      <c r="K369">
        <v>2.9</v>
      </c>
      <c r="L369" t="s">
        <v>859</v>
      </c>
      <c r="M369" t="s">
        <v>13207</v>
      </c>
      <c r="N369" t="s">
        <v>917</v>
      </c>
      <c r="O369" t="s">
        <v>838</v>
      </c>
      <c r="P369" t="s">
        <v>13597</v>
      </c>
      <c r="Q369" t="s">
        <v>13598</v>
      </c>
      <c r="R369" t="s">
        <v>529</v>
      </c>
      <c r="S369" t="s">
        <v>529</v>
      </c>
      <c r="T369" t="s">
        <v>378</v>
      </c>
      <c r="U369">
        <v>25</v>
      </c>
      <c r="V369" t="b">
        <v>0</v>
      </c>
      <c r="W369" t="b">
        <v>0</v>
      </c>
      <c r="X369" t="b">
        <v>0</v>
      </c>
      <c r="Y369" t="s">
        <v>13212</v>
      </c>
      <c r="Z369">
        <v>329.75</v>
      </c>
      <c r="AA369" t="s">
        <v>13213</v>
      </c>
      <c r="AB369">
        <v>266</v>
      </c>
      <c r="AC369" t="s">
        <v>13213</v>
      </c>
      <c r="AD369">
        <v>319.2</v>
      </c>
      <c r="AE369" t="s">
        <v>13214</v>
      </c>
      <c r="AF369">
        <v>243.29</v>
      </c>
      <c r="AG369" t="s">
        <v>13213</v>
      </c>
      <c r="AH369">
        <v>203.58</v>
      </c>
      <c r="AI369" t="s">
        <v>13215</v>
      </c>
      <c r="AJ369">
        <v>399</v>
      </c>
      <c r="AK369" t="s">
        <v>13213</v>
      </c>
    </row>
    <row r="370" spans="1:37" x14ac:dyDescent="0.25">
      <c r="A370" t="s">
        <v>330</v>
      </c>
      <c r="B370" t="s">
        <v>13205</v>
      </c>
      <c r="C370" t="b">
        <v>1</v>
      </c>
      <c r="D370" t="b">
        <v>1</v>
      </c>
      <c r="E370">
        <v>28.5</v>
      </c>
      <c r="F370">
        <v>126</v>
      </c>
      <c r="G370">
        <v>33</v>
      </c>
      <c r="H370" t="s">
        <v>860</v>
      </c>
      <c r="I370">
        <v>12</v>
      </c>
      <c r="J370">
        <v>39.5</v>
      </c>
      <c r="K370">
        <v>2.9</v>
      </c>
      <c r="L370" t="s">
        <v>859</v>
      </c>
      <c r="M370" t="s">
        <v>13207</v>
      </c>
      <c r="N370" t="s">
        <v>929</v>
      </c>
      <c r="O370" t="s">
        <v>838</v>
      </c>
      <c r="P370" t="s">
        <v>13595</v>
      </c>
      <c r="Q370" t="s">
        <v>13596</v>
      </c>
      <c r="R370" t="s">
        <v>530</v>
      </c>
      <c r="S370" t="s">
        <v>530</v>
      </c>
      <c r="T370" t="s">
        <v>379</v>
      </c>
      <c r="U370">
        <v>50</v>
      </c>
      <c r="V370" t="b">
        <v>0</v>
      </c>
      <c r="W370" t="b">
        <v>0</v>
      </c>
      <c r="X370" t="b">
        <v>0</v>
      </c>
      <c r="Y370" t="s">
        <v>13212</v>
      </c>
      <c r="Z370">
        <v>346.28</v>
      </c>
      <c r="AA370" t="s">
        <v>13213</v>
      </c>
      <c r="AB370">
        <v>279.33</v>
      </c>
      <c r="AC370" t="s">
        <v>13213</v>
      </c>
      <c r="AD370">
        <v>335.2</v>
      </c>
      <c r="AE370" t="s">
        <v>13214</v>
      </c>
      <c r="AF370">
        <v>255.49</v>
      </c>
      <c r="AG370" t="s">
        <v>13213</v>
      </c>
      <c r="AH370">
        <v>215.25</v>
      </c>
      <c r="AI370" t="s">
        <v>13215</v>
      </c>
      <c r="AJ370">
        <v>419</v>
      </c>
      <c r="AK370" t="s">
        <v>13213</v>
      </c>
    </row>
    <row r="371" spans="1:37" x14ac:dyDescent="0.25">
      <c r="A371" t="s">
        <v>331</v>
      </c>
      <c r="B371" t="s">
        <v>13205</v>
      </c>
      <c r="C371" t="b">
        <v>1</v>
      </c>
      <c r="D371" t="b">
        <v>1</v>
      </c>
      <c r="E371">
        <v>41.5</v>
      </c>
      <c r="F371">
        <v>127</v>
      </c>
      <c r="G371">
        <v>22</v>
      </c>
      <c r="H371" t="s">
        <v>860</v>
      </c>
      <c r="I371">
        <v>10</v>
      </c>
      <c r="J371">
        <v>37.200000000000003</v>
      </c>
      <c r="K371">
        <v>2.8</v>
      </c>
      <c r="L371" t="s">
        <v>859</v>
      </c>
      <c r="M371" t="s">
        <v>13207</v>
      </c>
      <c r="N371" t="s">
        <v>917</v>
      </c>
      <c r="O371" t="s">
        <v>838</v>
      </c>
      <c r="P371" t="s">
        <v>13771</v>
      </c>
      <c r="Q371" t="s">
        <v>13772</v>
      </c>
      <c r="R371" t="s">
        <v>598</v>
      </c>
      <c r="S371" t="s">
        <v>531</v>
      </c>
      <c r="T371" t="s">
        <v>380</v>
      </c>
      <c r="U371">
        <v>50</v>
      </c>
      <c r="V371" t="b">
        <v>0</v>
      </c>
      <c r="W371" t="b">
        <v>0</v>
      </c>
      <c r="X371" t="b">
        <v>0</v>
      </c>
      <c r="Y371" t="s">
        <v>13212</v>
      </c>
      <c r="Z371">
        <v>288.43</v>
      </c>
      <c r="AA371" t="s">
        <v>13213</v>
      </c>
      <c r="AB371">
        <v>232.67</v>
      </c>
      <c r="AC371" t="s">
        <v>13213</v>
      </c>
      <c r="AD371">
        <v>279.2</v>
      </c>
      <c r="AE371" t="s">
        <v>13214</v>
      </c>
      <c r="AF371">
        <v>212.8</v>
      </c>
      <c r="AG371" t="s">
        <v>13213</v>
      </c>
      <c r="AH371">
        <v>180.25</v>
      </c>
      <c r="AI371" t="s">
        <v>13215</v>
      </c>
      <c r="AJ371">
        <v>349</v>
      </c>
      <c r="AK371" t="s">
        <v>13213</v>
      </c>
    </row>
    <row r="372" spans="1:37" x14ac:dyDescent="0.25">
      <c r="A372" t="s">
        <v>332</v>
      </c>
      <c r="B372" t="s">
        <v>13205</v>
      </c>
      <c r="C372" t="b">
        <v>1</v>
      </c>
      <c r="D372" t="b">
        <v>1</v>
      </c>
      <c r="E372">
        <v>41.5</v>
      </c>
      <c r="F372">
        <v>127</v>
      </c>
      <c r="G372">
        <v>22</v>
      </c>
      <c r="H372" t="s">
        <v>860</v>
      </c>
      <c r="I372">
        <v>10</v>
      </c>
      <c r="J372">
        <v>38.1</v>
      </c>
      <c r="K372">
        <v>3.8</v>
      </c>
      <c r="L372" t="s">
        <v>859</v>
      </c>
      <c r="M372" t="s">
        <v>13207</v>
      </c>
      <c r="N372" t="s">
        <v>917</v>
      </c>
      <c r="O372" t="s">
        <v>838</v>
      </c>
      <c r="P372" t="s">
        <v>13603</v>
      </c>
      <c r="Q372" t="s">
        <v>13604</v>
      </c>
      <c r="R372" t="s">
        <v>599</v>
      </c>
      <c r="S372" t="s">
        <v>532</v>
      </c>
      <c r="T372" t="s">
        <v>381</v>
      </c>
      <c r="U372">
        <v>50</v>
      </c>
      <c r="V372" t="b">
        <v>0</v>
      </c>
      <c r="W372" t="b">
        <v>0</v>
      </c>
      <c r="X372" t="b">
        <v>0</v>
      </c>
      <c r="Y372" t="s">
        <v>13212</v>
      </c>
      <c r="Z372">
        <v>304.95999999999998</v>
      </c>
      <c r="AA372" t="s">
        <v>13213</v>
      </c>
      <c r="AB372">
        <v>246</v>
      </c>
      <c r="AC372" t="s">
        <v>13213</v>
      </c>
      <c r="AD372">
        <v>295.2</v>
      </c>
      <c r="AE372" t="s">
        <v>13214</v>
      </c>
      <c r="AF372">
        <v>225</v>
      </c>
      <c r="AG372" t="s">
        <v>13213</v>
      </c>
      <c r="AH372">
        <v>186.08</v>
      </c>
      <c r="AI372" t="s">
        <v>13215</v>
      </c>
      <c r="AJ372">
        <v>369</v>
      </c>
      <c r="AK372" t="s">
        <v>13213</v>
      </c>
    </row>
    <row r="373" spans="1:37" x14ac:dyDescent="0.25">
      <c r="A373" t="s">
        <v>333</v>
      </c>
      <c r="B373" t="s">
        <v>13205</v>
      </c>
      <c r="C373" t="b">
        <v>1</v>
      </c>
      <c r="D373" t="b">
        <v>1</v>
      </c>
      <c r="E373">
        <v>41.5</v>
      </c>
      <c r="F373">
        <v>127</v>
      </c>
      <c r="G373">
        <v>22</v>
      </c>
      <c r="H373" t="s">
        <v>860</v>
      </c>
      <c r="I373">
        <v>10</v>
      </c>
      <c r="J373">
        <v>39</v>
      </c>
      <c r="K373">
        <v>3.8</v>
      </c>
      <c r="L373" t="s">
        <v>859</v>
      </c>
      <c r="M373" t="s">
        <v>13207</v>
      </c>
      <c r="N373" t="s">
        <v>917</v>
      </c>
      <c r="O373" t="s">
        <v>838</v>
      </c>
      <c r="P373" t="s">
        <v>13593</v>
      </c>
      <c r="Q373" t="s">
        <v>13594</v>
      </c>
      <c r="R373" t="s">
        <v>600</v>
      </c>
      <c r="S373" t="s">
        <v>533</v>
      </c>
      <c r="T373" t="s">
        <v>382</v>
      </c>
      <c r="U373">
        <v>100</v>
      </c>
      <c r="V373" t="b">
        <v>0</v>
      </c>
      <c r="W373" t="b">
        <v>0</v>
      </c>
      <c r="X373" t="b">
        <v>0</v>
      </c>
      <c r="Y373" t="s">
        <v>13212</v>
      </c>
      <c r="Z373">
        <v>329.75</v>
      </c>
      <c r="AA373" t="s">
        <v>13213</v>
      </c>
      <c r="AB373">
        <v>266</v>
      </c>
      <c r="AC373" t="s">
        <v>13213</v>
      </c>
      <c r="AD373">
        <v>319.2</v>
      </c>
      <c r="AE373" t="s">
        <v>13214</v>
      </c>
      <c r="AF373">
        <v>243.29</v>
      </c>
      <c r="AG373" t="s">
        <v>13213</v>
      </c>
      <c r="AH373">
        <v>203.58</v>
      </c>
      <c r="AI373" t="s">
        <v>13215</v>
      </c>
      <c r="AJ373">
        <v>399</v>
      </c>
      <c r="AK373" t="s">
        <v>13213</v>
      </c>
    </row>
    <row r="374" spans="1:37" x14ac:dyDescent="0.25">
      <c r="A374" t="s">
        <v>334</v>
      </c>
      <c r="B374" t="s">
        <v>13205</v>
      </c>
      <c r="C374" t="b">
        <v>1</v>
      </c>
      <c r="D374" t="b">
        <v>1</v>
      </c>
      <c r="E374">
        <v>17</v>
      </c>
      <c r="F374">
        <v>124</v>
      </c>
      <c r="G374">
        <v>46</v>
      </c>
      <c r="H374" t="s">
        <v>860</v>
      </c>
      <c r="I374">
        <v>12</v>
      </c>
      <c r="J374">
        <v>24</v>
      </c>
      <c r="K374">
        <v>1.2</v>
      </c>
      <c r="L374" t="s">
        <v>859</v>
      </c>
      <c r="M374" t="s">
        <v>13207</v>
      </c>
      <c r="N374" t="s">
        <v>929</v>
      </c>
      <c r="O374" t="s">
        <v>838</v>
      </c>
      <c r="P374" t="s">
        <v>13441</v>
      </c>
      <c r="Q374" t="s">
        <v>13442</v>
      </c>
      <c r="R374" t="s">
        <v>534</v>
      </c>
      <c r="S374" t="s">
        <v>534</v>
      </c>
      <c r="T374" t="s">
        <v>383</v>
      </c>
      <c r="U374">
        <v>115</v>
      </c>
      <c r="V374" t="b">
        <v>0</v>
      </c>
      <c r="W374" t="b">
        <v>0</v>
      </c>
      <c r="X374" t="b">
        <v>0</v>
      </c>
      <c r="Y374" t="s">
        <v>13212</v>
      </c>
      <c r="Z374">
        <v>164.46</v>
      </c>
      <c r="AA374" t="s">
        <v>13213</v>
      </c>
      <c r="AB374">
        <v>132.66999999999999</v>
      </c>
      <c r="AC374" t="s">
        <v>13213</v>
      </c>
      <c r="AD374">
        <v>159.19999999999999</v>
      </c>
      <c r="AE374" t="s">
        <v>13214</v>
      </c>
      <c r="AF374">
        <v>121.34</v>
      </c>
      <c r="AG374" t="s">
        <v>13213</v>
      </c>
      <c r="AH374">
        <v>98.58</v>
      </c>
      <c r="AI374" t="s">
        <v>13215</v>
      </c>
      <c r="AJ374">
        <v>199</v>
      </c>
      <c r="AK374" t="s">
        <v>13213</v>
      </c>
    </row>
    <row r="375" spans="1:37" x14ac:dyDescent="0.25">
      <c r="A375" t="s">
        <v>3794</v>
      </c>
      <c r="B375" t="s">
        <v>13205</v>
      </c>
      <c r="C375" t="b">
        <v>0</v>
      </c>
      <c r="D375" t="b">
        <v>0</v>
      </c>
      <c r="E375">
        <v>1</v>
      </c>
      <c r="F375">
        <v>1</v>
      </c>
      <c r="G375">
        <v>1</v>
      </c>
      <c r="H375" t="s">
        <v>13205</v>
      </c>
      <c r="I375">
        <v>1</v>
      </c>
      <c r="J375">
        <v>0.01</v>
      </c>
      <c r="K375">
        <v>0</v>
      </c>
      <c r="L375" t="s">
        <v>859</v>
      </c>
      <c r="M375" t="s">
        <v>833</v>
      </c>
      <c r="N375" t="s">
        <v>929</v>
      </c>
      <c r="O375" t="s">
        <v>838</v>
      </c>
      <c r="P375" t="s">
        <v>13836</v>
      </c>
      <c r="Q375" t="s">
        <v>13837</v>
      </c>
      <c r="R375" t="s">
        <v>13838</v>
      </c>
      <c r="S375" t="s">
        <v>534</v>
      </c>
      <c r="T375" t="s">
        <v>3793</v>
      </c>
      <c r="U375">
        <v>0</v>
      </c>
      <c r="V375" t="b">
        <v>1</v>
      </c>
      <c r="W375" t="b">
        <v>1</v>
      </c>
      <c r="X375" t="b">
        <v>0</v>
      </c>
      <c r="Y375" t="s">
        <v>13212</v>
      </c>
    </row>
    <row r="376" spans="1:37" x14ac:dyDescent="0.25">
      <c r="A376" t="s">
        <v>335</v>
      </c>
      <c r="B376" t="s">
        <v>13205</v>
      </c>
      <c r="C376" t="b">
        <v>1</v>
      </c>
      <c r="D376" t="b">
        <v>1</v>
      </c>
      <c r="E376">
        <v>17</v>
      </c>
      <c r="F376">
        <v>124</v>
      </c>
      <c r="G376">
        <v>46</v>
      </c>
      <c r="H376" t="s">
        <v>860</v>
      </c>
      <c r="I376">
        <v>12</v>
      </c>
      <c r="J376">
        <v>24.3</v>
      </c>
      <c r="K376">
        <v>2.2000000000000002</v>
      </c>
      <c r="L376" t="s">
        <v>859</v>
      </c>
      <c r="M376" t="s">
        <v>13207</v>
      </c>
      <c r="N376" t="s">
        <v>929</v>
      </c>
      <c r="O376" t="s">
        <v>838</v>
      </c>
      <c r="P376" t="s">
        <v>13443</v>
      </c>
      <c r="Q376" t="s">
        <v>13444</v>
      </c>
      <c r="R376" t="s">
        <v>535</v>
      </c>
      <c r="S376" t="s">
        <v>535</v>
      </c>
      <c r="T376" t="s">
        <v>384</v>
      </c>
      <c r="U376">
        <v>222</v>
      </c>
      <c r="V376" t="b">
        <v>0</v>
      </c>
      <c r="W376" t="b">
        <v>0</v>
      </c>
      <c r="X376" t="b">
        <v>0</v>
      </c>
      <c r="Y376" t="s">
        <v>13212</v>
      </c>
      <c r="Z376">
        <v>180.99</v>
      </c>
      <c r="AA376" t="s">
        <v>13213</v>
      </c>
      <c r="AB376">
        <v>146</v>
      </c>
      <c r="AC376" t="s">
        <v>13213</v>
      </c>
      <c r="AD376">
        <v>175.2</v>
      </c>
      <c r="AE376" t="s">
        <v>13214</v>
      </c>
      <c r="AF376">
        <v>133.54</v>
      </c>
      <c r="AG376" t="s">
        <v>13213</v>
      </c>
      <c r="AH376">
        <v>110.25</v>
      </c>
      <c r="AI376" t="s">
        <v>13215</v>
      </c>
      <c r="AJ376">
        <v>219</v>
      </c>
      <c r="AK376" t="s">
        <v>13213</v>
      </c>
    </row>
    <row r="377" spans="1:37" x14ac:dyDescent="0.25">
      <c r="A377" t="s">
        <v>3800</v>
      </c>
      <c r="B377" t="s">
        <v>13205</v>
      </c>
      <c r="C377" t="b">
        <v>0</v>
      </c>
      <c r="D377" t="b">
        <v>0</v>
      </c>
      <c r="E377">
        <v>1</v>
      </c>
      <c r="F377">
        <v>1</v>
      </c>
      <c r="G377">
        <v>1</v>
      </c>
      <c r="H377" t="s">
        <v>13205</v>
      </c>
      <c r="I377">
        <v>1</v>
      </c>
      <c r="J377">
        <v>0.01</v>
      </c>
      <c r="K377">
        <v>0</v>
      </c>
      <c r="L377" t="s">
        <v>859</v>
      </c>
      <c r="M377" t="s">
        <v>833</v>
      </c>
      <c r="N377" t="s">
        <v>929</v>
      </c>
      <c r="O377" t="s">
        <v>838</v>
      </c>
      <c r="P377" t="s">
        <v>13839</v>
      </c>
      <c r="Q377" t="s">
        <v>13840</v>
      </c>
      <c r="R377" t="s">
        <v>13841</v>
      </c>
      <c r="S377" t="s">
        <v>535</v>
      </c>
      <c r="T377" t="s">
        <v>3799</v>
      </c>
      <c r="U377">
        <v>0</v>
      </c>
      <c r="V377" t="b">
        <v>1</v>
      </c>
      <c r="W377" t="b">
        <v>1</v>
      </c>
      <c r="X377" t="b">
        <v>0</v>
      </c>
      <c r="Y377" t="s">
        <v>13212</v>
      </c>
    </row>
    <row r="378" spans="1:37" x14ac:dyDescent="0.25">
      <c r="A378" t="s">
        <v>336</v>
      </c>
      <c r="B378" t="s">
        <v>13205</v>
      </c>
      <c r="C378" t="b">
        <v>1</v>
      </c>
      <c r="D378" t="b">
        <v>1</v>
      </c>
      <c r="E378">
        <v>17</v>
      </c>
      <c r="F378">
        <v>124</v>
      </c>
      <c r="G378">
        <v>46</v>
      </c>
      <c r="H378" t="s">
        <v>860</v>
      </c>
      <c r="I378">
        <v>12</v>
      </c>
      <c r="J378">
        <v>24.7</v>
      </c>
      <c r="K378">
        <v>2.2000000000000002</v>
      </c>
      <c r="L378" t="s">
        <v>859</v>
      </c>
      <c r="M378" t="s">
        <v>13207</v>
      </c>
      <c r="N378" t="s">
        <v>929</v>
      </c>
      <c r="O378" t="s">
        <v>838</v>
      </c>
      <c r="P378" t="s">
        <v>13439</v>
      </c>
      <c r="Q378" t="s">
        <v>13440</v>
      </c>
      <c r="R378" t="s">
        <v>536</v>
      </c>
      <c r="S378" t="s">
        <v>536</v>
      </c>
      <c r="T378" t="s">
        <v>385</v>
      </c>
      <c r="U378">
        <v>195</v>
      </c>
      <c r="V378" t="b">
        <v>0</v>
      </c>
      <c r="W378" t="b">
        <v>0</v>
      </c>
      <c r="X378" t="b">
        <v>0</v>
      </c>
      <c r="Y378" t="s">
        <v>13212</v>
      </c>
      <c r="Z378">
        <v>189.26</v>
      </c>
      <c r="AA378" t="s">
        <v>13213</v>
      </c>
      <c r="AB378">
        <v>152.66999999999999</v>
      </c>
      <c r="AC378" t="s">
        <v>13213</v>
      </c>
      <c r="AD378">
        <v>183.2</v>
      </c>
      <c r="AE378" t="s">
        <v>13214</v>
      </c>
      <c r="AF378">
        <v>139.63</v>
      </c>
      <c r="AG378" t="s">
        <v>13213</v>
      </c>
      <c r="AH378">
        <v>116.08</v>
      </c>
      <c r="AI378" t="s">
        <v>13215</v>
      </c>
      <c r="AJ378">
        <v>229</v>
      </c>
      <c r="AK378" t="s">
        <v>13213</v>
      </c>
    </row>
    <row r="379" spans="1:37" x14ac:dyDescent="0.25">
      <c r="A379" t="s">
        <v>3806</v>
      </c>
      <c r="B379" t="s">
        <v>13205</v>
      </c>
      <c r="C379" t="b">
        <v>0</v>
      </c>
      <c r="D379" t="b">
        <v>0</v>
      </c>
      <c r="E379">
        <v>1</v>
      </c>
      <c r="F379">
        <v>1</v>
      </c>
      <c r="G379">
        <v>1</v>
      </c>
      <c r="H379" t="s">
        <v>13205</v>
      </c>
      <c r="I379">
        <v>1</v>
      </c>
      <c r="J379">
        <v>0.01</v>
      </c>
      <c r="K379">
        <v>0</v>
      </c>
      <c r="L379" t="s">
        <v>859</v>
      </c>
      <c r="M379" t="s">
        <v>833</v>
      </c>
      <c r="N379" t="s">
        <v>929</v>
      </c>
      <c r="O379" t="s">
        <v>838</v>
      </c>
      <c r="P379" t="s">
        <v>13842</v>
      </c>
      <c r="Q379" t="s">
        <v>13843</v>
      </c>
      <c r="R379" t="s">
        <v>13844</v>
      </c>
      <c r="S379" t="s">
        <v>536</v>
      </c>
      <c r="T379" t="s">
        <v>3805</v>
      </c>
      <c r="U379">
        <v>0</v>
      </c>
      <c r="V379" t="b">
        <v>1</v>
      </c>
      <c r="W379" t="b">
        <v>1</v>
      </c>
      <c r="X379" t="b">
        <v>0</v>
      </c>
      <c r="Y379" t="s">
        <v>13212</v>
      </c>
    </row>
    <row r="380" spans="1:37" x14ac:dyDescent="0.25">
      <c r="A380" t="s">
        <v>337</v>
      </c>
      <c r="B380" t="s">
        <v>13205</v>
      </c>
      <c r="C380" t="b">
        <v>1</v>
      </c>
      <c r="D380" t="b">
        <v>1</v>
      </c>
      <c r="E380">
        <v>17</v>
      </c>
      <c r="F380">
        <v>124</v>
      </c>
      <c r="G380">
        <v>46</v>
      </c>
      <c r="H380" t="s">
        <v>860</v>
      </c>
      <c r="I380">
        <v>12</v>
      </c>
      <c r="J380">
        <v>25</v>
      </c>
      <c r="K380">
        <v>2.2000000000000002</v>
      </c>
      <c r="L380" t="s">
        <v>859</v>
      </c>
      <c r="M380" t="s">
        <v>13207</v>
      </c>
      <c r="N380" t="s">
        <v>929</v>
      </c>
      <c r="O380" t="s">
        <v>838</v>
      </c>
      <c r="P380" t="s">
        <v>13445</v>
      </c>
      <c r="Q380" t="s">
        <v>13446</v>
      </c>
      <c r="R380" t="s">
        <v>537</v>
      </c>
      <c r="S380" t="s">
        <v>537</v>
      </c>
      <c r="T380" t="s">
        <v>386</v>
      </c>
      <c r="U380">
        <v>175</v>
      </c>
      <c r="V380" t="b">
        <v>0</v>
      </c>
      <c r="W380" t="b">
        <v>0</v>
      </c>
      <c r="X380" t="b">
        <v>0</v>
      </c>
      <c r="Y380" t="s">
        <v>13212</v>
      </c>
      <c r="Z380">
        <v>197.52</v>
      </c>
      <c r="AA380" t="s">
        <v>13213</v>
      </c>
      <c r="AB380">
        <v>159.33000000000001</v>
      </c>
      <c r="AC380" t="s">
        <v>13213</v>
      </c>
      <c r="AD380">
        <v>191.2</v>
      </c>
      <c r="AE380" t="s">
        <v>13214</v>
      </c>
      <c r="AF380">
        <v>145.72999999999999</v>
      </c>
      <c r="AG380" t="s">
        <v>13213</v>
      </c>
      <c r="AH380">
        <v>121.92</v>
      </c>
      <c r="AI380" t="s">
        <v>13215</v>
      </c>
      <c r="AJ380">
        <v>239</v>
      </c>
      <c r="AK380" t="s">
        <v>13213</v>
      </c>
    </row>
    <row r="381" spans="1:37" x14ac:dyDescent="0.25">
      <c r="A381" t="s">
        <v>3812</v>
      </c>
      <c r="B381" t="s">
        <v>13205</v>
      </c>
      <c r="C381" t="b">
        <v>0</v>
      </c>
      <c r="D381" t="b">
        <v>0</v>
      </c>
      <c r="E381">
        <v>1</v>
      </c>
      <c r="F381">
        <v>1</v>
      </c>
      <c r="G381">
        <v>1</v>
      </c>
      <c r="H381" t="s">
        <v>13205</v>
      </c>
      <c r="I381">
        <v>1</v>
      </c>
      <c r="J381">
        <v>0.01</v>
      </c>
      <c r="K381">
        <v>0</v>
      </c>
      <c r="L381" t="s">
        <v>859</v>
      </c>
      <c r="M381" t="s">
        <v>833</v>
      </c>
      <c r="N381" t="s">
        <v>929</v>
      </c>
      <c r="O381" t="s">
        <v>838</v>
      </c>
      <c r="P381" t="s">
        <v>13845</v>
      </c>
      <c r="Q381" t="s">
        <v>13846</v>
      </c>
      <c r="R381" t="s">
        <v>13847</v>
      </c>
      <c r="S381" t="s">
        <v>537</v>
      </c>
      <c r="T381" t="s">
        <v>3811</v>
      </c>
      <c r="U381">
        <v>0</v>
      </c>
      <c r="V381" t="b">
        <v>1</v>
      </c>
      <c r="W381" t="b">
        <v>1</v>
      </c>
      <c r="X381" t="b">
        <v>0</v>
      </c>
      <c r="Y381" t="s">
        <v>13212</v>
      </c>
    </row>
    <row r="382" spans="1:37" x14ac:dyDescent="0.25">
      <c r="A382" t="s">
        <v>338</v>
      </c>
      <c r="B382" t="s">
        <v>13205</v>
      </c>
      <c r="C382" t="b">
        <v>1</v>
      </c>
      <c r="D382" t="b">
        <v>1</v>
      </c>
      <c r="E382">
        <v>17</v>
      </c>
      <c r="F382">
        <v>124</v>
      </c>
      <c r="G382">
        <v>46</v>
      </c>
      <c r="H382" t="s">
        <v>860</v>
      </c>
      <c r="I382">
        <v>12</v>
      </c>
      <c r="J382">
        <v>24.1</v>
      </c>
      <c r="K382">
        <v>2.5</v>
      </c>
      <c r="L382" t="s">
        <v>859</v>
      </c>
      <c r="M382" t="s">
        <v>13207</v>
      </c>
      <c r="N382" t="s">
        <v>929</v>
      </c>
      <c r="O382" t="s">
        <v>838</v>
      </c>
      <c r="P382" t="s">
        <v>13614</v>
      </c>
      <c r="Q382" t="s">
        <v>13615</v>
      </c>
      <c r="R382" t="s">
        <v>538</v>
      </c>
      <c r="S382" t="s">
        <v>538</v>
      </c>
      <c r="T382" t="s">
        <v>387</v>
      </c>
      <c r="U382">
        <v>115</v>
      </c>
      <c r="V382" t="b">
        <v>0</v>
      </c>
      <c r="W382" t="b">
        <v>0</v>
      </c>
      <c r="X382" t="b">
        <v>0</v>
      </c>
      <c r="Y382" t="s">
        <v>13212</v>
      </c>
      <c r="Z382">
        <v>205.79</v>
      </c>
      <c r="AA382" t="s">
        <v>13213</v>
      </c>
      <c r="AB382">
        <v>166</v>
      </c>
      <c r="AC382" t="s">
        <v>13213</v>
      </c>
      <c r="AD382">
        <v>199.2</v>
      </c>
      <c r="AE382" t="s">
        <v>13214</v>
      </c>
      <c r="AF382">
        <v>151.83000000000001</v>
      </c>
      <c r="AG382" t="s">
        <v>13213</v>
      </c>
      <c r="AH382">
        <v>127.75</v>
      </c>
      <c r="AI382" t="s">
        <v>13215</v>
      </c>
      <c r="AJ382">
        <v>249</v>
      </c>
      <c r="AK382" t="s">
        <v>13213</v>
      </c>
    </row>
    <row r="383" spans="1:37" x14ac:dyDescent="0.25">
      <c r="A383" t="s">
        <v>339</v>
      </c>
      <c r="B383" t="s">
        <v>13205</v>
      </c>
      <c r="C383" t="b">
        <v>1</v>
      </c>
      <c r="D383" t="b">
        <v>1</v>
      </c>
      <c r="E383">
        <v>17</v>
      </c>
      <c r="F383">
        <v>124</v>
      </c>
      <c r="G383">
        <v>46</v>
      </c>
      <c r="H383" t="s">
        <v>860</v>
      </c>
      <c r="I383">
        <v>12</v>
      </c>
      <c r="J383">
        <v>24.6</v>
      </c>
      <c r="K383">
        <v>2.5</v>
      </c>
      <c r="L383" t="s">
        <v>859</v>
      </c>
      <c r="M383" t="s">
        <v>13207</v>
      </c>
      <c r="N383" t="s">
        <v>929</v>
      </c>
      <c r="O383" t="s">
        <v>838</v>
      </c>
      <c r="P383" t="s">
        <v>13616</v>
      </c>
      <c r="Q383" t="s">
        <v>13617</v>
      </c>
      <c r="R383" t="s">
        <v>539</v>
      </c>
      <c r="S383" t="s">
        <v>539</v>
      </c>
      <c r="T383" t="s">
        <v>388</v>
      </c>
      <c r="U383">
        <v>115</v>
      </c>
      <c r="V383" t="b">
        <v>0</v>
      </c>
      <c r="W383" t="b">
        <v>0</v>
      </c>
      <c r="X383" t="b">
        <v>0</v>
      </c>
      <c r="Y383" t="s">
        <v>13212</v>
      </c>
      <c r="Z383">
        <v>222.31</v>
      </c>
      <c r="AA383" t="s">
        <v>13213</v>
      </c>
      <c r="AB383">
        <v>179.33</v>
      </c>
      <c r="AC383" t="s">
        <v>13213</v>
      </c>
      <c r="AD383">
        <v>215.2</v>
      </c>
      <c r="AE383" t="s">
        <v>13214</v>
      </c>
      <c r="AF383">
        <v>164.02</v>
      </c>
      <c r="AG383" t="s">
        <v>13213</v>
      </c>
      <c r="AH383">
        <v>139.41999999999999</v>
      </c>
      <c r="AI383" t="s">
        <v>13215</v>
      </c>
      <c r="AJ383">
        <v>269</v>
      </c>
      <c r="AK383" t="s">
        <v>13213</v>
      </c>
    </row>
    <row r="384" spans="1:37" x14ac:dyDescent="0.25">
      <c r="A384" t="s">
        <v>340</v>
      </c>
      <c r="B384" t="s">
        <v>13205</v>
      </c>
      <c r="C384" t="b">
        <v>1</v>
      </c>
      <c r="D384" t="b">
        <v>1</v>
      </c>
      <c r="E384">
        <v>17</v>
      </c>
      <c r="F384">
        <v>124</v>
      </c>
      <c r="G384">
        <v>46</v>
      </c>
      <c r="H384" t="s">
        <v>860</v>
      </c>
      <c r="I384">
        <v>12</v>
      </c>
      <c r="J384">
        <v>24.8</v>
      </c>
      <c r="K384">
        <v>2.5</v>
      </c>
      <c r="L384" t="s">
        <v>859</v>
      </c>
      <c r="M384" t="s">
        <v>13207</v>
      </c>
      <c r="N384" t="s">
        <v>929</v>
      </c>
      <c r="O384" t="s">
        <v>838</v>
      </c>
      <c r="P384" t="s">
        <v>13618</v>
      </c>
      <c r="Q384" t="s">
        <v>13619</v>
      </c>
      <c r="R384" t="s">
        <v>540</v>
      </c>
      <c r="S384" t="s">
        <v>540</v>
      </c>
      <c r="T384" t="s">
        <v>389</v>
      </c>
      <c r="U384">
        <v>115</v>
      </c>
      <c r="V384" t="b">
        <v>0</v>
      </c>
      <c r="W384" t="b">
        <v>0</v>
      </c>
      <c r="X384" t="b">
        <v>0</v>
      </c>
      <c r="Y384" t="s">
        <v>13212</v>
      </c>
      <c r="Z384">
        <v>230.58</v>
      </c>
      <c r="AA384" t="s">
        <v>13213</v>
      </c>
      <c r="AB384">
        <v>186</v>
      </c>
      <c r="AC384" t="s">
        <v>13213</v>
      </c>
      <c r="AD384">
        <v>223.2</v>
      </c>
      <c r="AE384" t="s">
        <v>13214</v>
      </c>
      <c r="AF384">
        <v>170.12</v>
      </c>
      <c r="AG384" t="s">
        <v>13213</v>
      </c>
      <c r="AH384">
        <v>145.25</v>
      </c>
      <c r="AI384" t="s">
        <v>13215</v>
      </c>
      <c r="AJ384">
        <v>279</v>
      </c>
      <c r="AK384" t="s">
        <v>13213</v>
      </c>
    </row>
    <row r="385" spans="1:37" x14ac:dyDescent="0.25">
      <c r="A385" t="s">
        <v>341</v>
      </c>
      <c r="B385" t="s">
        <v>13205</v>
      </c>
      <c r="C385" t="b">
        <v>1</v>
      </c>
      <c r="D385" t="b">
        <v>1</v>
      </c>
      <c r="E385">
        <v>17</v>
      </c>
      <c r="F385">
        <v>124</v>
      </c>
      <c r="G385">
        <v>46</v>
      </c>
      <c r="H385" t="s">
        <v>860</v>
      </c>
      <c r="I385">
        <v>12</v>
      </c>
      <c r="J385">
        <v>25.2</v>
      </c>
      <c r="K385">
        <v>2.5</v>
      </c>
      <c r="L385" t="s">
        <v>859</v>
      </c>
      <c r="M385" t="s">
        <v>13207</v>
      </c>
      <c r="N385" t="s">
        <v>929</v>
      </c>
      <c r="O385" t="s">
        <v>838</v>
      </c>
      <c r="P385" t="s">
        <v>13620</v>
      </c>
      <c r="Q385" t="s">
        <v>13621</v>
      </c>
      <c r="R385" t="s">
        <v>541</v>
      </c>
      <c r="S385" t="s">
        <v>541</v>
      </c>
      <c r="T385" t="s">
        <v>390</v>
      </c>
      <c r="U385">
        <v>115</v>
      </c>
      <c r="V385" t="b">
        <v>0</v>
      </c>
      <c r="W385" t="b">
        <v>0</v>
      </c>
      <c r="X385" t="b">
        <v>0</v>
      </c>
      <c r="Y385" t="s">
        <v>13212</v>
      </c>
      <c r="Z385">
        <v>238.84</v>
      </c>
      <c r="AA385" t="s">
        <v>13213</v>
      </c>
      <c r="AB385">
        <v>192.67</v>
      </c>
      <c r="AC385" t="s">
        <v>13213</v>
      </c>
      <c r="AD385">
        <v>231.2</v>
      </c>
      <c r="AE385" t="s">
        <v>13214</v>
      </c>
      <c r="AF385">
        <v>176.22</v>
      </c>
      <c r="AG385" t="s">
        <v>13213</v>
      </c>
      <c r="AH385">
        <v>151.08000000000001</v>
      </c>
      <c r="AI385" t="s">
        <v>13215</v>
      </c>
      <c r="AJ385">
        <v>289</v>
      </c>
      <c r="AK385" t="s">
        <v>13213</v>
      </c>
    </row>
    <row r="386" spans="1:37" x14ac:dyDescent="0.25">
      <c r="A386" t="s">
        <v>430</v>
      </c>
      <c r="B386" t="s">
        <v>13205</v>
      </c>
      <c r="C386" t="b">
        <v>1</v>
      </c>
      <c r="D386" t="b">
        <v>1</v>
      </c>
      <c r="E386">
        <v>104</v>
      </c>
      <c r="F386">
        <v>24</v>
      </c>
      <c r="G386">
        <v>20</v>
      </c>
      <c r="H386" t="s">
        <v>860</v>
      </c>
      <c r="I386">
        <v>28</v>
      </c>
      <c r="J386">
        <v>13.65</v>
      </c>
      <c r="K386">
        <v>1.57</v>
      </c>
      <c r="L386" t="s">
        <v>859</v>
      </c>
      <c r="M386" t="s">
        <v>13207</v>
      </c>
      <c r="N386" t="s">
        <v>929</v>
      </c>
      <c r="O386" t="s">
        <v>838</v>
      </c>
      <c r="P386" t="s">
        <v>13697</v>
      </c>
      <c r="Q386" t="s">
        <v>13698</v>
      </c>
      <c r="R386" t="s">
        <v>431</v>
      </c>
      <c r="S386" t="s">
        <v>431</v>
      </c>
      <c r="T386" t="s">
        <v>3817</v>
      </c>
      <c r="U386">
        <v>25</v>
      </c>
      <c r="V386" t="b">
        <v>0</v>
      </c>
      <c r="W386" t="b">
        <v>0</v>
      </c>
      <c r="X386" t="b">
        <v>0</v>
      </c>
      <c r="Y386" t="s">
        <v>13212</v>
      </c>
      <c r="Z386">
        <v>139.66999999999999</v>
      </c>
      <c r="AA386" t="s">
        <v>13213</v>
      </c>
      <c r="AB386">
        <v>112.67</v>
      </c>
      <c r="AC386" t="s">
        <v>13213</v>
      </c>
      <c r="AD386">
        <v>135.19999999999999</v>
      </c>
      <c r="AE386" t="s">
        <v>13214</v>
      </c>
      <c r="AF386">
        <v>103.05</v>
      </c>
      <c r="AG386" t="s">
        <v>13213</v>
      </c>
      <c r="AH386">
        <v>92.75</v>
      </c>
      <c r="AI386" t="s">
        <v>13215</v>
      </c>
      <c r="AJ386">
        <v>169</v>
      </c>
      <c r="AK386" t="s">
        <v>13213</v>
      </c>
    </row>
    <row r="387" spans="1:37" x14ac:dyDescent="0.25">
      <c r="A387" t="s">
        <v>432</v>
      </c>
      <c r="B387" t="s">
        <v>13205</v>
      </c>
      <c r="C387" t="b">
        <v>1</v>
      </c>
      <c r="D387" t="b">
        <v>1</v>
      </c>
      <c r="E387">
        <v>104</v>
      </c>
      <c r="F387">
        <v>24</v>
      </c>
      <c r="G387">
        <v>20</v>
      </c>
      <c r="H387" t="s">
        <v>860</v>
      </c>
      <c r="I387">
        <v>28</v>
      </c>
      <c r="J387">
        <v>14.07</v>
      </c>
      <c r="K387">
        <v>1.57</v>
      </c>
      <c r="L387" t="s">
        <v>859</v>
      </c>
      <c r="M387" t="s">
        <v>13207</v>
      </c>
      <c r="N387" t="s">
        <v>929</v>
      </c>
      <c r="O387" t="s">
        <v>838</v>
      </c>
      <c r="P387" t="s">
        <v>13699</v>
      </c>
      <c r="Q387" t="s">
        <v>13700</v>
      </c>
      <c r="R387" t="s">
        <v>433</v>
      </c>
      <c r="S387" t="s">
        <v>433</v>
      </c>
      <c r="T387" t="s">
        <v>3818</v>
      </c>
      <c r="U387">
        <v>50</v>
      </c>
      <c r="V387" t="b">
        <v>0</v>
      </c>
      <c r="W387" t="b">
        <v>0</v>
      </c>
      <c r="X387" t="b">
        <v>0</v>
      </c>
      <c r="Y387" t="s">
        <v>13212</v>
      </c>
      <c r="Z387">
        <v>147.93</v>
      </c>
      <c r="AA387" t="s">
        <v>13213</v>
      </c>
      <c r="AB387">
        <v>119.33</v>
      </c>
      <c r="AC387" t="s">
        <v>13213</v>
      </c>
      <c r="AD387">
        <v>143.19999999999999</v>
      </c>
      <c r="AE387" t="s">
        <v>13214</v>
      </c>
      <c r="AF387">
        <v>109.15</v>
      </c>
      <c r="AG387" t="s">
        <v>13213</v>
      </c>
      <c r="AH387">
        <v>92.75</v>
      </c>
      <c r="AI387" t="s">
        <v>13215</v>
      </c>
      <c r="AJ387">
        <v>179</v>
      </c>
      <c r="AK387" t="s">
        <v>13213</v>
      </c>
    </row>
    <row r="388" spans="1:37" x14ac:dyDescent="0.25">
      <c r="A388" t="s">
        <v>434</v>
      </c>
      <c r="B388" t="s">
        <v>13205</v>
      </c>
      <c r="C388" t="b">
        <v>1</v>
      </c>
      <c r="D388" t="b">
        <v>1</v>
      </c>
      <c r="E388">
        <v>111</v>
      </c>
      <c r="F388">
        <v>24</v>
      </c>
      <c r="G388">
        <v>24</v>
      </c>
      <c r="H388" t="s">
        <v>860</v>
      </c>
      <c r="I388">
        <v>20</v>
      </c>
      <c r="J388">
        <v>16.53</v>
      </c>
      <c r="K388">
        <v>1.81</v>
      </c>
      <c r="L388" t="s">
        <v>859</v>
      </c>
      <c r="M388" t="s">
        <v>13207</v>
      </c>
      <c r="N388" t="s">
        <v>929</v>
      </c>
      <c r="O388" t="s">
        <v>838</v>
      </c>
      <c r="P388" t="s">
        <v>13713</v>
      </c>
      <c r="Q388" t="s">
        <v>13714</v>
      </c>
      <c r="R388" t="s">
        <v>435</v>
      </c>
      <c r="S388" t="s">
        <v>435</v>
      </c>
      <c r="T388" t="s">
        <v>3819</v>
      </c>
      <c r="U388">
        <v>50</v>
      </c>
      <c r="V388" t="b">
        <v>0</v>
      </c>
      <c r="W388" t="b">
        <v>0</v>
      </c>
      <c r="X388" t="b">
        <v>0</v>
      </c>
      <c r="Y388" t="s">
        <v>13212</v>
      </c>
      <c r="Z388">
        <v>164.46</v>
      </c>
      <c r="AA388" t="s">
        <v>13213</v>
      </c>
      <c r="AB388">
        <v>132.66999999999999</v>
      </c>
      <c r="AC388" t="s">
        <v>13213</v>
      </c>
      <c r="AD388">
        <v>159.19999999999999</v>
      </c>
      <c r="AE388" t="s">
        <v>13214</v>
      </c>
      <c r="AF388">
        <v>121.34</v>
      </c>
      <c r="AG388" t="s">
        <v>13213</v>
      </c>
      <c r="AH388">
        <v>104.42</v>
      </c>
      <c r="AI388" t="s">
        <v>13215</v>
      </c>
      <c r="AJ388">
        <v>199</v>
      </c>
      <c r="AK388" t="s">
        <v>13213</v>
      </c>
    </row>
    <row r="389" spans="1:37" x14ac:dyDescent="0.25">
      <c r="A389" t="s">
        <v>502</v>
      </c>
      <c r="B389" t="s">
        <v>13205</v>
      </c>
      <c r="C389" t="b">
        <v>1</v>
      </c>
      <c r="D389" t="b">
        <v>1</v>
      </c>
      <c r="E389">
        <v>23.5</v>
      </c>
      <c r="F389">
        <v>10.5</v>
      </c>
      <c r="G389">
        <v>32</v>
      </c>
      <c r="H389" t="s">
        <v>860</v>
      </c>
      <c r="I389">
        <v>150</v>
      </c>
      <c r="J389">
        <v>1.25</v>
      </c>
      <c r="K389">
        <v>0.32</v>
      </c>
      <c r="L389" t="s">
        <v>859</v>
      </c>
      <c r="M389" t="s">
        <v>13207</v>
      </c>
      <c r="N389" t="s">
        <v>929</v>
      </c>
      <c r="O389" t="s">
        <v>838</v>
      </c>
      <c r="P389" t="s">
        <v>13793</v>
      </c>
      <c r="Q389" t="s">
        <v>13794</v>
      </c>
      <c r="R389" t="s">
        <v>601</v>
      </c>
      <c r="S389" t="s">
        <v>496</v>
      </c>
      <c r="T389" t="s">
        <v>3820</v>
      </c>
      <c r="U389">
        <v>0</v>
      </c>
      <c r="V389" t="b">
        <v>0</v>
      </c>
      <c r="W389" t="b">
        <v>0</v>
      </c>
      <c r="X389" t="b">
        <v>0</v>
      </c>
      <c r="Y389" t="s">
        <v>13212</v>
      </c>
      <c r="Z389">
        <v>40.5</v>
      </c>
      <c r="AA389" t="s">
        <v>13213</v>
      </c>
      <c r="AB389">
        <v>32.67</v>
      </c>
      <c r="AC389" t="s">
        <v>13213</v>
      </c>
      <c r="AD389">
        <v>36.67</v>
      </c>
      <c r="AE389" t="s">
        <v>13214</v>
      </c>
      <c r="AF389">
        <v>29.88</v>
      </c>
      <c r="AG389" t="s">
        <v>13213</v>
      </c>
      <c r="AH389">
        <v>25.08</v>
      </c>
      <c r="AI389" t="s">
        <v>13215</v>
      </c>
      <c r="AJ389">
        <v>49</v>
      </c>
      <c r="AK389" t="s">
        <v>13213</v>
      </c>
    </row>
    <row r="390" spans="1:37" x14ac:dyDescent="0.25">
      <c r="A390" t="s">
        <v>501</v>
      </c>
      <c r="B390" t="s">
        <v>13205</v>
      </c>
      <c r="C390" t="b">
        <v>1</v>
      </c>
      <c r="D390" t="b">
        <v>1</v>
      </c>
      <c r="E390">
        <v>23.5</v>
      </c>
      <c r="F390">
        <v>12.5</v>
      </c>
      <c r="G390">
        <v>32</v>
      </c>
      <c r="H390" t="s">
        <v>860</v>
      </c>
      <c r="I390">
        <v>150</v>
      </c>
      <c r="J390">
        <v>1.5</v>
      </c>
      <c r="K390">
        <v>0.4</v>
      </c>
      <c r="L390" t="s">
        <v>859</v>
      </c>
      <c r="M390" t="s">
        <v>13207</v>
      </c>
      <c r="N390" t="s">
        <v>929</v>
      </c>
      <c r="O390" t="s">
        <v>838</v>
      </c>
      <c r="P390" t="s">
        <v>13795</v>
      </c>
      <c r="Q390" t="s">
        <v>13796</v>
      </c>
      <c r="R390" t="s">
        <v>602</v>
      </c>
      <c r="S390" t="s">
        <v>497</v>
      </c>
      <c r="T390" t="s">
        <v>3822</v>
      </c>
      <c r="U390">
        <v>0</v>
      </c>
      <c r="V390" t="b">
        <v>0</v>
      </c>
      <c r="W390" t="b">
        <v>0</v>
      </c>
      <c r="X390" t="b">
        <v>0</v>
      </c>
      <c r="Y390" t="s">
        <v>13212</v>
      </c>
      <c r="Z390">
        <v>44.63</v>
      </c>
      <c r="AA390" t="s">
        <v>13213</v>
      </c>
      <c r="AB390">
        <v>36</v>
      </c>
      <c r="AC390" t="s">
        <v>13213</v>
      </c>
      <c r="AD390">
        <v>40</v>
      </c>
      <c r="AE390" t="s">
        <v>13214</v>
      </c>
      <c r="AF390">
        <v>32.93</v>
      </c>
      <c r="AG390" t="s">
        <v>13213</v>
      </c>
      <c r="AH390">
        <v>27.42</v>
      </c>
      <c r="AI390" t="s">
        <v>13215</v>
      </c>
      <c r="AJ390">
        <v>54</v>
      </c>
      <c r="AK390" t="s">
        <v>13213</v>
      </c>
    </row>
    <row r="391" spans="1:37" x14ac:dyDescent="0.25">
      <c r="A391" t="s">
        <v>475</v>
      </c>
      <c r="B391" t="s">
        <v>13205</v>
      </c>
      <c r="C391" t="b">
        <v>1</v>
      </c>
      <c r="D391" t="b">
        <v>1</v>
      </c>
      <c r="E391">
        <v>29.5</v>
      </c>
      <c r="F391">
        <v>12</v>
      </c>
      <c r="G391">
        <v>32</v>
      </c>
      <c r="H391" t="s">
        <v>860</v>
      </c>
      <c r="I391">
        <v>120</v>
      </c>
      <c r="J391">
        <v>2.2999999999999998</v>
      </c>
      <c r="K391">
        <v>0.4</v>
      </c>
      <c r="L391" t="s">
        <v>859</v>
      </c>
      <c r="M391" t="s">
        <v>13207</v>
      </c>
      <c r="N391" t="s">
        <v>929</v>
      </c>
      <c r="O391" t="s">
        <v>838</v>
      </c>
      <c r="P391" t="s">
        <v>13785</v>
      </c>
      <c r="Q391" t="s">
        <v>13786</v>
      </c>
      <c r="R391" t="s">
        <v>603</v>
      </c>
      <c r="S391" t="s">
        <v>498</v>
      </c>
      <c r="T391" t="s">
        <v>3827</v>
      </c>
      <c r="U391">
        <v>0</v>
      </c>
      <c r="V391" t="b">
        <v>0</v>
      </c>
      <c r="W391" t="b">
        <v>0</v>
      </c>
      <c r="X391" t="b">
        <v>0</v>
      </c>
      <c r="Y391" t="s">
        <v>13212</v>
      </c>
      <c r="Z391">
        <v>48.76</v>
      </c>
      <c r="AA391" t="s">
        <v>13213</v>
      </c>
      <c r="AB391">
        <v>39.33</v>
      </c>
      <c r="AC391" t="s">
        <v>13213</v>
      </c>
      <c r="AD391">
        <v>55.33</v>
      </c>
      <c r="AE391" t="s">
        <v>13214</v>
      </c>
      <c r="AF391">
        <v>35.979999999999997</v>
      </c>
      <c r="AG391" t="s">
        <v>13213</v>
      </c>
      <c r="AH391">
        <v>38.5</v>
      </c>
      <c r="AI391" t="s">
        <v>13215</v>
      </c>
      <c r="AJ391">
        <v>59</v>
      </c>
      <c r="AK391" t="s">
        <v>13213</v>
      </c>
    </row>
    <row r="392" spans="1:37" x14ac:dyDescent="0.25">
      <c r="A392" t="s">
        <v>500</v>
      </c>
      <c r="B392" t="s">
        <v>13205</v>
      </c>
      <c r="C392" t="b">
        <v>1</v>
      </c>
      <c r="D392" t="b">
        <v>1</v>
      </c>
      <c r="E392">
        <v>23.5</v>
      </c>
      <c r="F392">
        <v>15</v>
      </c>
      <c r="G392">
        <v>32</v>
      </c>
      <c r="H392" t="s">
        <v>860</v>
      </c>
      <c r="I392">
        <v>120</v>
      </c>
      <c r="J392">
        <v>2</v>
      </c>
      <c r="K392">
        <v>0.4</v>
      </c>
      <c r="L392" t="s">
        <v>859</v>
      </c>
      <c r="M392" t="s">
        <v>13207</v>
      </c>
      <c r="N392" t="s">
        <v>929</v>
      </c>
      <c r="O392" t="s">
        <v>838</v>
      </c>
      <c r="P392" t="s">
        <v>13797</v>
      </c>
      <c r="Q392" t="s">
        <v>13798</v>
      </c>
      <c r="R392" t="s">
        <v>604</v>
      </c>
      <c r="S392" t="s">
        <v>499</v>
      </c>
      <c r="T392" t="s">
        <v>3829</v>
      </c>
      <c r="U392">
        <v>0</v>
      </c>
      <c r="V392" t="b">
        <v>0</v>
      </c>
      <c r="W392" t="b">
        <v>0</v>
      </c>
      <c r="X392" t="b">
        <v>0</v>
      </c>
      <c r="Y392" t="s">
        <v>13212</v>
      </c>
      <c r="Z392">
        <v>61.98</v>
      </c>
      <c r="AA392" t="s">
        <v>13213</v>
      </c>
      <c r="AB392">
        <v>50</v>
      </c>
      <c r="AC392" t="s">
        <v>13213</v>
      </c>
      <c r="AD392">
        <v>43.33</v>
      </c>
      <c r="AE392" t="s">
        <v>13214</v>
      </c>
      <c r="AF392">
        <v>45.73</v>
      </c>
      <c r="AG392" t="s">
        <v>13213</v>
      </c>
      <c r="AH392">
        <v>30.33</v>
      </c>
      <c r="AI392" t="s">
        <v>13215</v>
      </c>
      <c r="AJ392">
        <v>75</v>
      </c>
      <c r="AK392" t="s">
        <v>13213</v>
      </c>
    </row>
    <row r="393" spans="1:37" x14ac:dyDescent="0.25">
      <c r="A393" t="s">
        <v>476</v>
      </c>
      <c r="B393" t="s">
        <v>13205</v>
      </c>
      <c r="C393" t="b">
        <v>1</v>
      </c>
      <c r="D393" t="b">
        <v>1</v>
      </c>
      <c r="E393">
        <v>29.5</v>
      </c>
      <c r="F393">
        <v>15</v>
      </c>
      <c r="G393">
        <v>32</v>
      </c>
      <c r="H393" t="s">
        <v>860</v>
      </c>
      <c r="I393">
        <v>96</v>
      </c>
      <c r="J393">
        <v>2.9</v>
      </c>
      <c r="K393">
        <v>0.4</v>
      </c>
      <c r="L393" t="s">
        <v>859</v>
      </c>
      <c r="M393" t="s">
        <v>13207</v>
      </c>
      <c r="N393" t="s">
        <v>929</v>
      </c>
      <c r="O393" t="s">
        <v>838</v>
      </c>
      <c r="P393" t="s">
        <v>13787</v>
      </c>
      <c r="Q393" t="s">
        <v>13788</v>
      </c>
      <c r="R393" t="s">
        <v>605</v>
      </c>
      <c r="S393" t="s">
        <v>503</v>
      </c>
      <c r="T393" t="s">
        <v>3834</v>
      </c>
      <c r="U393">
        <v>0</v>
      </c>
      <c r="V393" t="b">
        <v>0</v>
      </c>
      <c r="W393" t="b">
        <v>0</v>
      </c>
      <c r="X393" t="b">
        <v>0</v>
      </c>
      <c r="Y393" t="s">
        <v>13212</v>
      </c>
      <c r="Z393">
        <v>65.290000000000006</v>
      </c>
      <c r="AA393" t="s">
        <v>13213</v>
      </c>
      <c r="AB393">
        <v>52.67</v>
      </c>
      <c r="AC393" t="s">
        <v>13213</v>
      </c>
      <c r="AD393">
        <v>58.67</v>
      </c>
      <c r="AE393" t="s">
        <v>13214</v>
      </c>
      <c r="AF393">
        <v>48.17</v>
      </c>
      <c r="AG393" t="s">
        <v>13213</v>
      </c>
      <c r="AH393">
        <v>40.25</v>
      </c>
      <c r="AI393" t="s">
        <v>13215</v>
      </c>
      <c r="AJ393">
        <v>79</v>
      </c>
      <c r="AK393" t="s">
        <v>13213</v>
      </c>
    </row>
    <row r="394" spans="1:37" x14ac:dyDescent="0.25">
      <c r="A394" t="s">
        <v>477</v>
      </c>
      <c r="B394" t="s">
        <v>13205</v>
      </c>
      <c r="C394" t="b">
        <v>1</v>
      </c>
      <c r="D394" t="b">
        <v>1</v>
      </c>
      <c r="E394">
        <v>29.5</v>
      </c>
      <c r="F394">
        <v>15</v>
      </c>
      <c r="G394">
        <v>32</v>
      </c>
      <c r="H394" t="s">
        <v>860</v>
      </c>
      <c r="I394">
        <v>96</v>
      </c>
      <c r="J394">
        <v>3.2</v>
      </c>
      <c r="K394">
        <v>0.4</v>
      </c>
      <c r="L394" t="s">
        <v>859</v>
      </c>
      <c r="M394" t="s">
        <v>13207</v>
      </c>
      <c r="N394" t="s">
        <v>929</v>
      </c>
      <c r="O394" t="s">
        <v>838</v>
      </c>
      <c r="P394" t="s">
        <v>13789</v>
      </c>
      <c r="Q394" t="s">
        <v>13790</v>
      </c>
      <c r="R394" t="s">
        <v>606</v>
      </c>
      <c r="S394" t="s">
        <v>504</v>
      </c>
      <c r="T394" t="s">
        <v>3839</v>
      </c>
      <c r="U394">
        <v>0</v>
      </c>
      <c r="V394" t="b">
        <v>0</v>
      </c>
      <c r="W394" t="b">
        <v>0</v>
      </c>
      <c r="X394" t="b">
        <v>0</v>
      </c>
      <c r="Y394" t="s">
        <v>13212</v>
      </c>
      <c r="Z394">
        <v>70.25</v>
      </c>
      <c r="AA394" t="s">
        <v>13213</v>
      </c>
      <c r="AB394">
        <v>56.67</v>
      </c>
      <c r="AC394" t="s">
        <v>13213</v>
      </c>
      <c r="AD394">
        <v>63.33</v>
      </c>
      <c r="AE394" t="s">
        <v>13214</v>
      </c>
      <c r="AF394">
        <v>51.83</v>
      </c>
      <c r="AG394" t="s">
        <v>13213</v>
      </c>
      <c r="AH394">
        <v>43.75</v>
      </c>
      <c r="AI394" t="s">
        <v>13215</v>
      </c>
      <c r="AJ394">
        <v>85</v>
      </c>
      <c r="AK394" t="s">
        <v>13213</v>
      </c>
    </row>
    <row r="395" spans="1:37" x14ac:dyDescent="0.25">
      <c r="A395" t="s">
        <v>478</v>
      </c>
      <c r="B395" t="s">
        <v>13205</v>
      </c>
      <c r="C395" t="b">
        <v>1</v>
      </c>
      <c r="D395" t="b">
        <v>1</v>
      </c>
      <c r="E395">
        <v>29.5</v>
      </c>
      <c r="F395">
        <v>18</v>
      </c>
      <c r="G395">
        <v>32</v>
      </c>
      <c r="H395" t="s">
        <v>860</v>
      </c>
      <c r="I395">
        <v>60</v>
      </c>
      <c r="J395">
        <v>3.7</v>
      </c>
      <c r="K395">
        <v>0.5</v>
      </c>
      <c r="L395" t="s">
        <v>859</v>
      </c>
      <c r="M395" t="s">
        <v>13207</v>
      </c>
      <c r="N395" t="s">
        <v>929</v>
      </c>
      <c r="O395" t="s">
        <v>838</v>
      </c>
      <c r="P395" t="s">
        <v>13791</v>
      </c>
      <c r="Q395" t="s">
        <v>13792</v>
      </c>
      <c r="R395" t="s">
        <v>607</v>
      </c>
      <c r="S395" t="s">
        <v>505</v>
      </c>
      <c r="T395" t="s">
        <v>3844</v>
      </c>
      <c r="U395">
        <v>0</v>
      </c>
      <c r="V395" t="b">
        <v>0</v>
      </c>
      <c r="W395" t="b">
        <v>0</v>
      </c>
      <c r="X395" t="b">
        <v>0</v>
      </c>
      <c r="Y395" t="s">
        <v>13212</v>
      </c>
      <c r="Z395">
        <v>73.55</v>
      </c>
      <c r="AA395" t="s">
        <v>13213</v>
      </c>
      <c r="AB395">
        <v>59.33</v>
      </c>
      <c r="AC395" t="s">
        <v>13213</v>
      </c>
      <c r="AD395">
        <v>66</v>
      </c>
      <c r="AE395" t="s">
        <v>13214</v>
      </c>
      <c r="AF395">
        <v>54.27</v>
      </c>
      <c r="AG395" t="s">
        <v>13213</v>
      </c>
      <c r="AH395">
        <v>45.5</v>
      </c>
      <c r="AI395" t="s">
        <v>13215</v>
      </c>
      <c r="AJ395">
        <v>89</v>
      </c>
      <c r="AK395" t="s">
        <v>13213</v>
      </c>
    </row>
    <row r="396" spans="1:37" x14ac:dyDescent="0.25">
      <c r="A396" t="s">
        <v>482</v>
      </c>
      <c r="B396" t="s">
        <v>13205</v>
      </c>
      <c r="C396" t="b">
        <v>1</v>
      </c>
      <c r="D396" t="b">
        <v>1</v>
      </c>
      <c r="E396">
        <v>14</v>
      </c>
      <c r="F396">
        <v>54</v>
      </c>
      <c r="G396">
        <v>56</v>
      </c>
      <c r="H396" t="s">
        <v>860</v>
      </c>
      <c r="I396">
        <v>40</v>
      </c>
      <c r="J396">
        <v>2.8</v>
      </c>
      <c r="K396">
        <v>1.1000000000000001</v>
      </c>
      <c r="L396" t="s">
        <v>859</v>
      </c>
      <c r="M396" t="s">
        <v>13207</v>
      </c>
      <c r="N396" t="s">
        <v>917</v>
      </c>
      <c r="O396" t="s">
        <v>874</v>
      </c>
      <c r="P396" t="s">
        <v>13674</v>
      </c>
      <c r="Q396" t="s">
        <v>13675</v>
      </c>
      <c r="R396" t="s">
        <v>483</v>
      </c>
      <c r="S396" t="s">
        <v>483</v>
      </c>
      <c r="T396" t="s">
        <v>3850</v>
      </c>
      <c r="U396">
        <v>200</v>
      </c>
      <c r="V396" t="b">
        <v>0</v>
      </c>
      <c r="W396" t="b">
        <v>0</v>
      </c>
      <c r="X396" t="b">
        <v>0</v>
      </c>
      <c r="Y396" t="s">
        <v>13212</v>
      </c>
      <c r="Z396">
        <v>40.5</v>
      </c>
      <c r="AA396" t="s">
        <v>13213</v>
      </c>
      <c r="AB396">
        <v>32.67</v>
      </c>
      <c r="AC396" t="s">
        <v>13213</v>
      </c>
      <c r="AD396">
        <v>63.2</v>
      </c>
      <c r="AE396" t="s">
        <v>13214</v>
      </c>
      <c r="AF396">
        <v>29.88</v>
      </c>
      <c r="AG396" t="s">
        <v>13213</v>
      </c>
      <c r="AH396">
        <v>25.08</v>
      </c>
      <c r="AI396" t="s">
        <v>13215</v>
      </c>
      <c r="AJ396">
        <v>49</v>
      </c>
      <c r="AK396" t="s">
        <v>13213</v>
      </c>
    </row>
    <row r="397" spans="1:37" x14ac:dyDescent="0.25">
      <c r="A397" t="s">
        <v>297</v>
      </c>
      <c r="B397" t="s">
        <v>13205</v>
      </c>
      <c r="C397" t="b">
        <v>1</v>
      </c>
      <c r="D397" t="b">
        <v>1</v>
      </c>
      <c r="E397">
        <v>84</v>
      </c>
      <c r="F397">
        <v>6</v>
      </c>
      <c r="G397">
        <v>24</v>
      </c>
      <c r="H397" t="s">
        <v>860</v>
      </c>
      <c r="I397">
        <v>100</v>
      </c>
      <c r="J397">
        <v>2.7</v>
      </c>
      <c r="K397">
        <v>0.7</v>
      </c>
      <c r="L397" t="s">
        <v>859</v>
      </c>
      <c r="M397" t="s">
        <v>13207</v>
      </c>
      <c r="N397" t="s">
        <v>917</v>
      </c>
      <c r="O397" t="s">
        <v>838</v>
      </c>
      <c r="P397" t="s">
        <v>13748</v>
      </c>
      <c r="Q397" t="s">
        <v>13749</v>
      </c>
      <c r="R397" t="s">
        <v>558</v>
      </c>
      <c r="S397" t="s">
        <v>558</v>
      </c>
      <c r="T397" t="s">
        <v>322</v>
      </c>
      <c r="U397">
        <v>1000</v>
      </c>
      <c r="V397" t="b">
        <v>0</v>
      </c>
      <c r="W397" t="b">
        <v>0</v>
      </c>
      <c r="X397" t="b">
        <v>0</v>
      </c>
      <c r="Y397" t="s">
        <v>13212</v>
      </c>
      <c r="Z397">
        <v>23.97</v>
      </c>
      <c r="AA397" t="s">
        <v>13213</v>
      </c>
      <c r="AB397">
        <v>19.329999999999998</v>
      </c>
      <c r="AC397" t="s">
        <v>13213</v>
      </c>
      <c r="AD397">
        <v>23.2</v>
      </c>
      <c r="AE397" t="s">
        <v>13214</v>
      </c>
      <c r="AF397">
        <v>17.68</v>
      </c>
      <c r="AG397" t="s">
        <v>13213</v>
      </c>
      <c r="AH397">
        <v>14.5</v>
      </c>
      <c r="AI397" t="s">
        <v>13215</v>
      </c>
      <c r="AJ397">
        <v>29</v>
      </c>
      <c r="AK397" t="s">
        <v>13213</v>
      </c>
    </row>
    <row r="398" spans="1:37" x14ac:dyDescent="0.25">
      <c r="A398" t="s">
        <v>296</v>
      </c>
      <c r="B398" t="s">
        <v>13205</v>
      </c>
      <c r="C398" t="b">
        <v>1</v>
      </c>
      <c r="D398" t="b">
        <v>1</v>
      </c>
      <c r="E398">
        <v>68</v>
      </c>
      <c r="F398">
        <v>6</v>
      </c>
      <c r="G398">
        <v>24</v>
      </c>
      <c r="H398" t="s">
        <v>860</v>
      </c>
      <c r="I398">
        <v>100</v>
      </c>
      <c r="J398">
        <v>2.4</v>
      </c>
      <c r="K398">
        <v>0.6</v>
      </c>
      <c r="L398" t="s">
        <v>859</v>
      </c>
      <c r="M398" t="s">
        <v>13207</v>
      </c>
      <c r="N398" t="s">
        <v>917</v>
      </c>
      <c r="O398" t="s">
        <v>838</v>
      </c>
      <c r="P398" t="s">
        <v>13750</v>
      </c>
      <c r="Q398" t="s">
        <v>13751</v>
      </c>
      <c r="R398" t="s">
        <v>557</v>
      </c>
      <c r="S398" t="s">
        <v>557</v>
      </c>
      <c r="T398" t="s">
        <v>323</v>
      </c>
      <c r="U398">
        <v>100</v>
      </c>
      <c r="V398" t="b">
        <v>0</v>
      </c>
      <c r="W398" t="b">
        <v>0</v>
      </c>
      <c r="X398" t="b">
        <v>0</v>
      </c>
      <c r="Y398" t="s">
        <v>13212</v>
      </c>
      <c r="Z398">
        <v>23.97</v>
      </c>
      <c r="AA398" t="s">
        <v>13213</v>
      </c>
      <c r="AB398">
        <v>19.329999999999998</v>
      </c>
      <c r="AC398" t="s">
        <v>13213</v>
      </c>
      <c r="AD398">
        <v>23.2</v>
      </c>
      <c r="AE398" t="s">
        <v>13214</v>
      </c>
      <c r="AF398">
        <v>17.68</v>
      </c>
      <c r="AG398" t="s">
        <v>13213</v>
      </c>
      <c r="AH398">
        <v>14.5</v>
      </c>
      <c r="AI398" t="s">
        <v>13215</v>
      </c>
      <c r="AJ398">
        <v>29</v>
      </c>
      <c r="AK398" t="s">
        <v>13213</v>
      </c>
    </row>
    <row r="399" spans="1:37" x14ac:dyDescent="0.25">
      <c r="A399" t="s">
        <v>295</v>
      </c>
      <c r="B399" t="s">
        <v>13205</v>
      </c>
      <c r="C399" t="b">
        <v>1</v>
      </c>
      <c r="D399" t="b">
        <v>1</v>
      </c>
      <c r="E399">
        <v>47</v>
      </c>
      <c r="F399">
        <v>6</v>
      </c>
      <c r="G399">
        <v>24</v>
      </c>
      <c r="H399" t="s">
        <v>860</v>
      </c>
      <c r="I399">
        <v>200</v>
      </c>
      <c r="J399">
        <v>1.8</v>
      </c>
      <c r="K399">
        <v>0.5</v>
      </c>
      <c r="L399" t="s">
        <v>859</v>
      </c>
      <c r="M399" t="s">
        <v>13207</v>
      </c>
      <c r="N399" t="s">
        <v>917</v>
      </c>
      <c r="O399" t="s">
        <v>838</v>
      </c>
      <c r="P399" t="s">
        <v>13752</v>
      </c>
      <c r="Q399" t="s">
        <v>13753</v>
      </c>
      <c r="R399" t="s">
        <v>556</v>
      </c>
      <c r="S399" t="s">
        <v>556</v>
      </c>
      <c r="T399" t="s">
        <v>324</v>
      </c>
      <c r="U399">
        <v>50</v>
      </c>
      <c r="V399" t="b">
        <v>0</v>
      </c>
      <c r="W399" t="b">
        <v>0</v>
      </c>
      <c r="X399" t="b">
        <v>0</v>
      </c>
      <c r="Y399" t="s">
        <v>13212</v>
      </c>
      <c r="Z399">
        <v>20.66</v>
      </c>
      <c r="AA399" t="s">
        <v>13213</v>
      </c>
      <c r="AB399">
        <v>16.670000000000002</v>
      </c>
      <c r="AC399" t="s">
        <v>13213</v>
      </c>
      <c r="AD399">
        <v>20</v>
      </c>
      <c r="AE399" t="s">
        <v>13214</v>
      </c>
      <c r="AF399">
        <v>15.24</v>
      </c>
      <c r="AG399" t="s">
        <v>13213</v>
      </c>
      <c r="AH399">
        <v>12.83</v>
      </c>
      <c r="AI399" t="s">
        <v>13215</v>
      </c>
      <c r="AJ399">
        <v>25</v>
      </c>
      <c r="AK399" t="s">
        <v>13213</v>
      </c>
    </row>
    <row r="400" spans="1:37" x14ac:dyDescent="0.25">
      <c r="A400" t="s">
        <v>484</v>
      </c>
      <c r="B400" t="s">
        <v>13205</v>
      </c>
      <c r="C400" t="b">
        <v>1</v>
      </c>
      <c r="D400" t="b">
        <v>1</v>
      </c>
      <c r="E400">
        <v>1</v>
      </c>
      <c r="F400">
        <v>1</v>
      </c>
      <c r="G400">
        <v>1</v>
      </c>
      <c r="H400" t="s">
        <v>860</v>
      </c>
      <c r="I400">
        <v>1</v>
      </c>
      <c r="J400">
        <v>5.5</v>
      </c>
      <c r="K400">
        <v>0</v>
      </c>
      <c r="L400" t="s">
        <v>13205</v>
      </c>
      <c r="M400" t="s">
        <v>13207</v>
      </c>
      <c r="N400" t="s">
        <v>13205</v>
      </c>
      <c r="O400" t="s">
        <v>838</v>
      </c>
      <c r="P400" t="s">
        <v>13765</v>
      </c>
      <c r="Q400" t="s">
        <v>13766</v>
      </c>
      <c r="R400" t="s">
        <v>485</v>
      </c>
      <c r="S400" t="s">
        <v>485</v>
      </c>
      <c r="T400" t="s">
        <v>3854</v>
      </c>
      <c r="U400">
        <v>0</v>
      </c>
      <c r="V400" t="b">
        <v>1</v>
      </c>
      <c r="W400" t="b">
        <v>0</v>
      </c>
      <c r="X400" t="b">
        <v>0</v>
      </c>
      <c r="Y400" t="s">
        <v>13212</v>
      </c>
      <c r="Z400">
        <v>64.459999999999994</v>
      </c>
      <c r="AA400" t="s">
        <v>13213</v>
      </c>
      <c r="AB400">
        <v>52</v>
      </c>
      <c r="AC400" t="s">
        <v>13213</v>
      </c>
      <c r="AD400">
        <v>86.4</v>
      </c>
      <c r="AE400" t="s">
        <v>13214</v>
      </c>
      <c r="AF400">
        <v>47.56</v>
      </c>
      <c r="AG400" t="s">
        <v>13213</v>
      </c>
      <c r="AH400">
        <v>39.67</v>
      </c>
      <c r="AI400" t="s">
        <v>13215</v>
      </c>
      <c r="AJ400">
        <v>78</v>
      </c>
      <c r="AK400" t="s">
        <v>13213</v>
      </c>
    </row>
    <row r="401" spans="1:37" x14ac:dyDescent="0.25">
      <c r="A401" t="s">
        <v>486</v>
      </c>
      <c r="B401" t="s">
        <v>13205</v>
      </c>
      <c r="C401" t="b">
        <v>1</v>
      </c>
      <c r="D401" t="b">
        <v>1</v>
      </c>
      <c r="E401">
        <v>1</v>
      </c>
      <c r="F401">
        <v>1</v>
      </c>
      <c r="G401">
        <v>1</v>
      </c>
      <c r="H401" t="s">
        <v>860</v>
      </c>
      <c r="I401">
        <v>1</v>
      </c>
      <c r="J401">
        <v>5.2</v>
      </c>
      <c r="K401">
        <v>0</v>
      </c>
      <c r="L401" t="s">
        <v>13205</v>
      </c>
      <c r="M401" t="s">
        <v>13207</v>
      </c>
      <c r="N401" t="s">
        <v>13205</v>
      </c>
      <c r="O401" t="s">
        <v>838</v>
      </c>
      <c r="P401" t="s">
        <v>13767</v>
      </c>
      <c r="Q401" t="s">
        <v>13768</v>
      </c>
      <c r="R401" t="s">
        <v>487</v>
      </c>
      <c r="S401" t="s">
        <v>487</v>
      </c>
      <c r="T401" t="s">
        <v>3855</v>
      </c>
      <c r="U401">
        <v>0</v>
      </c>
      <c r="V401" t="b">
        <v>1</v>
      </c>
      <c r="W401" t="b">
        <v>0</v>
      </c>
      <c r="X401" t="b">
        <v>0</v>
      </c>
      <c r="Y401" t="s">
        <v>13212</v>
      </c>
      <c r="Z401">
        <v>64.459999999999994</v>
      </c>
      <c r="AA401" t="s">
        <v>13213</v>
      </c>
      <c r="AB401">
        <v>52</v>
      </c>
      <c r="AC401" t="s">
        <v>13213</v>
      </c>
      <c r="AD401">
        <v>86.4</v>
      </c>
      <c r="AE401" t="s">
        <v>13214</v>
      </c>
      <c r="AF401">
        <v>47.56</v>
      </c>
      <c r="AG401" t="s">
        <v>13213</v>
      </c>
      <c r="AH401">
        <v>39.67</v>
      </c>
      <c r="AI401" t="s">
        <v>13215</v>
      </c>
      <c r="AJ401">
        <v>78</v>
      </c>
      <c r="AK401" t="s">
        <v>13213</v>
      </c>
    </row>
    <row r="402" spans="1:37" x14ac:dyDescent="0.25">
      <c r="A402" t="s">
        <v>488</v>
      </c>
      <c r="B402" t="s">
        <v>13205</v>
      </c>
      <c r="C402" t="b">
        <v>1</v>
      </c>
      <c r="D402" t="b">
        <v>1</v>
      </c>
      <c r="E402">
        <v>1</v>
      </c>
      <c r="F402">
        <v>1</v>
      </c>
      <c r="G402">
        <v>1</v>
      </c>
      <c r="H402" t="s">
        <v>860</v>
      </c>
      <c r="I402">
        <v>1</v>
      </c>
      <c r="J402">
        <v>4.5999999999999996</v>
      </c>
      <c r="K402">
        <v>0</v>
      </c>
      <c r="L402" t="s">
        <v>859</v>
      </c>
      <c r="M402" t="s">
        <v>13207</v>
      </c>
      <c r="N402" t="s">
        <v>917</v>
      </c>
      <c r="O402" t="s">
        <v>838</v>
      </c>
      <c r="P402" t="s">
        <v>13769</v>
      </c>
      <c r="Q402" t="s">
        <v>13770</v>
      </c>
      <c r="R402" t="s">
        <v>489</v>
      </c>
      <c r="S402" t="s">
        <v>489</v>
      </c>
      <c r="T402" t="s">
        <v>3856</v>
      </c>
      <c r="U402">
        <v>0</v>
      </c>
      <c r="V402" t="b">
        <v>1</v>
      </c>
      <c r="W402" t="b">
        <v>0</v>
      </c>
      <c r="X402" t="b">
        <v>0</v>
      </c>
      <c r="Y402" t="s">
        <v>13212</v>
      </c>
      <c r="Z402">
        <v>61.16</v>
      </c>
      <c r="AA402" t="s">
        <v>13213</v>
      </c>
      <c r="AB402">
        <v>49.33</v>
      </c>
      <c r="AC402" t="s">
        <v>13213</v>
      </c>
      <c r="AD402">
        <v>83.2</v>
      </c>
      <c r="AE402" t="s">
        <v>13214</v>
      </c>
      <c r="AF402">
        <v>45.12</v>
      </c>
      <c r="AG402" t="s">
        <v>13213</v>
      </c>
      <c r="AH402">
        <v>37.92</v>
      </c>
      <c r="AI402" t="s">
        <v>13215</v>
      </c>
      <c r="AJ402">
        <v>74</v>
      </c>
      <c r="AK402" t="s">
        <v>13213</v>
      </c>
    </row>
    <row r="403" spans="1:37" x14ac:dyDescent="0.25">
      <c r="A403" t="s">
        <v>110</v>
      </c>
      <c r="B403" t="s">
        <v>13205</v>
      </c>
      <c r="C403" t="b">
        <v>1</v>
      </c>
      <c r="D403" t="b">
        <v>1</v>
      </c>
      <c r="E403">
        <v>58</v>
      </c>
      <c r="F403">
        <v>15</v>
      </c>
      <c r="G403">
        <v>38</v>
      </c>
      <c r="H403" t="s">
        <v>860</v>
      </c>
      <c r="I403">
        <v>50</v>
      </c>
      <c r="J403">
        <v>4.7</v>
      </c>
      <c r="K403">
        <v>0.3</v>
      </c>
      <c r="L403" t="s">
        <v>859</v>
      </c>
      <c r="M403" t="s">
        <v>13207</v>
      </c>
      <c r="N403" t="s">
        <v>917</v>
      </c>
      <c r="O403" t="s">
        <v>838</v>
      </c>
      <c r="P403" t="s">
        <v>13315</v>
      </c>
      <c r="Q403" t="s">
        <v>13316</v>
      </c>
      <c r="R403" t="s">
        <v>13317</v>
      </c>
      <c r="S403" t="s">
        <v>13173</v>
      </c>
      <c r="T403" t="s">
        <v>3866</v>
      </c>
      <c r="U403">
        <v>50</v>
      </c>
      <c r="V403" t="b">
        <v>0</v>
      </c>
      <c r="W403" t="b">
        <v>0</v>
      </c>
      <c r="X403" t="b">
        <v>0</v>
      </c>
      <c r="Y403" t="s">
        <v>13212</v>
      </c>
      <c r="Z403">
        <v>65.290000000000006</v>
      </c>
      <c r="AA403" t="s">
        <v>13213</v>
      </c>
      <c r="AB403">
        <v>52.67</v>
      </c>
      <c r="AC403" t="s">
        <v>13213</v>
      </c>
      <c r="AD403">
        <v>55.2</v>
      </c>
      <c r="AE403" t="s">
        <v>13214</v>
      </c>
      <c r="AF403">
        <v>48.17</v>
      </c>
      <c r="AG403" t="s">
        <v>13213</v>
      </c>
      <c r="AH403">
        <v>40.25</v>
      </c>
      <c r="AI403" t="s">
        <v>13215</v>
      </c>
      <c r="AJ403">
        <v>79</v>
      </c>
      <c r="AK403" t="s">
        <v>13213</v>
      </c>
    </row>
    <row r="404" spans="1:37" x14ac:dyDescent="0.25">
      <c r="A404" t="s">
        <v>993</v>
      </c>
      <c r="B404" t="s">
        <v>13205</v>
      </c>
      <c r="C404" t="b">
        <v>0</v>
      </c>
      <c r="D404" t="b">
        <v>0</v>
      </c>
      <c r="E404">
        <v>58</v>
      </c>
      <c r="F404">
        <v>15</v>
      </c>
      <c r="G404">
        <v>38</v>
      </c>
      <c r="H404" t="s">
        <v>860</v>
      </c>
      <c r="I404">
        <v>50</v>
      </c>
      <c r="J404">
        <v>4.7</v>
      </c>
      <c r="K404">
        <v>0.3</v>
      </c>
      <c r="L404" t="s">
        <v>859</v>
      </c>
      <c r="M404" t="s">
        <v>833</v>
      </c>
      <c r="N404" t="s">
        <v>917</v>
      </c>
      <c r="O404" t="s">
        <v>838</v>
      </c>
      <c r="P404" t="s">
        <v>13863</v>
      </c>
      <c r="Q404" t="s">
        <v>13864</v>
      </c>
      <c r="R404" t="s">
        <v>13865</v>
      </c>
      <c r="S404" t="s">
        <v>994</v>
      </c>
      <c r="T404" t="s">
        <v>3867</v>
      </c>
      <c r="U404">
        <v>0</v>
      </c>
      <c r="V404" t="b">
        <v>1</v>
      </c>
      <c r="W404" t="b">
        <v>1</v>
      </c>
      <c r="X404" t="b">
        <v>0</v>
      </c>
      <c r="Y404" t="s">
        <v>13212</v>
      </c>
    </row>
    <row r="405" spans="1:37" x14ac:dyDescent="0.25">
      <c r="A405" t="s">
        <v>112</v>
      </c>
      <c r="B405" t="s">
        <v>13205</v>
      </c>
      <c r="C405" t="b">
        <v>1</v>
      </c>
      <c r="D405" t="b">
        <v>1</v>
      </c>
      <c r="E405">
        <v>30</v>
      </c>
      <c r="F405">
        <v>10</v>
      </c>
      <c r="G405">
        <v>10</v>
      </c>
      <c r="H405" t="s">
        <v>860</v>
      </c>
      <c r="I405">
        <v>300</v>
      </c>
      <c r="J405">
        <v>1.41</v>
      </c>
      <c r="K405">
        <v>0.09</v>
      </c>
      <c r="L405" t="s">
        <v>859</v>
      </c>
      <c r="M405" t="s">
        <v>13207</v>
      </c>
      <c r="N405" t="s">
        <v>917</v>
      </c>
      <c r="O405" t="s">
        <v>874</v>
      </c>
      <c r="P405" t="s">
        <v>13312</v>
      </c>
      <c r="Q405" t="s">
        <v>13313</v>
      </c>
      <c r="R405" t="s">
        <v>554</v>
      </c>
      <c r="S405" t="s">
        <v>13314</v>
      </c>
      <c r="T405" t="s">
        <v>3874</v>
      </c>
      <c r="U405">
        <v>300</v>
      </c>
      <c r="V405" t="b">
        <v>0</v>
      </c>
      <c r="W405" t="b">
        <v>0</v>
      </c>
      <c r="X405" t="b">
        <v>0</v>
      </c>
      <c r="Y405" t="s">
        <v>13212</v>
      </c>
      <c r="Z405">
        <v>37.19</v>
      </c>
      <c r="AA405" t="s">
        <v>13213</v>
      </c>
      <c r="AB405">
        <v>30</v>
      </c>
      <c r="AC405" t="s">
        <v>13213</v>
      </c>
      <c r="AD405">
        <v>36</v>
      </c>
      <c r="AE405" t="s">
        <v>13214</v>
      </c>
      <c r="AF405">
        <v>27.44</v>
      </c>
      <c r="AG405" t="s">
        <v>13213</v>
      </c>
      <c r="AH405">
        <v>22.5</v>
      </c>
      <c r="AI405" t="s">
        <v>13215</v>
      </c>
      <c r="AJ405">
        <v>45</v>
      </c>
      <c r="AK405" t="s">
        <v>13213</v>
      </c>
    </row>
    <row r="406" spans="1:37" x14ac:dyDescent="0.25">
      <c r="A406" t="s">
        <v>292</v>
      </c>
      <c r="B406" t="s">
        <v>13205</v>
      </c>
      <c r="C406" t="b">
        <v>1</v>
      </c>
      <c r="D406" t="b">
        <v>1</v>
      </c>
      <c r="E406">
        <v>20</v>
      </c>
      <c r="F406">
        <v>9</v>
      </c>
      <c r="G406">
        <v>40</v>
      </c>
      <c r="H406" t="s">
        <v>860</v>
      </c>
      <c r="I406">
        <v>60</v>
      </c>
      <c r="J406">
        <v>1</v>
      </c>
      <c r="K406">
        <v>0.4</v>
      </c>
      <c r="L406" t="s">
        <v>859</v>
      </c>
      <c r="M406" t="s">
        <v>13207</v>
      </c>
      <c r="N406" t="s">
        <v>929</v>
      </c>
      <c r="O406" t="s">
        <v>838</v>
      </c>
      <c r="P406" t="s">
        <v>13715</v>
      </c>
      <c r="Q406" t="s">
        <v>13716</v>
      </c>
      <c r="R406" t="s">
        <v>542</v>
      </c>
      <c r="S406" t="s">
        <v>13717</v>
      </c>
      <c r="T406" t="s">
        <v>3884</v>
      </c>
      <c r="U406">
        <v>50</v>
      </c>
      <c r="V406" t="b">
        <v>0</v>
      </c>
      <c r="W406" t="b">
        <v>0</v>
      </c>
      <c r="X406" t="b">
        <v>0</v>
      </c>
      <c r="Y406" t="s">
        <v>13212</v>
      </c>
      <c r="Z406">
        <v>20.66</v>
      </c>
      <c r="AA406" t="s">
        <v>13213</v>
      </c>
      <c r="AB406">
        <v>16.670000000000002</v>
      </c>
      <c r="AC406" t="s">
        <v>13213</v>
      </c>
      <c r="AD406">
        <v>20</v>
      </c>
      <c r="AE406" t="s">
        <v>13214</v>
      </c>
      <c r="AF406">
        <v>15.24</v>
      </c>
      <c r="AG406" t="s">
        <v>13213</v>
      </c>
      <c r="AH406">
        <v>12.83</v>
      </c>
      <c r="AI406" t="s">
        <v>13215</v>
      </c>
      <c r="AJ406">
        <v>25</v>
      </c>
      <c r="AK406" t="s">
        <v>13213</v>
      </c>
    </row>
    <row r="407" spans="1:37" x14ac:dyDescent="0.25">
      <c r="A407" t="s">
        <v>106</v>
      </c>
      <c r="B407" t="s">
        <v>13205</v>
      </c>
      <c r="C407" t="b">
        <v>1</v>
      </c>
      <c r="D407" t="b">
        <v>1</v>
      </c>
      <c r="E407">
        <v>58</v>
      </c>
      <c r="F407">
        <v>10</v>
      </c>
      <c r="G407">
        <v>38</v>
      </c>
      <c r="H407" t="s">
        <v>860</v>
      </c>
      <c r="I407">
        <v>50</v>
      </c>
      <c r="J407">
        <v>1.7</v>
      </c>
      <c r="K407">
        <v>0.7</v>
      </c>
      <c r="L407" t="s">
        <v>859</v>
      </c>
      <c r="M407" t="s">
        <v>13207</v>
      </c>
      <c r="N407" t="s">
        <v>929</v>
      </c>
      <c r="O407" t="s">
        <v>838</v>
      </c>
      <c r="P407" t="s">
        <v>13275</v>
      </c>
      <c r="Q407" t="s">
        <v>13276</v>
      </c>
      <c r="R407" t="s">
        <v>545</v>
      </c>
      <c r="S407" t="s">
        <v>13277</v>
      </c>
      <c r="T407" t="s">
        <v>3886</v>
      </c>
      <c r="U407">
        <v>200</v>
      </c>
      <c r="V407" t="b">
        <v>0</v>
      </c>
      <c r="W407" t="b">
        <v>0</v>
      </c>
      <c r="X407" t="b">
        <v>0</v>
      </c>
      <c r="Y407" t="s">
        <v>13212</v>
      </c>
      <c r="Z407">
        <v>23.97</v>
      </c>
      <c r="AA407" t="s">
        <v>13213</v>
      </c>
      <c r="AB407">
        <v>19.329999999999998</v>
      </c>
      <c r="AC407" t="s">
        <v>13213</v>
      </c>
      <c r="AD407">
        <v>23.2</v>
      </c>
      <c r="AE407" t="s">
        <v>13214</v>
      </c>
      <c r="AF407">
        <v>17.68</v>
      </c>
      <c r="AG407" t="s">
        <v>13213</v>
      </c>
      <c r="AH407">
        <v>15.17</v>
      </c>
      <c r="AI407" t="s">
        <v>13215</v>
      </c>
      <c r="AJ407">
        <v>29</v>
      </c>
      <c r="AK407" t="s">
        <v>13213</v>
      </c>
    </row>
    <row r="408" spans="1:37" x14ac:dyDescent="0.25">
      <c r="A408" t="s">
        <v>293</v>
      </c>
      <c r="B408" t="s">
        <v>13205</v>
      </c>
      <c r="C408" t="b">
        <v>1</v>
      </c>
      <c r="D408" t="b">
        <v>1</v>
      </c>
      <c r="E408">
        <v>30</v>
      </c>
      <c r="F408">
        <v>9</v>
      </c>
      <c r="G408">
        <v>50</v>
      </c>
      <c r="H408" t="s">
        <v>860</v>
      </c>
      <c r="I408">
        <v>50</v>
      </c>
      <c r="J408">
        <v>1.6</v>
      </c>
      <c r="K408">
        <v>0.5</v>
      </c>
      <c r="L408" t="s">
        <v>859</v>
      </c>
      <c r="M408" t="s">
        <v>13207</v>
      </c>
      <c r="N408" t="s">
        <v>929</v>
      </c>
      <c r="O408" t="s">
        <v>838</v>
      </c>
      <c r="P408" t="s">
        <v>13718</v>
      </c>
      <c r="Q408" t="s">
        <v>13719</v>
      </c>
      <c r="R408" t="s">
        <v>543</v>
      </c>
      <c r="S408" t="s">
        <v>13720</v>
      </c>
      <c r="T408" t="s">
        <v>3888</v>
      </c>
      <c r="U408">
        <v>100</v>
      </c>
      <c r="V408" t="b">
        <v>0</v>
      </c>
      <c r="W408" t="b">
        <v>0</v>
      </c>
      <c r="X408" t="b">
        <v>0</v>
      </c>
      <c r="Y408" t="s">
        <v>13212</v>
      </c>
      <c r="Z408">
        <v>22.31</v>
      </c>
      <c r="AA408" t="s">
        <v>13213</v>
      </c>
      <c r="AB408">
        <v>18</v>
      </c>
      <c r="AC408" t="s">
        <v>13213</v>
      </c>
      <c r="AD408">
        <v>22</v>
      </c>
      <c r="AE408" t="s">
        <v>13214</v>
      </c>
      <c r="AF408">
        <v>16.46</v>
      </c>
      <c r="AG408" t="s">
        <v>13213</v>
      </c>
      <c r="AH408">
        <v>14</v>
      </c>
      <c r="AI408" t="s">
        <v>13215</v>
      </c>
      <c r="AJ408">
        <v>27</v>
      </c>
      <c r="AK408" t="s">
        <v>13213</v>
      </c>
    </row>
    <row r="409" spans="1:37" x14ac:dyDescent="0.25">
      <c r="A409" t="s">
        <v>294</v>
      </c>
      <c r="B409" t="s">
        <v>13205</v>
      </c>
      <c r="C409" t="b">
        <v>1</v>
      </c>
      <c r="D409" t="b">
        <v>1</v>
      </c>
      <c r="E409">
        <v>35</v>
      </c>
      <c r="F409">
        <v>9</v>
      </c>
      <c r="G409">
        <v>50</v>
      </c>
      <c r="H409" t="s">
        <v>860</v>
      </c>
      <c r="I409">
        <v>50</v>
      </c>
      <c r="J409">
        <v>2.1</v>
      </c>
      <c r="K409">
        <v>0.5</v>
      </c>
      <c r="L409" t="s">
        <v>859</v>
      </c>
      <c r="M409" t="s">
        <v>13207</v>
      </c>
      <c r="N409" t="s">
        <v>929</v>
      </c>
      <c r="O409" t="s">
        <v>838</v>
      </c>
      <c r="P409" t="s">
        <v>13721</v>
      </c>
      <c r="Q409" t="s">
        <v>13722</v>
      </c>
      <c r="R409" t="s">
        <v>544</v>
      </c>
      <c r="S409" t="s">
        <v>13723</v>
      </c>
      <c r="T409" t="s">
        <v>3890</v>
      </c>
      <c r="U409">
        <v>100</v>
      </c>
      <c r="V409" t="b">
        <v>0</v>
      </c>
      <c r="W409" t="b">
        <v>0</v>
      </c>
      <c r="X409" t="b">
        <v>0</v>
      </c>
      <c r="Y409" t="s">
        <v>13212</v>
      </c>
      <c r="Z409">
        <v>26.45</v>
      </c>
      <c r="AA409" t="s">
        <v>13213</v>
      </c>
      <c r="AB409">
        <v>21.33</v>
      </c>
      <c r="AC409" t="s">
        <v>13213</v>
      </c>
      <c r="AD409">
        <v>26</v>
      </c>
      <c r="AE409" t="s">
        <v>13214</v>
      </c>
      <c r="AF409">
        <v>19.510000000000002</v>
      </c>
      <c r="AG409" t="s">
        <v>13213</v>
      </c>
      <c r="AH409">
        <v>16.329999999999998</v>
      </c>
      <c r="AI409" t="s">
        <v>13215</v>
      </c>
      <c r="AJ409">
        <v>32</v>
      </c>
      <c r="AK409" t="s">
        <v>13213</v>
      </c>
    </row>
    <row r="410" spans="1:37" x14ac:dyDescent="0.25">
      <c r="A410" t="s">
        <v>107</v>
      </c>
      <c r="B410" t="s">
        <v>13205</v>
      </c>
      <c r="C410" t="b">
        <v>1</v>
      </c>
      <c r="D410" t="b">
        <v>1</v>
      </c>
      <c r="E410">
        <v>58</v>
      </c>
      <c r="F410">
        <v>10</v>
      </c>
      <c r="G410">
        <v>38</v>
      </c>
      <c r="H410" t="s">
        <v>860</v>
      </c>
      <c r="I410">
        <v>50</v>
      </c>
      <c r="J410">
        <v>2.2999999999999998</v>
      </c>
      <c r="K410">
        <v>0.7</v>
      </c>
      <c r="L410" t="s">
        <v>859</v>
      </c>
      <c r="M410" t="s">
        <v>13207</v>
      </c>
      <c r="N410" t="s">
        <v>929</v>
      </c>
      <c r="O410" t="s">
        <v>838</v>
      </c>
      <c r="P410" t="s">
        <v>13278</v>
      </c>
      <c r="Q410" t="s">
        <v>13279</v>
      </c>
      <c r="R410" t="s">
        <v>546</v>
      </c>
      <c r="S410" t="s">
        <v>13280</v>
      </c>
      <c r="T410" t="s">
        <v>3895</v>
      </c>
      <c r="U410">
        <v>200</v>
      </c>
      <c r="V410" t="b">
        <v>0</v>
      </c>
      <c r="W410" t="b">
        <v>0</v>
      </c>
      <c r="X410" t="b">
        <v>0</v>
      </c>
      <c r="Y410" t="s">
        <v>13212</v>
      </c>
      <c r="Z410">
        <v>32.229999999999997</v>
      </c>
      <c r="AA410" t="s">
        <v>13213</v>
      </c>
      <c r="AB410">
        <v>26</v>
      </c>
      <c r="AC410" t="s">
        <v>13213</v>
      </c>
      <c r="AD410">
        <v>31.2</v>
      </c>
      <c r="AE410" t="s">
        <v>13214</v>
      </c>
      <c r="AF410">
        <v>23.78</v>
      </c>
      <c r="AG410" t="s">
        <v>13213</v>
      </c>
      <c r="AH410">
        <v>19.829999999999998</v>
      </c>
      <c r="AI410" t="s">
        <v>13215</v>
      </c>
      <c r="AJ410">
        <v>39</v>
      </c>
      <c r="AK410" t="s">
        <v>13213</v>
      </c>
    </row>
    <row r="411" spans="1:37" x14ac:dyDescent="0.25">
      <c r="A411" t="s">
        <v>108</v>
      </c>
      <c r="B411" t="s">
        <v>13205</v>
      </c>
      <c r="C411" t="b">
        <v>1</v>
      </c>
      <c r="D411" t="b">
        <v>1</v>
      </c>
      <c r="E411">
        <v>58</v>
      </c>
      <c r="F411">
        <v>12</v>
      </c>
      <c r="G411">
        <v>38</v>
      </c>
      <c r="H411" t="s">
        <v>860</v>
      </c>
      <c r="I411">
        <v>50</v>
      </c>
      <c r="J411">
        <v>2.8</v>
      </c>
      <c r="K411">
        <v>0.7</v>
      </c>
      <c r="L411" t="s">
        <v>859</v>
      </c>
      <c r="M411" t="s">
        <v>13207</v>
      </c>
      <c r="N411" t="s">
        <v>929</v>
      </c>
      <c r="O411" t="s">
        <v>838</v>
      </c>
      <c r="P411" t="s">
        <v>13291</v>
      </c>
      <c r="Q411" t="s">
        <v>13292</v>
      </c>
      <c r="R411" t="s">
        <v>547</v>
      </c>
      <c r="S411" t="s">
        <v>13293</v>
      </c>
      <c r="T411" t="s">
        <v>3897</v>
      </c>
      <c r="U411">
        <v>200</v>
      </c>
      <c r="V411" t="b">
        <v>0</v>
      </c>
      <c r="W411" t="b">
        <v>0</v>
      </c>
      <c r="X411" t="b">
        <v>0</v>
      </c>
      <c r="Y411" t="s">
        <v>13212</v>
      </c>
      <c r="Z411">
        <v>37.19</v>
      </c>
      <c r="AA411" t="s">
        <v>13213</v>
      </c>
      <c r="AB411">
        <v>30</v>
      </c>
      <c r="AC411" t="s">
        <v>13213</v>
      </c>
      <c r="AD411">
        <v>36</v>
      </c>
      <c r="AE411" t="s">
        <v>13214</v>
      </c>
      <c r="AF411">
        <v>27.44</v>
      </c>
      <c r="AG411" t="s">
        <v>13213</v>
      </c>
      <c r="AH411">
        <v>23.33</v>
      </c>
      <c r="AI411" t="s">
        <v>13215</v>
      </c>
      <c r="AJ411">
        <v>45</v>
      </c>
      <c r="AK411" t="s">
        <v>13213</v>
      </c>
    </row>
    <row r="412" spans="1:37" x14ac:dyDescent="0.25">
      <c r="A412" t="s">
        <v>109</v>
      </c>
      <c r="B412" t="s">
        <v>13205</v>
      </c>
      <c r="C412" t="b">
        <v>1</v>
      </c>
      <c r="D412" t="b">
        <v>1</v>
      </c>
      <c r="E412">
        <v>58</v>
      </c>
      <c r="F412">
        <v>13</v>
      </c>
      <c r="G412">
        <v>38</v>
      </c>
      <c r="H412" t="s">
        <v>860</v>
      </c>
      <c r="I412">
        <v>35</v>
      </c>
      <c r="J412">
        <v>3.2</v>
      </c>
      <c r="K412">
        <v>0.8</v>
      </c>
      <c r="L412" t="s">
        <v>859</v>
      </c>
      <c r="M412" t="s">
        <v>13207</v>
      </c>
      <c r="N412" t="s">
        <v>929</v>
      </c>
      <c r="O412" t="s">
        <v>838</v>
      </c>
      <c r="P412" t="s">
        <v>13298</v>
      </c>
      <c r="Q412" t="s">
        <v>13299</v>
      </c>
      <c r="R412" t="s">
        <v>548</v>
      </c>
      <c r="S412" t="s">
        <v>13300</v>
      </c>
      <c r="T412" t="s">
        <v>3899</v>
      </c>
      <c r="U412">
        <v>200</v>
      </c>
      <c r="V412" t="b">
        <v>0</v>
      </c>
      <c r="W412" t="b">
        <v>0</v>
      </c>
      <c r="X412" t="b">
        <v>0</v>
      </c>
      <c r="Y412" t="s">
        <v>13212</v>
      </c>
      <c r="Z412">
        <v>40.5</v>
      </c>
      <c r="AA412" t="s">
        <v>13213</v>
      </c>
      <c r="AB412">
        <v>32.67</v>
      </c>
      <c r="AC412" t="s">
        <v>13213</v>
      </c>
      <c r="AD412">
        <v>39.200000000000003</v>
      </c>
      <c r="AE412" t="s">
        <v>13214</v>
      </c>
      <c r="AF412">
        <v>29.88</v>
      </c>
      <c r="AG412" t="s">
        <v>13213</v>
      </c>
      <c r="AH412">
        <v>25.08</v>
      </c>
      <c r="AI412" t="s">
        <v>13215</v>
      </c>
      <c r="AJ412">
        <v>49</v>
      </c>
      <c r="AK412" t="s">
        <v>13213</v>
      </c>
    </row>
    <row r="413" spans="1:37" x14ac:dyDescent="0.25">
      <c r="A413" t="s">
        <v>456</v>
      </c>
      <c r="B413" t="s">
        <v>13205</v>
      </c>
      <c r="C413" t="b">
        <v>1</v>
      </c>
      <c r="D413" t="b">
        <v>1</v>
      </c>
      <c r="E413">
        <v>58</v>
      </c>
      <c r="F413">
        <v>11</v>
      </c>
      <c r="G413">
        <v>38</v>
      </c>
      <c r="H413" t="s">
        <v>860</v>
      </c>
      <c r="I413">
        <v>50</v>
      </c>
      <c r="J413">
        <v>4.5999999999999996</v>
      </c>
      <c r="K413">
        <v>0.61</v>
      </c>
      <c r="L413" t="s">
        <v>859</v>
      </c>
      <c r="M413" t="s">
        <v>13207</v>
      </c>
      <c r="N413" t="s">
        <v>917</v>
      </c>
      <c r="O413" t="s">
        <v>838</v>
      </c>
      <c r="P413" t="s">
        <v>13740</v>
      </c>
      <c r="Q413" t="s">
        <v>13741</v>
      </c>
      <c r="R413" t="s">
        <v>549</v>
      </c>
      <c r="S413" t="s">
        <v>3905</v>
      </c>
      <c r="T413" t="s">
        <v>3904</v>
      </c>
      <c r="U413">
        <v>50</v>
      </c>
      <c r="V413" t="b">
        <v>0</v>
      </c>
      <c r="W413" t="b">
        <v>0</v>
      </c>
      <c r="X413" t="b">
        <v>0</v>
      </c>
      <c r="Y413" t="s">
        <v>13212</v>
      </c>
      <c r="Z413">
        <v>48.76</v>
      </c>
      <c r="AA413" t="s">
        <v>13213</v>
      </c>
      <c r="AB413">
        <v>39.33</v>
      </c>
      <c r="AC413" t="s">
        <v>13213</v>
      </c>
      <c r="AD413">
        <v>38.4</v>
      </c>
      <c r="AE413" t="s">
        <v>13214</v>
      </c>
      <c r="AF413">
        <v>35.979999999999997</v>
      </c>
      <c r="AG413" t="s">
        <v>13213</v>
      </c>
      <c r="AH413">
        <v>30.33</v>
      </c>
      <c r="AI413" t="s">
        <v>13215</v>
      </c>
      <c r="AJ413">
        <v>59</v>
      </c>
      <c r="AK413" t="s">
        <v>13213</v>
      </c>
    </row>
    <row r="414" spans="1:37" x14ac:dyDescent="0.25">
      <c r="A414" t="s">
        <v>457</v>
      </c>
      <c r="B414" t="s">
        <v>13205</v>
      </c>
      <c r="C414" t="b">
        <v>1</v>
      </c>
      <c r="D414" t="b">
        <v>1</v>
      </c>
      <c r="E414">
        <v>58</v>
      </c>
      <c r="F414">
        <v>12</v>
      </c>
      <c r="G414">
        <v>38</v>
      </c>
      <c r="H414" t="s">
        <v>860</v>
      </c>
      <c r="I414">
        <v>35</v>
      </c>
      <c r="J414">
        <v>6</v>
      </c>
      <c r="K414">
        <v>0.7</v>
      </c>
      <c r="L414" t="s">
        <v>859</v>
      </c>
      <c r="M414" t="s">
        <v>13207</v>
      </c>
      <c r="N414" t="s">
        <v>917</v>
      </c>
      <c r="O414" t="s">
        <v>838</v>
      </c>
      <c r="P414" t="s">
        <v>13742</v>
      </c>
      <c r="Q414" t="s">
        <v>13743</v>
      </c>
      <c r="R414" t="s">
        <v>550</v>
      </c>
      <c r="S414" t="s">
        <v>3910</v>
      </c>
      <c r="T414" t="s">
        <v>3909</v>
      </c>
      <c r="U414">
        <v>100</v>
      </c>
      <c r="V414" t="b">
        <v>0</v>
      </c>
      <c r="W414" t="b">
        <v>0</v>
      </c>
      <c r="X414" t="b">
        <v>0</v>
      </c>
      <c r="Y414" t="s">
        <v>13212</v>
      </c>
      <c r="Z414">
        <v>57.02</v>
      </c>
      <c r="AA414" t="s">
        <v>13213</v>
      </c>
      <c r="AB414">
        <v>46</v>
      </c>
      <c r="AC414" t="s">
        <v>13213</v>
      </c>
      <c r="AD414">
        <v>47.2</v>
      </c>
      <c r="AE414" t="s">
        <v>13214</v>
      </c>
      <c r="AF414">
        <v>42.07</v>
      </c>
      <c r="AG414" t="s">
        <v>13213</v>
      </c>
      <c r="AH414">
        <v>35.58</v>
      </c>
      <c r="AI414" t="s">
        <v>13215</v>
      </c>
      <c r="AJ414">
        <v>69</v>
      </c>
      <c r="AK414" t="s">
        <v>13213</v>
      </c>
    </row>
    <row r="415" spans="1:37" x14ac:dyDescent="0.25">
      <c r="A415" t="s">
        <v>458</v>
      </c>
      <c r="B415" t="s">
        <v>13205</v>
      </c>
      <c r="C415" t="b">
        <v>1</v>
      </c>
      <c r="D415" t="b">
        <v>1</v>
      </c>
      <c r="E415">
        <v>58</v>
      </c>
      <c r="F415">
        <v>16</v>
      </c>
      <c r="G415">
        <v>38</v>
      </c>
      <c r="H415" t="s">
        <v>860</v>
      </c>
      <c r="I415">
        <v>35</v>
      </c>
      <c r="J415">
        <v>7.1</v>
      </c>
      <c r="K415">
        <v>0.9</v>
      </c>
      <c r="L415" t="s">
        <v>859</v>
      </c>
      <c r="M415" t="s">
        <v>13207</v>
      </c>
      <c r="N415" t="s">
        <v>917</v>
      </c>
      <c r="O415" t="s">
        <v>838</v>
      </c>
      <c r="P415" t="s">
        <v>13744</v>
      </c>
      <c r="Q415" t="s">
        <v>13745</v>
      </c>
      <c r="R415" t="s">
        <v>551</v>
      </c>
      <c r="S415" t="s">
        <v>3915</v>
      </c>
      <c r="T415" t="s">
        <v>3914</v>
      </c>
      <c r="U415">
        <v>100</v>
      </c>
      <c r="V415" t="b">
        <v>0</v>
      </c>
      <c r="W415" t="b">
        <v>0</v>
      </c>
      <c r="X415" t="b">
        <v>0</v>
      </c>
      <c r="Y415" t="s">
        <v>13212</v>
      </c>
      <c r="Z415">
        <v>65.290000000000006</v>
      </c>
      <c r="AA415" t="s">
        <v>13213</v>
      </c>
      <c r="AB415">
        <v>52.67</v>
      </c>
      <c r="AC415" t="s">
        <v>13213</v>
      </c>
      <c r="AD415">
        <v>55.2</v>
      </c>
      <c r="AE415" t="s">
        <v>13214</v>
      </c>
      <c r="AF415">
        <v>48.17</v>
      </c>
      <c r="AG415" t="s">
        <v>13213</v>
      </c>
      <c r="AH415">
        <v>40.83</v>
      </c>
      <c r="AI415" t="s">
        <v>13215</v>
      </c>
      <c r="AJ415">
        <v>79</v>
      </c>
      <c r="AK415" t="s">
        <v>13213</v>
      </c>
    </row>
    <row r="416" spans="1:37" x14ac:dyDescent="0.25">
      <c r="A416" t="s">
        <v>459</v>
      </c>
      <c r="B416" t="s">
        <v>13205</v>
      </c>
      <c r="C416" t="b">
        <v>1</v>
      </c>
      <c r="D416" t="b">
        <v>1</v>
      </c>
      <c r="E416">
        <v>58</v>
      </c>
      <c r="F416">
        <v>19</v>
      </c>
      <c r="G416">
        <v>38</v>
      </c>
      <c r="H416" t="s">
        <v>860</v>
      </c>
      <c r="I416">
        <v>35</v>
      </c>
      <c r="J416">
        <v>8.9</v>
      </c>
      <c r="K416">
        <v>1.1000000000000001</v>
      </c>
      <c r="L416" t="s">
        <v>859</v>
      </c>
      <c r="M416" t="s">
        <v>13207</v>
      </c>
      <c r="N416" t="s">
        <v>917</v>
      </c>
      <c r="O416" t="s">
        <v>838</v>
      </c>
      <c r="P416" t="s">
        <v>13746</v>
      </c>
      <c r="Q416" t="s">
        <v>13747</v>
      </c>
      <c r="R416" t="s">
        <v>552</v>
      </c>
      <c r="S416" t="s">
        <v>3920</v>
      </c>
      <c r="T416" t="s">
        <v>3919</v>
      </c>
      <c r="U416">
        <v>100</v>
      </c>
      <c r="V416" t="b">
        <v>0</v>
      </c>
      <c r="W416" t="b">
        <v>0</v>
      </c>
      <c r="X416" t="b">
        <v>0</v>
      </c>
      <c r="Y416" t="s">
        <v>13212</v>
      </c>
      <c r="Z416">
        <v>73.55</v>
      </c>
      <c r="AA416" t="s">
        <v>13213</v>
      </c>
      <c r="AB416">
        <v>59.33</v>
      </c>
      <c r="AC416" t="s">
        <v>13213</v>
      </c>
      <c r="AD416">
        <v>63.2</v>
      </c>
      <c r="AE416" t="s">
        <v>13214</v>
      </c>
      <c r="AF416">
        <v>54.27</v>
      </c>
      <c r="AG416" t="s">
        <v>13213</v>
      </c>
      <c r="AH416">
        <v>45.5</v>
      </c>
      <c r="AI416" t="s">
        <v>13215</v>
      </c>
      <c r="AJ416">
        <v>89</v>
      </c>
      <c r="AK416" t="s">
        <v>13213</v>
      </c>
    </row>
    <row r="417" spans="1:37" x14ac:dyDescent="0.25">
      <c r="A417" t="s">
        <v>111</v>
      </c>
      <c r="B417" t="s">
        <v>13205</v>
      </c>
      <c r="C417" t="b">
        <v>1</v>
      </c>
      <c r="D417" t="b">
        <v>1</v>
      </c>
      <c r="E417">
        <v>42</v>
      </c>
      <c r="F417">
        <v>21</v>
      </c>
      <c r="G417">
        <v>57</v>
      </c>
      <c r="H417" t="s">
        <v>860</v>
      </c>
      <c r="I417">
        <v>30</v>
      </c>
      <c r="J417">
        <v>8.35</v>
      </c>
      <c r="K417">
        <v>1.01</v>
      </c>
      <c r="L417" t="s">
        <v>859</v>
      </c>
      <c r="M417" t="s">
        <v>13207</v>
      </c>
      <c r="N417" t="s">
        <v>929</v>
      </c>
      <c r="O417" t="s">
        <v>838</v>
      </c>
      <c r="P417" t="s">
        <v>13663</v>
      </c>
      <c r="Q417" t="s">
        <v>13664</v>
      </c>
      <c r="R417" t="s">
        <v>553</v>
      </c>
      <c r="S417" t="s">
        <v>13665</v>
      </c>
      <c r="T417" t="s">
        <v>3927</v>
      </c>
      <c r="U417">
        <v>100</v>
      </c>
      <c r="V417" t="b">
        <v>0</v>
      </c>
      <c r="W417" t="b">
        <v>0</v>
      </c>
      <c r="X417" t="b">
        <v>0</v>
      </c>
      <c r="Y417" t="s">
        <v>13212</v>
      </c>
      <c r="Z417">
        <v>81.819999999999993</v>
      </c>
      <c r="AA417" t="s">
        <v>13213</v>
      </c>
      <c r="AB417">
        <v>66</v>
      </c>
      <c r="AC417" t="s">
        <v>13213</v>
      </c>
      <c r="AD417">
        <v>71.2</v>
      </c>
      <c r="AE417" t="s">
        <v>13214</v>
      </c>
      <c r="AF417">
        <v>60.37</v>
      </c>
      <c r="AG417" t="s">
        <v>13213</v>
      </c>
      <c r="AH417">
        <v>50.75</v>
      </c>
      <c r="AI417" t="s">
        <v>13215</v>
      </c>
      <c r="AJ417">
        <v>99</v>
      </c>
      <c r="AK417" t="s">
        <v>13213</v>
      </c>
    </row>
    <row r="418" spans="1:37" x14ac:dyDescent="0.25">
      <c r="A418" t="s">
        <v>610</v>
      </c>
      <c r="B418" t="s">
        <v>13205</v>
      </c>
      <c r="C418" t="b">
        <v>1</v>
      </c>
      <c r="D418" t="b">
        <v>0</v>
      </c>
      <c r="E418">
        <v>58</v>
      </c>
      <c r="F418">
        <v>12</v>
      </c>
      <c r="G418">
        <v>38</v>
      </c>
      <c r="H418" t="s">
        <v>860</v>
      </c>
      <c r="I418">
        <v>50</v>
      </c>
      <c r="J418">
        <v>6</v>
      </c>
      <c r="K418">
        <v>0.7</v>
      </c>
      <c r="L418" t="s">
        <v>859</v>
      </c>
      <c r="M418" t="s">
        <v>13207</v>
      </c>
      <c r="N418" t="s">
        <v>917</v>
      </c>
      <c r="O418" t="s">
        <v>838</v>
      </c>
      <c r="P418" t="s">
        <v>13773</v>
      </c>
      <c r="Q418" t="s">
        <v>13774</v>
      </c>
      <c r="R418" t="s">
        <v>611</v>
      </c>
      <c r="S418" t="s">
        <v>13174</v>
      </c>
      <c r="T418" t="s">
        <v>3929</v>
      </c>
      <c r="U418">
        <v>0</v>
      </c>
      <c r="V418" t="b">
        <v>0</v>
      </c>
      <c r="W418" t="b">
        <v>0</v>
      </c>
      <c r="X418" t="b">
        <v>0</v>
      </c>
      <c r="Y418" t="s">
        <v>13212</v>
      </c>
      <c r="Z418">
        <v>57.02</v>
      </c>
      <c r="AA418" t="s">
        <v>13213</v>
      </c>
      <c r="AB418">
        <v>46</v>
      </c>
      <c r="AC418" t="s">
        <v>13213</v>
      </c>
      <c r="AD418">
        <v>55.2</v>
      </c>
      <c r="AE418" t="s">
        <v>13214</v>
      </c>
      <c r="AF418">
        <v>42.07</v>
      </c>
      <c r="AG418" t="s">
        <v>13213</v>
      </c>
      <c r="AH418">
        <v>28.58</v>
      </c>
      <c r="AI418" t="s">
        <v>13215</v>
      </c>
      <c r="AJ418">
        <v>69</v>
      </c>
      <c r="AK418" t="s">
        <v>13213</v>
      </c>
    </row>
    <row r="419" spans="1:37" x14ac:dyDescent="0.25">
      <c r="A419" t="s">
        <v>612</v>
      </c>
      <c r="B419" t="s">
        <v>13205</v>
      </c>
      <c r="C419" t="b">
        <v>1</v>
      </c>
      <c r="D419" t="b">
        <v>0</v>
      </c>
      <c r="E419">
        <v>58</v>
      </c>
      <c r="F419">
        <v>16</v>
      </c>
      <c r="G419">
        <v>38</v>
      </c>
      <c r="H419" t="s">
        <v>860</v>
      </c>
      <c r="I419">
        <v>35</v>
      </c>
      <c r="J419">
        <v>7.1</v>
      </c>
      <c r="K419">
        <v>0.9</v>
      </c>
      <c r="L419" t="s">
        <v>859</v>
      </c>
      <c r="M419" t="s">
        <v>13207</v>
      </c>
      <c r="N419" t="s">
        <v>917</v>
      </c>
      <c r="O419" t="s">
        <v>838</v>
      </c>
      <c r="P419" t="s">
        <v>13775</v>
      </c>
      <c r="Q419" t="s">
        <v>13776</v>
      </c>
      <c r="R419" t="s">
        <v>613</v>
      </c>
      <c r="S419" t="s">
        <v>13175</v>
      </c>
      <c r="T419" t="s">
        <v>3931</v>
      </c>
      <c r="U419">
        <v>0</v>
      </c>
      <c r="V419" t="b">
        <v>0</v>
      </c>
      <c r="W419" t="b">
        <v>0</v>
      </c>
      <c r="X419" t="b">
        <v>0</v>
      </c>
      <c r="Y419" t="s">
        <v>13212</v>
      </c>
      <c r="Z419">
        <v>65.290000000000006</v>
      </c>
      <c r="AA419" t="s">
        <v>13213</v>
      </c>
      <c r="AB419">
        <v>52.67</v>
      </c>
      <c r="AC419" t="s">
        <v>13213</v>
      </c>
      <c r="AD419">
        <v>63.2</v>
      </c>
      <c r="AE419" t="s">
        <v>13214</v>
      </c>
      <c r="AF419">
        <v>54.27</v>
      </c>
      <c r="AG419" t="s">
        <v>13213</v>
      </c>
      <c r="AH419">
        <v>33.25</v>
      </c>
      <c r="AI419" t="s">
        <v>13215</v>
      </c>
      <c r="AJ419">
        <v>79</v>
      </c>
      <c r="AK419" t="s">
        <v>13213</v>
      </c>
    </row>
    <row r="420" spans="1:37" x14ac:dyDescent="0.25">
      <c r="A420" t="s">
        <v>614</v>
      </c>
      <c r="B420" t="s">
        <v>13205</v>
      </c>
      <c r="C420" t="b">
        <v>1</v>
      </c>
      <c r="D420" t="b">
        <v>0</v>
      </c>
      <c r="E420">
        <v>58</v>
      </c>
      <c r="F420">
        <v>19</v>
      </c>
      <c r="G420">
        <v>38</v>
      </c>
      <c r="H420" t="s">
        <v>860</v>
      </c>
      <c r="I420">
        <v>35</v>
      </c>
      <c r="J420">
        <v>8.9</v>
      </c>
      <c r="K420">
        <v>1.1000000000000001</v>
      </c>
      <c r="L420" t="s">
        <v>859</v>
      </c>
      <c r="M420" t="s">
        <v>13207</v>
      </c>
      <c r="N420" t="s">
        <v>917</v>
      </c>
      <c r="O420" t="s">
        <v>838</v>
      </c>
      <c r="P420" t="s">
        <v>13777</v>
      </c>
      <c r="Q420" t="s">
        <v>13778</v>
      </c>
      <c r="R420" t="s">
        <v>615</v>
      </c>
      <c r="S420" t="s">
        <v>3934</v>
      </c>
      <c r="T420" t="s">
        <v>3933</v>
      </c>
      <c r="U420">
        <v>0</v>
      </c>
      <c r="V420" t="b">
        <v>0</v>
      </c>
      <c r="W420" t="b">
        <v>0</v>
      </c>
      <c r="X420" t="b">
        <v>0</v>
      </c>
      <c r="Y420" t="s">
        <v>13212</v>
      </c>
      <c r="Z420">
        <v>73.55</v>
      </c>
      <c r="AA420" t="s">
        <v>13213</v>
      </c>
      <c r="AB420">
        <v>59.33</v>
      </c>
      <c r="AC420" t="s">
        <v>13213</v>
      </c>
      <c r="AD420">
        <v>71.2</v>
      </c>
      <c r="AE420" t="s">
        <v>13214</v>
      </c>
      <c r="AF420">
        <v>60.37</v>
      </c>
      <c r="AG420" t="s">
        <v>13213</v>
      </c>
      <c r="AH420">
        <v>38.5</v>
      </c>
      <c r="AI420" t="s">
        <v>13215</v>
      </c>
      <c r="AJ420">
        <v>89</v>
      </c>
      <c r="AK420" t="s">
        <v>13213</v>
      </c>
    </row>
    <row r="421" spans="1:37" x14ac:dyDescent="0.25">
      <c r="A421" t="s">
        <v>991</v>
      </c>
      <c r="B421" t="s">
        <v>13205</v>
      </c>
      <c r="C421" t="b">
        <v>0</v>
      </c>
      <c r="D421" t="b">
        <v>0</v>
      </c>
      <c r="E421">
        <v>42</v>
      </c>
      <c r="F421">
        <v>21</v>
      </c>
      <c r="G421">
        <v>57</v>
      </c>
      <c r="H421" t="s">
        <v>860</v>
      </c>
      <c r="I421">
        <v>30</v>
      </c>
      <c r="J421">
        <v>8.35</v>
      </c>
      <c r="K421">
        <v>1.01</v>
      </c>
      <c r="L421" t="s">
        <v>859</v>
      </c>
      <c r="M421" t="s">
        <v>833</v>
      </c>
      <c r="N421" t="s">
        <v>929</v>
      </c>
      <c r="O421" t="s">
        <v>838</v>
      </c>
      <c r="P421" t="s">
        <v>13860</v>
      </c>
      <c r="Q421" t="s">
        <v>13861</v>
      </c>
      <c r="R421" t="s">
        <v>13862</v>
      </c>
      <c r="S421" t="s">
        <v>992</v>
      </c>
      <c r="T421" t="s">
        <v>3935</v>
      </c>
      <c r="U421">
        <v>0</v>
      </c>
      <c r="V421" t="b">
        <v>1</v>
      </c>
      <c r="W421" t="b">
        <v>1</v>
      </c>
      <c r="X421" t="b">
        <v>0</v>
      </c>
      <c r="Y421" t="s">
        <v>13212</v>
      </c>
    </row>
    <row r="422" spans="1:37" x14ac:dyDescent="0.25">
      <c r="A422" t="s">
        <v>96</v>
      </c>
      <c r="B422" t="s">
        <v>13205</v>
      </c>
      <c r="C422" t="b">
        <v>1</v>
      </c>
      <c r="D422" t="b">
        <v>1</v>
      </c>
      <c r="E422">
        <v>1</v>
      </c>
      <c r="F422">
        <v>1</v>
      </c>
      <c r="G422">
        <v>1</v>
      </c>
      <c r="H422" t="s">
        <v>860</v>
      </c>
      <c r="I422">
        <v>0</v>
      </c>
      <c r="J422">
        <v>67.7</v>
      </c>
      <c r="K422">
        <v>0</v>
      </c>
      <c r="L422" t="s">
        <v>859</v>
      </c>
      <c r="M422" t="s">
        <v>13207</v>
      </c>
      <c r="N422" t="s">
        <v>13205</v>
      </c>
      <c r="O422" t="s">
        <v>838</v>
      </c>
      <c r="P422" t="s">
        <v>13581</v>
      </c>
      <c r="Q422" t="s">
        <v>13582</v>
      </c>
      <c r="R422" t="s">
        <v>616</v>
      </c>
      <c r="S422" t="s">
        <v>616</v>
      </c>
      <c r="T422" t="s">
        <v>4031</v>
      </c>
      <c r="U422">
        <v>1</v>
      </c>
      <c r="V422" t="b">
        <v>1</v>
      </c>
      <c r="W422" t="b">
        <v>0</v>
      </c>
      <c r="X422" t="b">
        <v>0</v>
      </c>
      <c r="Y422" t="s">
        <v>13212</v>
      </c>
      <c r="Z422">
        <v>709.92</v>
      </c>
      <c r="AA422" t="s">
        <v>13213</v>
      </c>
      <c r="AB422">
        <v>572.66999999999996</v>
      </c>
      <c r="AC422" t="s">
        <v>13213</v>
      </c>
      <c r="AD422">
        <v>687.2</v>
      </c>
      <c r="AE422" t="s">
        <v>13214</v>
      </c>
      <c r="AF422">
        <v>523.78</v>
      </c>
      <c r="AG422" t="s">
        <v>13213</v>
      </c>
      <c r="AH422">
        <v>436.92</v>
      </c>
      <c r="AI422" t="s">
        <v>13215</v>
      </c>
      <c r="AJ422">
        <v>859</v>
      </c>
      <c r="AK422" t="s">
        <v>13213</v>
      </c>
    </row>
    <row r="423" spans="1:37" x14ac:dyDescent="0.25">
      <c r="A423" t="s">
        <v>100</v>
      </c>
      <c r="B423" t="s">
        <v>13205</v>
      </c>
      <c r="C423" t="b">
        <v>1</v>
      </c>
      <c r="D423" t="b">
        <v>1</v>
      </c>
      <c r="E423">
        <v>1</v>
      </c>
      <c r="F423">
        <v>1</v>
      </c>
      <c r="G423">
        <v>1</v>
      </c>
      <c r="H423" t="s">
        <v>860</v>
      </c>
      <c r="I423">
        <v>0</v>
      </c>
      <c r="J423">
        <v>67.7</v>
      </c>
      <c r="K423">
        <v>0</v>
      </c>
      <c r="L423" t="s">
        <v>859</v>
      </c>
      <c r="M423" t="s">
        <v>13207</v>
      </c>
      <c r="N423" t="s">
        <v>13205</v>
      </c>
      <c r="O423" t="s">
        <v>838</v>
      </c>
      <c r="P423" t="s">
        <v>13589</v>
      </c>
      <c r="Q423" t="s">
        <v>13590</v>
      </c>
      <c r="R423" t="s">
        <v>617</v>
      </c>
      <c r="S423" t="s">
        <v>617</v>
      </c>
      <c r="T423" t="s">
        <v>4032</v>
      </c>
      <c r="U423">
        <v>1</v>
      </c>
      <c r="V423" t="b">
        <v>1</v>
      </c>
      <c r="W423" t="b">
        <v>0</v>
      </c>
      <c r="X423" t="b">
        <v>0</v>
      </c>
      <c r="Y423" t="s">
        <v>13212</v>
      </c>
      <c r="Z423">
        <v>709.92</v>
      </c>
      <c r="AA423" t="s">
        <v>13213</v>
      </c>
      <c r="AB423">
        <v>572.66999999999996</v>
      </c>
      <c r="AC423" t="s">
        <v>13213</v>
      </c>
      <c r="AD423">
        <v>687.2</v>
      </c>
      <c r="AE423" t="s">
        <v>13214</v>
      </c>
      <c r="AF423">
        <v>523.78</v>
      </c>
      <c r="AG423" t="s">
        <v>13213</v>
      </c>
      <c r="AH423">
        <v>436.92</v>
      </c>
      <c r="AI423" t="s">
        <v>13215</v>
      </c>
      <c r="AJ423">
        <v>859</v>
      </c>
      <c r="AK423" t="s">
        <v>13213</v>
      </c>
    </row>
    <row r="424" spans="1:37" x14ac:dyDescent="0.25">
      <c r="A424" t="s">
        <v>400</v>
      </c>
      <c r="B424" t="s">
        <v>13205</v>
      </c>
      <c r="C424" t="b">
        <v>1</v>
      </c>
      <c r="D424" t="b">
        <v>1</v>
      </c>
      <c r="E424">
        <v>54</v>
      </c>
      <c r="F424">
        <v>137</v>
      </c>
      <c r="G424">
        <v>17</v>
      </c>
      <c r="H424" t="s">
        <v>860</v>
      </c>
      <c r="I424">
        <v>8</v>
      </c>
      <c r="J424">
        <v>73</v>
      </c>
      <c r="K424">
        <v>3.8</v>
      </c>
      <c r="L424" t="s">
        <v>859</v>
      </c>
      <c r="M424" t="s">
        <v>13207</v>
      </c>
      <c r="N424" t="s">
        <v>917</v>
      </c>
      <c r="O424" t="s">
        <v>838</v>
      </c>
      <c r="P424" t="s">
        <v>13635</v>
      </c>
      <c r="Q424" t="s">
        <v>13636</v>
      </c>
      <c r="R424" t="s">
        <v>618</v>
      </c>
      <c r="S424" t="s">
        <v>13637</v>
      </c>
      <c r="T424" t="s">
        <v>4033</v>
      </c>
      <c r="U424">
        <v>50</v>
      </c>
      <c r="V424" t="b">
        <v>0</v>
      </c>
      <c r="W424" t="b">
        <v>0</v>
      </c>
      <c r="X424" t="b">
        <v>0</v>
      </c>
      <c r="Y424" t="s">
        <v>13212</v>
      </c>
      <c r="Z424">
        <v>342.98</v>
      </c>
      <c r="AA424" t="s">
        <v>13213</v>
      </c>
      <c r="AB424">
        <v>276.67</v>
      </c>
      <c r="AC424" t="s">
        <v>13213</v>
      </c>
      <c r="AD424">
        <v>332</v>
      </c>
      <c r="AE424" t="s">
        <v>13214</v>
      </c>
      <c r="AF424">
        <v>273.77999999999997</v>
      </c>
      <c r="AG424" t="s">
        <v>13213</v>
      </c>
      <c r="AH424">
        <v>250.25</v>
      </c>
      <c r="AI424" t="s">
        <v>13215</v>
      </c>
      <c r="AJ424">
        <v>415</v>
      </c>
      <c r="AK424" t="s">
        <v>13213</v>
      </c>
    </row>
    <row r="425" spans="1:37" x14ac:dyDescent="0.25">
      <c r="A425" t="s">
        <v>402</v>
      </c>
      <c r="B425" t="s">
        <v>13205</v>
      </c>
      <c r="C425" t="b">
        <v>1</v>
      </c>
      <c r="D425" t="b">
        <v>1</v>
      </c>
      <c r="E425">
        <v>52</v>
      </c>
      <c r="F425">
        <v>131</v>
      </c>
      <c r="G425">
        <v>26</v>
      </c>
      <c r="H425" t="s">
        <v>860</v>
      </c>
      <c r="I425">
        <v>6</v>
      </c>
      <c r="J425">
        <v>9.5</v>
      </c>
      <c r="K425">
        <v>2.5</v>
      </c>
      <c r="L425" t="s">
        <v>859</v>
      </c>
      <c r="M425" t="s">
        <v>13207</v>
      </c>
      <c r="N425" t="s">
        <v>917</v>
      </c>
      <c r="O425" t="s">
        <v>838</v>
      </c>
      <c r="P425" t="s">
        <v>13629</v>
      </c>
      <c r="Q425" t="s">
        <v>13630</v>
      </c>
      <c r="R425" t="s">
        <v>403</v>
      </c>
      <c r="S425" t="s">
        <v>403</v>
      </c>
      <c r="T425" t="s">
        <v>4040</v>
      </c>
      <c r="U425">
        <v>50</v>
      </c>
      <c r="V425" t="b">
        <v>0</v>
      </c>
      <c r="W425" t="b">
        <v>0</v>
      </c>
      <c r="X425" t="b">
        <v>0</v>
      </c>
      <c r="Y425" t="s">
        <v>13212</v>
      </c>
      <c r="Z425">
        <v>366.94</v>
      </c>
      <c r="AA425" t="s">
        <v>13213</v>
      </c>
      <c r="AB425">
        <v>296</v>
      </c>
      <c r="AC425" t="s">
        <v>13213</v>
      </c>
      <c r="AD425">
        <v>355.2</v>
      </c>
      <c r="AE425" t="s">
        <v>13214</v>
      </c>
      <c r="AF425">
        <v>270.73</v>
      </c>
      <c r="AG425" t="s">
        <v>13213</v>
      </c>
      <c r="AH425">
        <v>207.08</v>
      </c>
      <c r="AI425" t="s">
        <v>13215</v>
      </c>
      <c r="AJ425">
        <v>444</v>
      </c>
      <c r="AK425" t="s">
        <v>13213</v>
      </c>
    </row>
    <row r="426" spans="1:37" x14ac:dyDescent="0.25">
      <c r="A426" t="s">
        <v>404</v>
      </c>
      <c r="B426" t="s">
        <v>13205</v>
      </c>
      <c r="C426" t="b">
        <v>1</v>
      </c>
      <c r="D426" t="b">
        <v>1</v>
      </c>
      <c r="E426">
        <v>52</v>
      </c>
      <c r="F426">
        <v>131</v>
      </c>
      <c r="G426">
        <v>26</v>
      </c>
      <c r="H426" t="s">
        <v>860</v>
      </c>
      <c r="I426">
        <v>6</v>
      </c>
      <c r="J426">
        <v>9.5</v>
      </c>
      <c r="K426">
        <v>2.5</v>
      </c>
      <c r="L426" t="s">
        <v>859</v>
      </c>
      <c r="M426" t="s">
        <v>13207</v>
      </c>
      <c r="N426" t="s">
        <v>917</v>
      </c>
      <c r="O426" t="s">
        <v>838</v>
      </c>
      <c r="P426" t="s">
        <v>13622</v>
      </c>
      <c r="Q426" t="s">
        <v>13623</v>
      </c>
      <c r="R426" t="s">
        <v>405</v>
      </c>
      <c r="S426" t="s">
        <v>405</v>
      </c>
      <c r="T426" t="s">
        <v>4044</v>
      </c>
      <c r="U426">
        <v>50</v>
      </c>
      <c r="V426" t="b">
        <v>0</v>
      </c>
      <c r="W426" t="b">
        <v>0</v>
      </c>
      <c r="X426" t="b">
        <v>0</v>
      </c>
      <c r="Y426" t="s">
        <v>13212</v>
      </c>
      <c r="Z426">
        <v>366.94</v>
      </c>
      <c r="AA426" t="s">
        <v>13213</v>
      </c>
      <c r="AB426">
        <v>296</v>
      </c>
      <c r="AC426" t="s">
        <v>13213</v>
      </c>
      <c r="AD426">
        <v>355.2</v>
      </c>
      <c r="AE426" t="s">
        <v>13214</v>
      </c>
      <c r="AF426">
        <v>270.73</v>
      </c>
      <c r="AG426" t="s">
        <v>13213</v>
      </c>
      <c r="AH426">
        <v>207.08</v>
      </c>
      <c r="AI426" t="s">
        <v>13215</v>
      </c>
      <c r="AJ426">
        <v>444</v>
      </c>
      <c r="AK426" t="s">
        <v>13213</v>
      </c>
    </row>
    <row r="427" spans="1:37" x14ac:dyDescent="0.25">
      <c r="A427" t="s">
        <v>406</v>
      </c>
      <c r="B427" t="s">
        <v>13205</v>
      </c>
      <c r="C427" t="b">
        <v>1</v>
      </c>
      <c r="D427" t="b">
        <v>1</v>
      </c>
      <c r="E427">
        <v>43</v>
      </c>
      <c r="F427">
        <v>137</v>
      </c>
      <c r="G427">
        <v>16</v>
      </c>
      <c r="H427" t="s">
        <v>860</v>
      </c>
      <c r="I427">
        <v>10</v>
      </c>
      <c r="J427">
        <v>58.2</v>
      </c>
      <c r="K427">
        <v>3.8</v>
      </c>
      <c r="L427" t="s">
        <v>859</v>
      </c>
      <c r="M427" t="s">
        <v>13207</v>
      </c>
      <c r="N427" t="s">
        <v>917</v>
      </c>
      <c r="O427" t="s">
        <v>838</v>
      </c>
      <c r="P427" t="s">
        <v>13647</v>
      </c>
      <c r="Q427" t="s">
        <v>13648</v>
      </c>
      <c r="R427" t="s">
        <v>619</v>
      </c>
      <c r="S427" t="s">
        <v>13649</v>
      </c>
      <c r="T427" t="s">
        <v>4045</v>
      </c>
      <c r="U427">
        <v>50</v>
      </c>
      <c r="V427" t="b">
        <v>0</v>
      </c>
      <c r="W427" t="b">
        <v>0</v>
      </c>
      <c r="X427" t="b">
        <v>0</v>
      </c>
      <c r="Y427" t="s">
        <v>13212</v>
      </c>
      <c r="Z427">
        <v>342.98</v>
      </c>
      <c r="AA427" t="s">
        <v>13213</v>
      </c>
      <c r="AB427">
        <v>276.67</v>
      </c>
      <c r="AC427" t="s">
        <v>13213</v>
      </c>
      <c r="AD427">
        <v>332</v>
      </c>
      <c r="AE427" t="s">
        <v>13214</v>
      </c>
      <c r="AF427">
        <v>273.77999999999997</v>
      </c>
      <c r="AG427" t="s">
        <v>13213</v>
      </c>
      <c r="AH427">
        <v>250.25</v>
      </c>
      <c r="AI427" t="s">
        <v>13215</v>
      </c>
      <c r="AJ427">
        <v>415</v>
      </c>
      <c r="AK427" t="s">
        <v>13213</v>
      </c>
    </row>
    <row r="428" spans="1:37" x14ac:dyDescent="0.25">
      <c r="A428" t="s">
        <v>66</v>
      </c>
      <c r="B428" t="s">
        <v>13205</v>
      </c>
      <c r="C428" t="b">
        <v>1</v>
      </c>
      <c r="D428" t="b">
        <v>1</v>
      </c>
      <c r="E428">
        <v>1</v>
      </c>
      <c r="F428">
        <v>1</v>
      </c>
      <c r="G428">
        <v>1</v>
      </c>
      <c r="H428" t="s">
        <v>860</v>
      </c>
      <c r="I428">
        <v>0</v>
      </c>
      <c r="J428">
        <v>119.7</v>
      </c>
      <c r="K428">
        <v>0</v>
      </c>
      <c r="L428" t="s">
        <v>859</v>
      </c>
      <c r="M428" t="s">
        <v>13207</v>
      </c>
      <c r="N428" t="s">
        <v>13205</v>
      </c>
      <c r="O428" t="s">
        <v>838</v>
      </c>
      <c r="P428" t="s">
        <v>13554</v>
      </c>
      <c r="Q428" t="s">
        <v>13555</v>
      </c>
      <c r="R428" t="s">
        <v>13556</v>
      </c>
      <c r="S428" t="s">
        <v>13556</v>
      </c>
      <c r="T428" t="s">
        <v>4070</v>
      </c>
      <c r="U428">
        <v>1</v>
      </c>
      <c r="V428" t="b">
        <v>1</v>
      </c>
      <c r="W428" t="b">
        <v>0</v>
      </c>
      <c r="X428" t="b">
        <v>0</v>
      </c>
      <c r="Y428" t="s">
        <v>13212</v>
      </c>
      <c r="Z428">
        <v>990.91</v>
      </c>
      <c r="AA428" t="s">
        <v>13213</v>
      </c>
      <c r="AB428">
        <v>799.33</v>
      </c>
      <c r="AC428" t="s">
        <v>13213</v>
      </c>
      <c r="AD428">
        <v>959.2</v>
      </c>
      <c r="AE428" t="s">
        <v>13214</v>
      </c>
      <c r="AF428">
        <v>731.1</v>
      </c>
      <c r="AG428" t="s">
        <v>13213</v>
      </c>
      <c r="AH428">
        <v>611.91999999999996</v>
      </c>
      <c r="AI428" t="s">
        <v>13215</v>
      </c>
      <c r="AJ428">
        <v>1199</v>
      </c>
      <c r="AK428" t="s">
        <v>13213</v>
      </c>
    </row>
    <row r="429" spans="1:37" x14ac:dyDescent="0.25">
      <c r="A429" t="s">
        <v>74</v>
      </c>
      <c r="B429" t="s">
        <v>13205</v>
      </c>
      <c r="C429" t="b">
        <v>1</v>
      </c>
      <c r="D429" t="b">
        <v>1</v>
      </c>
      <c r="E429">
        <v>1</v>
      </c>
      <c r="F429">
        <v>1</v>
      </c>
      <c r="G429">
        <v>1</v>
      </c>
      <c r="H429" t="s">
        <v>860</v>
      </c>
      <c r="I429">
        <v>0</v>
      </c>
      <c r="J429">
        <v>104.9</v>
      </c>
      <c r="K429">
        <v>0</v>
      </c>
      <c r="L429" t="s">
        <v>859</v>
      </c>
      <c r="M429" t="s">
        <v>13207</v>
      </c>
      <c r="N429" t="s">
        <v>13205</v>
      </c>
      <c r="O429" t="s">
        <v>838</v>
      </c>
      <c r="P429" t="s">
        <v>13529</v>
      </c>
      <c r="Q429" t="s">
        <v>13530</v>
      </c>
      <c r="R429" t="s">
        <v>13531</v>
      </c>
      <c r="S429" t="s">
        <v>13531</v>
      </c>
      <c r="T429" t="s">
        <v>4071</v>
      </c>
      <c r="U429">
        <v>1</v>
      </c>
      <c r="V429" t="b">
        <v>1</v>
      </c>
      <c r="W429" t="b">
        <v>0</v>
      </c>
      <c r="X429" t="b">
        <v>0</v>
      </c>
      <c r="Y429" t="s">
        <v>13212</v>
      </c>
      <c r="Z429">
        <v>990.91</v>
      </c>
      <c r="AA429" t="s">
        <v>13213</v>
      </c>
      <c r="AB429">
        <v>799.33</v>
      </c>
      <c r="AC429" t="s">
        <v>13213</v>
      </c>
      <c r="AD429">
        <v>959.2</v>
      </c>
      <c r="AE429" t="s">
        <v>13214</v>
      </c>
      <c r="AF429">
        <v>731.1</v>
      </c>
      <c r="AG429" t="s">
        <v>13213</v>
      </c>
      <c r="AH429">
        <v>611.91999999999996</v>
      </c>
      <c r="AI429" t="s">
        <v>13215</v>
      </c>
      <c r="AJ429">
        <v>1199</v>
      </c>
      <c r="AK429" t="s">
        <v>13213</v>
      </c>
    </row>
    <row r="430" spans="1:37" x14ac:dyDescent="0.25">
      <c r="A430" t="s">
        <v>70</v>
      </c>
      <c r="B430" t="s">
        <v>13205</v>
      </c>
      <c r="C430" t="b">
        <v>1</v>
      </c>
      <c r="D430" t="b">
        <v>1</v>
      </c>
      <c r="E430">
        <v>1</v>
      </c>
      <c r="F430">
        <v>1</v>
      </c>
      <c r="G430">
        <v>1</v>
      </c>
      <c r="H430" t="s">
        <v>860</v>
      </c>
      <c r="I430">
        <v>0</v>
      </c>
      <c r="J430">
        <v>119.7</v>
      </c>
      <c r="K430">
        <v>0</v>
      </c>
      <c r="L430" t="s">
        <v>859</v>
      </c>
      <c r="M430" t="s">
        <v>13207</v>
      </c>
      <c r="N430" t="s">
        <v>13205</v>
      </c>
      <c r="O430" t="s">
        <v>838</v>
      </c>
      <c r="P430" t="s">
        <v>13521</v>
      </c>
      <c r="Q430" t="s">
        <v>13522</v>
      </c>
      <c r="R430" t="s">
        <v>13523</v>
      </c>
      <c r="S430" t="s">
        <v>13523</v>
      </c>
      <c r="T430" t="s">
        <v>4072</v>
      </c>
      <c r="U430">
        <v>1</v>
      </c>
      <c r="V430" t="b">
        <v>1</v>
      </c>
      <c r="W430" t="b">
        <v>0</v>
      </c>
      <c r="X430" t="b">
        <v>0</v>
      </c>
      <c r="Y430" t="s">
        <v>13212</v>
      </c>
      <c r="Z430">
        <v>990.91</v>
      </c>
      <c r="AA430" t="s">
        <v>13213</v>
      </c>
      <c r="AB430">
        <v>799.33</v>
      </c>
      <c r="AC430" t="s">
        <v>13213</v>
      </c>
      <c r="AD430">
        <v>959.2</v>
      </c>
      <c r="AE430" t="s">
        <v>13214</v>
      </c>
      <c r="AF430">
        <v>731.1</v>
      </c>
      <c r="AG430" t="s">
        <v>13213</v>
      </c>
      <c r="AH430">
        <v>611.91999999999996</v>
      </c>
      <c r="AI430" t="s">
        <v>13215</v>
      </c>
      <c r="AJ430">
        <v>1199</v>
      </c>
      <c r="AK430" t="s">
        <v>13213</v>
      </c>
    </row>
    <row r="431" spans="1:37" x14ac:dyDescent="0.25">
      <c r="A431" t="s">
        <v>78</v>
      </c>
      <c r="B431" t="s">
        <v>13205</v>
      </c>
      <c r="C431" t="b">
        <v>1</v>
      </c>
      <c r="D431" t="b">
        <v>1</v>
      </c>
      <c r="E431">
        <v>1</v>
      </c>
      <c r="F431">
        <v>1</v>
      </c>
      <c r="G431">
        <v>1</v>
      </c>
      <c r="H431" t="s">
        <v>860</v>
      </c>
      <c r="I431">
        <v>0</v>
      </c>
      <c r="J431">
        <v>104.9</v>
      </c>
      <c r="K431">
        <v>0</v>
      </c>
      <c r="L431" t="s">
        <v>859</v>
      </c>
      <c r="M431" t="s">
        <v>13207</v>
      </c>
      <c r="N431" t="s">
        <v>13205</v>
      </c>
      <c r="O431" t="s">
        <v>838</v>
      </c>
      <c r="P431" t="s">
        <v>13538</v>
      </c>
      <c r="Q431" t="s">
        <v>13539</v>
      </c>
      <c r="R431" t="s">
        <v>13540</v>
      </c>
      <c r="S431" t="s">
        <v>13540</v>
      </c>
      <c r="T431" t="s">
        <v>4073</v>
      </c>
      <c r="U431">
        <v>1</v>
      </c>
      <c r="V431" t="b">
        <v>1</v>
      </c>
      <c r="W431" t="b">
        <v>0</v>
      </c>
      <c r="X431" t="b">
        <v>0</v>
      </c>
      <c r="Y431" t="s">
        <v>13212</v>
      </c>
      <c r="Z431">
        <v>990.91</v>
      </c>
      <c r="AA431" t="s">
        <v>13213</v>
      </c>
      <c r="AB431">
        <v>799.33</v>
      </c>
      <c r="AC431" t="s">
        <v>13213</v>
      </c>
      <c r="AD431">
        <v>959.2</v>
      </c>
      <c r="AE431" t="s">
        <v>13214</v>
      </c>
      <c r="AF431">
        <v>731.1</v>
      </c>
      <c r="AG431" t="s">
        <v>13213</v>
      </c>
      <c r="AH431">
        <v>611.91999999999996</v>
      </c>
      <c r="AI431" t="s">
        <v>13215</v>
      </c>
      <c r="AJ431">
        <v>1199</v>
      </c>
      <c r="AK431" t="s">
        <v>13213</v>
      </c>
    </row>
    <row r="432" spans="1:37" x14ac:dyDescent="0.25">
      <c r="A432" t="s">
        <v>97</v>
      </c>
      <c r="B432" t="s">
        <v>13205</v>
      </c>
      <c r="C432" t="b">
        <v>1</v>
      </c>
      <c r="D432" t="b">
        <v>1</v>
      </c>
      <c r="E432">
        <v>1</v>
      </c>
      <c r="F432">
        <v>1</v>
      </c>
      <c r="G432">
        <v>1</v>
      </c>
      <c r="H432" t="s">
        <v>860</v>
      </c>
      <c r="I432">
        <v>0</v>
      </c>
      <c r="J432">
        <v>73.8</v>
      </c>
      <c r="K432">
        <v>0</v>
      </c>
      <c r="L432" t="s">
        <v>859</v>
      </c>
      <c r="M432" t="s">
        <v>13207</v>
      </c>
      <c r="N432" t="s">
        <v>13205</v>
      </c>
      <c r="O432" t="s">
        <v>838</v>
      </c>
      <c r="P432" t="s">
        <v>13560</v>
      </c>
      <c r="Q432" t="s">
        <v>13561</v>
      </c>
      <c r="R432" t="s">
        <v>624</v>
      </c>
      <c r="S432" t="s">
        <v>624</v>
      </c>
      <c r="T432" t="s">
        <v>4101</v>
      </c>
      <c r="U432">
        <v>1</v>
      </c>
      <c r="V432" t="b">
        <v>1</v>
      </c>
      <c r="W432" t="b">
        <v>0</v>
      </c>
      <c r="X432" t="b">
        <v>0</v>
      </c>
      <c r="Y432" t="s">
        <v>13212</v>
      </c>
      <c r="Z432">
        <v>792.56</v>
      </c>
      <c r="AA432" t="s">
        <v>13213</v>
      </c>
      <c r="AB432">
        <v>639.33000000000004</v>
      </c>
      <c r="AC432" t="s">
        <v>13213</v>
      </c>
      <c r="AD432">
        <v>767.2</v>
      </c>
      <c r="AE432" t="s">
        <v>13214</v>
      </c>
      <c r="AF432">
        <v>584.76</v>
      </c>
      <c r="AG432" t="s">
        <v>13213</v>
      </c>
      <c r="AH432">
        <v>489.42</v>
      </c>
      <c r="AI432" t="s">
        <v>13215</v>
      </c>
      <c r="AJ432">
        <v>959</v>
      </c>
      <c r="AK432" t="s">
        <v>13213</v>
      </c>
    </row>
    <row r="433" spans="1:37" x14ac:dyDescent="0.25">
      <c r="A433" t="s">
        <v>101</v>
      </c>
      <c r="B433" t="s">
        <v>13205</v>
      </c>
      <c r="C433" t="b">
        <v>1</v>
      </c>
      <c r="D433" t="b">
        <v>1</v>
      </c>
      <c r="E433">
        <v>1</v>
      </c>
      <c r="F433">
        <v>1</v>
      </c>
      <c r="G433">
        <v>1</v>
      </c>
      <c r="H433" t="s">
        <v>860</v>
      </c>
      <c r="I433">
        <v>0</v>
      </c>
      <c r="J433">
        <v>73.8</v>
      </c>
      <c r="K433">
        <v>0</v>
      </c>
      <c r="L433" t="s">
        <v>859</v>
      </c>
      <c r="M433" t="s">
        <v>13207</v>
      </c>
      <c r="N433" t="s">
        <v>13205</v>
      </c>
      <c r="O433" t="s">
        <v>838</v>
      </c>
      <c r="P433" t="s">
        <v>13570</v>
      </c>
      <c r="Q433" t="s">
        <v>13571</v>
      </c>
      <c r="R433" t="s">
        <v>625</v>
      </c>
      <c r="S433" t="s">
        <v>625</v>
      </c>
      <c r="T433" t="s">
        <v>4102</v>
      </c>
      <c r="U433">
        <v>1</v>
      </c>
      <c r="V433" t="b">
        <v>1</v>
      </c>
      <c r="W433" t="b">
        <v>0</v>
      </c>
      <c r="X433" t="b">
        <v>0</v>
      </c>
      <c r="Y433" t="s">
        <v>13212</v>
      </c>
      <c r="Z433">
        <v>792.56</v>
      </c>
      <c r="AA433" t="s">
        <v>13213</v>
      </c>
      <c r="AB433">
        <v>639.33000000000004</v>
      </c>
      <c r="AC433" t="s">
        <v>13213</v>
      </c>
      <c r="AD433">
        <v>767.2</v>
      </c>
      <c r="AE433" t="s">
        <v>13214</v>
      </c>
      <c r="AF433">
        <v>584.76</v>
      </c>
      <c r="AG433" t="s">
        <v>13213</v>
      </c>
      <c r="AH433">
        <v>489.42</v>
      </c>
      <c r="AI433" t="s">
        <v>13215</v>
      </c>
      <c r="AJ433">
        <v>959</v>
      </c>
      <c r="AK433" t="s">
        <v>13213</v>
      </c>
    </row>
    <row r="434" spans="1:37" x14ac:dyDescent="0.25">
      <c r="A434" t="s">
        <v>408</v>
      </c>
      <c r="B434" t="s">
        <v>13205</v>
      </c>
      <c r="C434" t="b">
        <v>1</v>
      </c>
      <c r="D434" t="b">
        <v>1</v>
      </c>
      <c r="E434">
        <v>54</v>
      </c>
      <c r="F434">
        <v>155</v>
      </c>
      <c r="G434">
        <v>17</v>
      </c>
      <c r="H434" t="s">
        <v>860</v>
      </c>
      <c r="I434">
        <v>8</v>
      </c>
      <c r="J434">
        <v>80.599999999999994</v>
      </c>
      <c r="K434">
        <v>4</v>
      </c>
      <c r="L434" t="s">
        <v>859</v>
      </c>
      <c r="M434" t="s">
        <v>13207</v>
      </c>
      <c r="N434" t="s">
        <v>917</v>
      </c>
      <c r="O434" t="s">
        <v>838</v>
      </c>
      <c r="P434" t="s">
        <v>13638</v>
      </c>
      <c r="Q434" t="s">
        <v>13639</v>
      </c>
      <c r="R434" t="s">
        <v>626</v>
      </c>
      <c r="S434" t="s">
        <v>13640</v>
      </c>
      <c r="T434" t="s">
        <v>4103</v>
      </c>
      <c r="U434">
        <v>50</v>
      </c>
      <c r="V434" t="b">
        <v>0</v>
      </c>
      <c r="W434" t="b">
        <v>0</v>
      </c>
      <c r="X434" t="b">
        <v>0</v>
      </c>
      <c r="Y434" t="s">
        <v>13212</v>
      </c>
      <c r="Z434">
        <v>384.3</v>
      </c>
      <c r="AA434" t="s">
        <v>13213</v>
      </c>
      <c r="AB434">
        <v>310</v>
      </c>
      <c r="AC434" t="s">
        <v>13213</v>
      </c>
      <c r="AD434">
        <v>372</v>
      </c>
      <c r="AE434" t="s">
        <v>13214</v>
      </c>
      <c r="AF434">
        <v>304.27</v>
      </c>
      <c r="AG434" t="s">
        <v>13213</v>
      </c>
      <c r="AH434">
        <v>279.42</v>
      </c>
      <c r="AI434" t="s">
        <v>13215</v>
      </c>
      <c r="AJ434">
        <v>465</v>
      </c>
      <c r="AK434" t="s">
        <v>13213</v>
      </c>
    </row>
    <row r="435" spans="1:37" x14ac:dyDescent="0.25">
      <c r="A435" t="s">
        <v>410</v>
      </c>
      <c r="B435" t="s">
        <v>13205</v>
      </c>
      <c r="C435" t="b">
        <v>1</v>
      </c>
      <c r="D435" t="b">
        <v>1</v>
      </c>
      <c r="E435">
        <v>50</v>
      </c>
      <c r="F435">
        <v>145</v>
      </c>
      <c r="G435">
        <v>26</v>
      </c>
      <c r="H435" t="s">
        <v>860</v>
      </c>
      <c r="I435">
        <v>6</v>
      </c>
      <c r="J435">
        <v>10.8</v>
      </c>
      <c r="K435">
        <v>2.7</v>
      </c>
      <c r="L435" t="s">
        <v>859</v>
      </c>
      <c r="M435" t="s">
        <v>13207</v>
      </c>
      <c r="N435" t="s">
        <v>917</v>
      </c>
      <c r="O435" t="s">
        <v>838</v>
      </c>
      <c r="P435" t="s">
        <v>13631</v>
      </c>
      <c r="Q435" t="s">
        <v>13632</v>
      </c>
      <c r="R435" t="s">
        <v>411</v>
      </c>
      <c r="S435" t="s">
        <v>411</v>
      </c>
      <c r="T435" t="s">
        <v>4110</v>
      </c>
      <c r="U435">
        <v>50</v>
      </c>
      <c r="V435" t="b">
        <v>0</v>
      </c>
      <c r="W435" t="b">
        <v>0</v>
      </c>
      <c r="X435" t="b">
        <v>0</v>
      </c>
      <c r="Y435" t="s">
        <v>13212</v>
      </c>
      <c r="Z435">
        <v>408.26</v>
      </c>
      <c r="AA435" t="s">
        <v>13213</v>
      </c>
      <c r="AB435">
        <v>329.33</v>
      </c>
      <c r="AC435" t="s">
        <v>13213</v>
      </c>
      <c r="AD435">
        <v>395.2</v>
      </c>
      <c r="AE435" t="s">
        <v>13214</v>
      </c>
      <c r="AF435">
        <v>301.22000000000003</v>
      </c>
      <c r="AG435" t="s">
        <v>13213</v>
      </c>
      <c r="AH435">
        <v>209.42</v>
      </c>
      <c r="AI435" t="s">
        <v>13215</v>
      </c>
      <c r="AJ435">
        <v>494</v>
      </c>
      <c r="AK435" t="s">
        <v>13213</v>
      </c>
    </row>
    <row r="436" spans="1:37" x14ac:dyDescent="0.25">
      <c r="A436" t="s">
        <v>412</v>
      </c>
      <c r="B436" t="s">
        <v>13205</v>
      </c>
      <c r="C436" t="b">
        <v>1</v>
      </c>
      <c r="D436" t="b">
        <v>1</v>
      </c>
      <c r="E436">
        <v>52</v>
      </c>
      <c r="F436">
        <v>145</v>
      </c>
      <c r="G436">
        <v>26</v>
      </c>
      <c r="H436" t="s">
        <v>860</v>
      </c>
      <c r="I436">
        <v>6</v>
      </c>
      <c r="J436">
        <v>10.8</v>
      </c>
      <c r="K436">
        <v>2.7</v>
      </c>
      <c r="L436" t="s">
        <v>859</v>
      </c>
      <c r="M436" t="s">
        <v>13207</v>
      </c>
      <c r="N436" t="s">
        <v>917</v>
      </c>
      <c r="O436" t="s">
        <v>838</v>
      </c>
      <c r="P436" t="s">
        <v>13624</v>
      </c>
      <c r="Q436" t="s">
        <v>13625</v>
      </c>
      <c r="R436" t="s">
        <v>413</v>
      </c>
      <c r="S436" t="s">
        <v>413</v>
      </c>
      <c r="T436" t="s">
        <v>4114</v>
      </c>
      <c r="U436">
        <v>50</v>
      </c>
      <c r="V436" t="b">
        <v>0</v>
      </c>
      <c r="W436" t="b">
        <v>0</v>
      </c>
      <c r="X436" t="b">
        <v>0</v>
      </c>
      <c r="Y436" t="s">
        <v>13212</v>
      </c>
      <c r="Z436">
        <v>408.26</v>
      </c>
      <c r="AA436" t="s">
        <v>13213</v>
      </c>
      <c r="AB436">
        <v>329.33</v>
      </c>
      <c r="AC436" t="s">
        <v>13213</v>
      </c>
      <c r="AD436">
        <v>395.2</v>
      </c>
      <c r="AE436" t="s">
        <v>13214</v>
      </c>
      <c r="AF436">
        <v>301.22000000000003</v>
      </c>
      <c r="AG436" t="s">
        <v>13213</v>
      </c>
      <c r="AH436">
        <v>209.42</v>
      </c>
      <c r="AI436" t="s">
        <v>13215</v>
      </c>
      <c r="AJ436">
        <v>494</v>
      </c>
      <c r="AK436" t="s">
        <v>13213</v>
      </c>
    </row>
    <row r="437" spans="1:37" x14ac:dyDescent="0.25">
      <c r="A437" t="s">
        <v>414</v>
      </c>
      <c r="B437" t="s">
        <v>13205</v>
      </c>
      <c r="C437" t="b">
        <v>1</v>
      </c>
      <c r="D437" t="b">
        <v>1</v>
      </c>
      <c r="E437">
        <v>44</v>
      </c>
      <c r="F437">
        <v>157</v>
      </c>
      <c r="G437">
        <v>13</v>
      </c>
      <c r="H437" t="s">
        <v>860</v>
      </c>
      <c r="I437">
        <v>10</v>
      </c>
      <c r="J437">
        <v>63</v>
      </c>
      <c r="K437">
        <v>4</v>
      </c>
      <c r="L437" t="s">
        <v>859</v>
      </c>
      <c r="M437" t="s">
        <v>13207</v>
      </c>
      <c r="N437" t="s">
        <v>917</v>
      </c>
      <c r="O437" t="s">
        <v>838</v>
      </c>
      <c r="P437" t="s">
        <v>13650</v>
      </c>
      <c r="Q437" t="s">
        <v>13651</v>
      </c>
      <c r="R437" t="s">
        <v>627</v>
      </c>
      <c r="S437" t="s">
        <v>13652</v>
      </c>
      <c r="T437" t="s">
        <v>4115</v>
      </c>
      <c r="U437">
        <v>50</v>
      </c>
      <c r="V437" t="b">
        <v>0</v>
      </c>
      <c r="W437" t="b">
        <v>0</v>
      </c>
      <c r="X437" t="b">
        <v>0</v>
      </c>
      <c r="Y437" t="s">
        <v>13212</v>
      </c>
      <c r="Z437">
        <v>384.3</v>
      </c>
      <c r="AA437" t="s">
        <v>13213</v>
      </c>
      <c r="AB437">
        <v>310</v>
      </c>
      <c r="AC437" t="s">
        <v>13213</v>
      </c>
      <c r="AD437">
        <v>372</v>
      </c>
      <c r="AE437" t="s">
        <v>13214</v>
      </c>
      <c r="AF437">
        <v>304.27</v>
      </c>
      <c r="AG437" t="s">
        <v>13213</v>
      </c>
      <c r="AH437">
        <v>279.42</v>
      </c>
      <c r="AI437" t="s">
        <v>13215</v>
      </c>
      <c r="AJ437">
        <v>465</v>
      </c>
      <c r="AK437" t="s">
        <v>13213</v>
      </c>
    </row>
    <row r="438" spans="1:37" x14ac:dyDescent="0.25">
      <c r="A438" t="s">
        <v>67</v>
      </c>
      <c r="B438" t="s">
        <v>13205</v>
      </c>
      <c r="C438" t="b">
        <v>1</v>
      </c>
      <c r="D438" t="b">
        <v>1</v>
      </c>
      <c r="E438">
        <v>1</v>
      </c>
      <c r="F438">
        <v>1</v>
      </c>
      <c r="G438">
        <v>1</v>
      </c>
      <c r="H438" t="s">
        <v>860</v>
      </c>
      <c r="I438">
        <v>0</v>
      </c>
      <c r="J438">
        <v>129.5</v>
      </c>
      <c r="K438">
        <v>0</v>
      </c>
      <c r="L438" t="s">
        <v>859</v>
      </c>
      <c r="M438" t="s">
        <v>13207</v>
      </c>
      <c r="N438" t="s">
        <v>13205</v>
      </c>
      <c r="O438" t="s">
        <v>838</v>
      </c>
      <c r="P438" t="s">
        <v>13557</v>
      </c>
      <c r="Q438" t="s">
        <v>13558</v>
      </c>
      <c r="R438" t="s">
        <v>13559</v>
      </c>
      <c r="S438" t="s">
        <v>13559</v>
      </c>
      <c r="T438" t="s">
        <v>4140</v>
      </c>
      <c r="U438">
        <v>1</v>
      </c>
      <c r="V438" t="b">
        <v>1</v>
      </c>
      <c r="W438" t="b">
        <v>0</v>
      </c>
      <c r="X438" t="b">
        <v>0</v>
      </c>
      <c r="Y438" t="s">
        <v>13212</v>
      </c>
      <c r="Z438">
        <v>1114.8800000000001</v>
      </c>
      <c r="AA438" t="s">
        <v>13213</v>
      </c>
      <c r="AB438">
        <v>899.33</v>
      </c>
      <c r="AC438" t="s">
        <v>13213</v>
      </c>
      <c r="AD438">
        <v>1079.2</v>
      </c>
      <c r="AE438" t="s">
        <v>13214</v>
      </c>
      <c r="AF438">
        <v>822.56</v>
      </c>
      <c r="AG438" t="s">
        <v>13213</v>
      </c>
      <c r="AH438">
        <v>693.58</v>
      </c>
      <c r="AI438" t="s">
        <v>13215</v>
      </c>
      <c r="AJ438">
        <v>1349</v>
      </c>
      <c r="AK438" t="s">
        <v>13213</v>
      </c>
    </row>
    <row r="439" spans="1:37" x14ac:dyDescent="0.25">
      <c r="A439" t="s">
        <v>75</v>
      </c>
      <c r="B439" t="s">
        <v>13205</v>
      </c>
      <c r="C439" t="b">
        <v>1</v>
      </c>
      <c r="D439" t="b">
        <v>1</v>
      </c>
      <c r="E439">
        <v>1</v>
      </c>
      <c r="F439">
        <v>1</v>
      </c>
      <c r="G439">
        <v>1</v>
      </c>
      <c r="H439" t="s">
        <v>860</v>
      </c>
      <c r="I439">
        <v>0</v>
      </c>
      <c r="J439">
        <v>111.9</v>
      </c>
      <c r="K439">
        <v>0</v>
      </c>
      <c r="L439" t="s">
        <v>859</v>
      </c>
      <c r="M439" t="s">
        <v>13207</v>
      </c>
      <c r="N439" t="s">
        <v>13205</v>
      </c>
      <c r="O439" t="s">
        <v>838</v>
      </c>
      <c r="P439" t="s">
        <v>13544</v>
      </c>
      <c r="Q439" t="s">
        <v>13545</v>
      </c>
      <c r="R439" t="s">
        <v>13546</v>
      </c>
      <c r="S439" t="s">
        <v>13546</v>
      </c>
      <c r="T439" t="s">
        <v>4141</v>
      </c>
      <c r="U439">
        <v>1</v>
      </c>
      <c r="V439" t="b">
        <v>1</v>
      </c>
      <c r="W439" t="b">
        <v>0</v>
      </c>
      <c r="X439" t="b">
        <v>0</v>
      </c>
      <c r="Y439" t="s">
        <v>13212</v>
      </c>
      <c r="Z439">
        <v>1114.8800000000001</v>
      </c>
      <c r="AA439" t="s">
        <v>13213</v>
      </c>
      <c r="AB439">
        <v>899.33</v>
      </c>
      <c r="AC439" t="s">
        <v>13213</v>
      </c>
      <c r="AD439">
        <v>1079.2</v>
      </c>
      <c r="AE439" t="s">
        <v>13214</v>
      </c>
      <c r="AF439">
        <v>822.56</v>
      </c>
      <c r="AG439" t="s">
        <v>13213</v>
      </c>
      <c r="AH439">
        <v>693.58</v>
      </c>
      <c r="AI439" t="s">
        <v>13215</v>
      </c>
      <c r="AJ439">
        <v>1349</v>
      </c>
      <c r="AK439" t="s">
        <v>13213</v>
      </c>
    </row>
    <row r="440" spans="1:37" x14ac:dyDescent="0.25">
      <c r="A440" t="s">
        <v>71</v>
      </c>
      <c r="B440" t="s">
        <v>13205</v>
      </c>
      <c r="C440" t="b">
        <v>1</v>
      </c>
      <c r="D440" t="b">
        <v>1</v>
      </c>
      <c r="E440">
        <v>1</v>
      </c>
      <c r="F440">
        <v>1</v>
      </c>
      <c r="G440">
        <v>1</v>
      </c>
      <c r="H440" t="s">
        <v>860</v>
      </c>
      <c r="I440">
        <v>0</v>
      </c>
      <c r="J440">
        <v>129.5</v>
      </c>
      <c r="K440">
        <v>0</v>
      </c>
      <c r="L440" t="s">
        <v>859</v>
      </c>
      <c r="M440" t="s">
        <v>13207</v>
      </c>
      <c r="N440" t="s">
        <v>13205</v>
      </c>
      <c r="O440" t="s">
        <v>838</v>
      </c>
      <c r="P440" t="s">
        <v>13551</v>
      </c>
      <c r="Q440" t="s">
        <v>13552</v>
      </c>
      <c r="R440" t="s">
        <v>13553</v>
      </c>
      <c r="S440" t="s">
        <v>13553</v>
      </c>
      <c r="T440" t="s">
        <v>4142</v>
      </c>
      <c r="U440">
        <v>1</v>
      </c>
      <c r="V440" t="b">
        <v>1</v>
      </c>
      <c r="W440" t="b">
        <v>0</v>
      </c>
      <c r="X440" t="b">
        <v>0</v>
      </c>
      <c r="Y440" t="s">
        <v>13212</v>
      </c>
      <c r="Z440">
        <v>1114.8800000000001</v>
      </c>
      <c r="AA440" t="s">
        <v>13213</v>
      </c>
      <c r="AB440">
        <v>899.33</v>
      </c>
      <c r="AC440" t="s">
        <v>13213</v>
      </c>
      <c r="AD440">
        <v>1079.2</v>
      </c>
      <c r="AE440" t="s">
        <v>13214</v>
      </c>
      <c r="AF440">
        <v>822.56</v>
      </c>
      <c r="AG440" t="s">
        <v>13213</v>
      </c>
      <c r="AH440">
        <v>693.58</v>
      </c>
      <c r="AI440" t="s">
        <v>13215</v>
      </c>
      <c r="AJ440">
        <v>1349</v>
      </c>
      <c r="AK440" t="s">
        <v>13213</v>
      </c>
    </row>
    <row r="441" spans="1:37" x14ac:dyDescent="0.25">
      <c r="A441" t="s">
        <v>79</v>
      </c>
      <c r="B441" t="s">
        <v>13205</v>
      </c>
      <c r="C441" t="b">
        <v>1</v>
      </c>
      <c r="D441" t="b">
        <v>1</v>
      </c>
      <c r="E441">
        <v>1</v>
      </c>
      <c r="F441">
        <v>1</v>
      </c>
      <c r="G441">
        <v>1</v>
      </c>
      <c r="H441" t="s">
        <v>860</v>
      </c>
      <c r="I441">
        <v>0</v>
      </c>
      <c r="J441">
        <v>111.9</v>
      </c>
      <c r="K441">
        <v>0</v>
      </c>
      <c r="L441" t="s">
        <v>859</v>
      </c>
      <c r="M441" t="s">
        <v>13207</v>
      </c>
      <c r="N441" t="s">
        <v>13205</v>
      </c>
      <c r="O441" t="s">
        <v>838</v>
      </c>
      <c r="P441" t="s">
        <v>13541</v>
      </c>
      <c r="Q441" t="s">
        <v>13542</v>
      </c>
      <c r="R441" t="s">
        <v>13543</v>
      </c>
      <c r="S441" t="s">
        <v>13543</v>
      </c>
      <c r="T441" t="s">
        <v>4143</v>
      </c>
      <c r="U441">
        <v>1</v>
      </c>
      <c r="V441" t="b">
        <v>1</v>
      </c>
      <c r="W441" t="b">
        <v>0</v>
      </c>
      <c r="X441" t="b">
        <v>0</v>
      </c>
      <c r="Y441" t="s">
        <v>13212</v>
      </c>
      <c r="Z441">
        <v>1114.8800000000001</v>
      </c>
      <c r="AA441" t="s">
        <v>13213</v>
      </c>
      <c r="AB441">
        <v>899.33</v>
      </c>
      <c r="AC441" t="s">
        <v>13213</v>
      </c>
      <c r="AD441">
        <v>1079.2</v>
      </c>
      <c r="AE441" t="s">
        <v>13214</v>
      </c>
      <c r="AF441">
        <v>822.56</v>
      </c>
      <c r="AG441" t="s">
        <v>13213</v>
      </c>
      <c r="AH441">
        <v>693.58</v>
      </c>
      <c r="AI441" t="s">
        <v>13215</v>
      </c>
      <c r="AJ441">
        <v>1349</v>
      </c>
      <c r="AK441" t="s">
        <v>13213</v>
      </c>
    </row>
    <row r="442" spans="1:37" x14ac:dyDescent="0.25">
      <c r="A442" t="s">
        <v>98</v>
      </c>
      <c r="B442" t="s">
        <v>13205</v>
      </c>
      <c r="C442" t="b">
        <v>1</v>
      </c>
      <c r="D442" t="b">
        <v>1</v>
      </c>
      <c r="E442">
        <v>1</v>
      </c>
      <c r="F442">
        <v>1</v>
      </c>
      <c r="G442">
        <v>1</v>
      </c>
      <c r="H442" t="s">
        <v>860</v>
      </c>
      <c r="I442">
        <v>0</v>
      </c>
      <c r="J442">
        <v>82.2</v>
      </c>
      <c r="K442">
        <v>0</v>
      </c>
      <c r="L442" t="s">
        <v>859</v>
      </c>
      <c r="M442" t="s">
        <v>13207</v>
      </c>
      <c r="N442" t="s">
        <v>13205</v>
      </c>
      <c r="O442" t="s">
        <v>838</v>
      </c>
      <c r="P442" t="s">
        <v>13599</v>
      </c>
      <c r="Q442" t="s">
        <v>13600</v>
      </c>
      <c r="R442" t="s">
        <v>632</v>
      </c>
      <c r="S442" t="s">
        <v>632</v>
      </c>
      <c r="T442" t="s">
        <v>4195</v>
      </c>
      <c r="U442">
        <v>1</v>
      </c>
      <c r="V442" t="b">
        <v>1</v>
      </c>
      <c r="W442" t="b">
        <v>0</v>
      </c>
      <c r="X442" t="b">
        <v>0</v>
      </c>
      <c r="Y442" t="s">
        <v>13212</v>
      </c>
      <c r="Z442">
        <v>875.21</v>
      </c>
      <c r="AA442" t="s">
        <v>13213</v>
      </c>
      <c r="AB442">
        <v>706</v>
      </c>
      <c r="AC442" t="s">
        <v>13213</v>
      </c>
      <c r="AD442">
        <v>847.2</v>
      </c>
      <c r="AE442" t="s">
        <v>13214</v>
      </c>
      <c r="AF442">
        <v>645.73</v>
      </c>
      <c r="AG442" t="s">
        <v>13213</v>
      </c>
      <c r="AH442">
        <v>541.91999999999996</v>
      </c>
      <c r="AI442" t="s">
        <v>13215</v>
      </c>
      <c r="AJ442">
        <v>1059</v>
      </c>
      <c r="AK442" t="s">
        <v>13213</v>
      </c>
    </row>
    <row r="443" spans="1:37" x14ac:dyDescent="0.25">
      <c r="A443" t="s">
        <v>99</v>
      </c>
      <c r="B443" t="s">
        <v>13205</v>
      </c>
      <c r="C443" t="b">
        <v>1</v>
      </c>
      <c r="D443" t="b">
        <v>1</v>
      </c>
      <c r="E443">
        <v>1</v>
      </c>
      <c r="F443">
        <v>1</v>
      </c>
      <c r="G443">
        <v>1</v>
      </c>
      <c r="H443" t="s">
        <v>860</v>
      </c>
      <c r="I443">
        <v>0</v>
      </c>
      <c r="J443">
        <v>82.2</v>
      </c>
      <c r="K443">
        <v>0</v>
      </c>
      <c r="L443" t="s">
        <v>859</v>
      </c>
      <c r="M443" t="s">
        <v>13207</v>
      </c>
      <c r="N443" t="s">
        <v>13205</v>
      </c>
      <c r="O443" t="s">
        <v>838</v>
      </c>
      <c r="P443" t="s">
        <v>13601</v>
      </c>
      <c r="Q443" t="s">
        <v>13602</v>
      </c>
      <c r="R443" t="s">
        <v>633</v>
      </c>
      <c r="S443" t="s">
        <v>633</v>
      </c>
      <c r="T443" t="s">
        <v>4196</v>
      </c>
      <c r="U443">
        <v>1</v>
      </c>
      <c r="V443" t="b">
        <v>1</v>
      </c>
      <c r="W443" t="b">
        <v>0</v>
      </c>
      <c r="X443" t="b">
        <v>0</v>
      </c>
      <c r="Y443" t="s">
        <v>13212</v>
      </c>
      <c r="Z443">
        <v>908.26</v>
      </c>
      <c r="AA443" t="s">
        <v>13213</v>
      </c>
      <c r="AB443">
        <v>732.67</v>
      </c>
      <c r="AC443" t="s">
        <v>13213</v>
      </c>
      <c r="AD443">
        <v>879.2</v>
      </c>
      <c r="AE443" t="s">
        <v>13214</v>
      </c>
      <c r="AF443">
        <v>670.12</v>
      </c>
      <c r="AG443" t="s">
        <v>13213</v>
      </c>
      <c r="AH443">
        <v>565.25</v>
      </c>
      <c r="AI443" t="s">
        <v>13215</v>
      </c>
      <c r="AJ443">
        <v>1099</v>
      </c>
      <c r="AK443" t="s">
        <v>13213</v>
      </c>
    </row>
    <row r="444" spans="1:37" x14ac:dyDescent="0.25">
      <c r="A444" t="s">
        <v>102</v>
      </c>
      <c r="B444" t="s">
        <v>13205</v>
      </c>
      <c r="C444" t="b">
        <v>1</v>
      </c>
      <c r="D444" t="b">
        <v>1</v>
      </c>
      <c r="E444">
        <v>1</v>
      </c>
      <c r="F444">
        <v>1</v>
      </c>
      <c r="G444">
        <v>1</v>
      </c>
      <c r="H444" t="s">
        <v>860</v>
      </c>
      <c r="I444">
        <v>0</v>
      </c>
      <c r="J444">
        <v>82.2</v>
      </c>
      <c r="K444">
        <v>0</v>
      </c>
      <c r="L444" t="s">
        <v>859</v>
      </c>
      <c r="M444" t="s">
        <v>13207</v>
      </c>
      <c r="N444" t="s">
        <v>13205</v>
      </c>
      <c r="O444" t="s">
        <v>838</v>
      </c>
      <c r="P444" t="s">
        <v>13707</v>
      </c>
      <c r="Q444" t="s">
        <v>13708</v>
      </c>
      <c r="R444" t="s">
        <v>634</v>
      </c>
      <c r="S444" t="s">
        <v>634</v>
      </c>
      <c r="T444" t="s">
        <v>4197</v>
      </c>
      <c r="U444">
        <v>1</v>
      </c>
      <c r="V444" t="b">
        <v>1</v>
      </c>
      <c r="W444" t="b">
        <v>0</v>
      </c>
      <c r="X444" t="b">
        <v>0</v>
      </c>
      <c r="Y444" t="s">
        <v>13212</v>
      </c>
      <c r="Z444">
        <v>875.21</v>
      </c>
      <c r="AA444" t="s">
        <v>13213</v>
      </c>
      <c r="AB444">
        <v>706</v>
      </c>
      <c r="AC444" t="s">
        <v>13213</v>
      </c>
      <c r="AD444">
        <v>847.2</v>
      </c>
      <c r="AE444" t="s">
        <v>13214</v>
      </c>
      <c r="AF444">
        <v>645.73</v>
      </c>
      <c r="AG444" t="s">
        <v>13213</v>
      </c>
      <c r="AH444">
        <v>541.91999999999996</v>
      </c>
      <c r="AI444" t="s">
        <v>13215</v>
      </c>
      <c r="AJ444">
        <v>1059</v>
      </c>
      <c r="AK444" t="s">
        <v>13213</v>
      </c>
    </row>
    <row r="445" spans="1:37" x14ac:dyDescent="0.25">
      <c r="A445" t="s">
        <v>103</v>
      </c>
      <c r="B445" t="s">
        <v>13205</v>
      </c>
      <c r="C445" t="b">
        <v>1</v>
      </c>
      <c r="D445" t="b">
        <v>1</v>
      </c>
      <c r="E445">
        <v>1</v>
      </c>
      <c r="F445">
        <v>1</v>
      </c>
      <c r="G445">
        <v>1</v>
      </c>
      <c r="H445" t="s">
        <v>860</v>
      </c>
      <c r="I445">
        <v>0</v>
      </c>
      <c r="J445">
        <v>82.2</v>
      </c>
      <c r="K445">
        <v>0</v>
      </c>
      <c r="L445" t="s">
        <v>859</v>
      </c>
      <c r="M445" t="s">
        <v>13207</v>
      </c>
      <c r="N445" t="s">
        <v>13205</v>
      </c>
      <c r="O445" t="s">
        <v>838</v>
      </c>
      <c r="P445" t="s">
        <v>13574</v>
      </c>
      <c r="Q445" t="s">
        <v>13575</v>
      </c>
      <c r="R445" t="s">
        <v>635</v>
      </c>
      <c r="S445" t="s">
        <v>635</v>
      </c>
      <c r="T445" t="s">
        <v>4198</v>
      </c>
      <c r="U445">
        <v>1</v>
      </c>
      <c r="V445" t="b">
        <v>1</v>
      </c>
      <c r="W445" t="b">
        <v>0</v>
      </c>
      <c r="X445" t="b">
        <v>0</v>
      </c>
      <c r="Y445" t="s">
        <v>13212</v>
      </c>
      <c r="Z445">
        <v>908.26</v>
      </c>
      <c r="AA445" t="s">
        <v>13213</v>
      </c>
      <c r="AB445">
        <v>732.67</v>
      </c>
      <c r="AC445" t="s">
        <v>13213</v>
      </c>
      <c r="AD445">
        <v>879.2</v>
      </c>
      <c r="AE445" t="s">
        <v>13214</v>
      </c>
      <c r="AF445">
        <v>670.12</v>
      </c>
      <c r="AG445" t="s">
        <v>13213</v>
      </c>
      <c r="AH445">
        <v>565.25</v>
      </c>
      <c r="AI445" t="s">
        <v>13215</v>
      </c>
      <c r="AJ445">
        <v>1099</v>
      </c>
      <c r="AK445" t="s">
        <v>13213</v>
      </c>
    </row>
    <row r="446" spans="1:37" x14ac:dyDescent="0.25">
      <c r="A446" t="s">
        <v>416</v>
      </c>
      <c r="B446" t="s">
        <v>13205</v>
      </c>
      <c r="C446" t="b">
        <v>1</v>
      </c>
      <c r="D446" t="b">
        <v>1</v>
      </c>
      <c r="E446">
        <v>54</v>
      </c>
      <c r="F446">
        <v>173</v>
      </c>
      <c r="G446">
        <v>17</v>
      </c>
      <c r="H446" t="s">
        <v>860</v>
      </c>
      <c r="I446">
        <v>7</v>
      </c>
      <c r="J446">
        <v>88.2</v>
      </c>
      <c r="K446">
        <v>4.2</v>
      </c>
      <c r="L446" t="s">
        <v>859</v>
      </c>
      <c r="M446" t="s">
        <v>13207</v>
      </c>
      <c r="N446" t="s">
        <v>917</v>
      </c>
      <c r="O446" t="s">
        <v>838</v>
      </c>
      <c r="P446" t="s">
        <v>13641</v>
      </c>
      <c r="Q446" t="s">
        <v>13642</v>
      </c>
      <c r="R446" t="s">
        <v>636</v>
      </c>
      <c r="S446" t="s">
        <v>13643</v>
      </c>
      <c r="T446" t="s">
        <v>4199</v>
      </c>
      <c r="U446">
        <v>50</v>
      </c>
      <c r="V446" t="b">
        <v>0</v>
      </c>
      <c r="W446" t="b">
        <v>0</v>
      </c>
      <c r="X446" t="b">
        <v>0</v>
      </c>
      <c r="Y446" t="s">
        <v>13212</v>
      </c>
      <c r="Z446">
        <v>450.41</v>
      </c>
      <c r="AA446" t="s">
        <v>13213</v>
      </c>
      <c r="AB446">
        <v>363.33</v>
      </c>
      <c r="AC446" t="s">
        <v>13213</v>
      </c>
      <c r="AD446">
        <v>436</v>
      </c>
      <c r="AE446" t="s">
        <v>13214</v>
      </c>
      <c r="AF446">
        <v>365.24</v>
      </c>
      <c r="AG446" t="s">
        <v>13213</v>
      </c>
      <c r="AH446">
        <v>331.92</v>
      </c>
      <c r="AI446" t="s">
        <v>13215</v>
      </c>
      <c r="AJ446">
        <v>545</v>
      </c>
      <c r="AK446" t="s">
        <v>13213</v>
      </c>
    </row>
    <row r="447" spans="1:37" x14ac:dyDescent="0.25">
      <c r="A447" t="s">
        <v>417</v>
      </c>
      <c r="B447" t="s">
        <v>13205</v>
      </c>
      <c r="C447" t="b">
        <v>1</v>
      </c>
      <c r="D447" t="b">
        <v>1</v>
      </c>
      <c r="E447">
        <v>54</v>
      </c>
      <c r="F447">
        <v>173</v>
      </c>
      <c r="G447">
        <v>17</v>
      </c>
      <c r="H447" t="s">
        <v>860</v>
      </c>
      <c r="I447">
        <v>7</v>
      </c>
      <c r="J447">
        <v>88.2</v>
      </c>
      <c r="K447">
        <v>4.2</v>
      </c>
      <c r="L447" t="s">
        <v>859</v>
      </c>
      <c r="M447" t="s">
        <v>13207</v>
      </c>
      <c r="N447" t="s">
        <v>917</v>
      </c>
      <c r="O447" t="s">
        <v>838</v>
      </c>
      <c r="P447" t="s">
        <v>13644</v>
      </c>
      <c r="Q447" t="s">
        <v>13645</v>
      </c>
      <c r="R447" t="s">
        <v>637</v>
      </c>
      <c r="S447" t="s">
        <v>13646</v>
      </c>
      <c r="T447" t="s">
        <v>4200</v>
      </c>
      <c r="U447">
        <v>50</v>
      </c>
      <c r="V447" t="b">
        <v>0</v>
      </c>
      <c r="W447" t="b">
        <v>0</v>
      </c>
      <c r="X447" t="b">
        <v>0</v>
      </c>
      <c r="Y447" t="s">
        <v>13212</v>
      </c>
      <c r="Z447">
        <v>483.47</v>
      </c>
      <c r="AA447" t="s">
        <v>13213</v>
      </c>
      <c r="AB447">
        <v>390</v>
      </c>
      <c r="AC447" t="s">
        <v>13213</v>
      </c>
      <c r="AD447">
        <v>468</v>
      </c>
      <c r="AE447" t="s">
        <v>13214</v>
      </c>
      <c r="AF447">
        <v>389.63</v>
      </c>
      <c r="AG447" t="s">
        <v>13213</v>
      </c>
      <c r="AH447">
        <v>355.25</v>
      </c>
      <c r="AI447" t="s">
        <v>13215</v>
      </c>
      <c r="AJ447">
        <v>585</v>
      </c>
      <c r="AK447" t="s">
        <v>13213</v>
      </c>
    </row>
    <row r="448" spans="1:37" x14ac:dyDescent="0.25">
      <c r="A448" t="s">
        <v>419</v>
      </c>
      <c r="B448" t="s">
        <v>13205</v>
      </c>
      <c r="C448" t="b">
        <v>1</v>
      </c>
      <c r="D448" t="b">
        <v>1</v>
      </c>
      <c r="E448">
        <v>49</v>
      </c>
      <c r="F448">
        <v>160</v>
      </c>
      <c r="G448">
        <v>26</v>
      </c>
      <c r="H448" t="s">
        <v>860</v>
      </c>
      <c r="I448">
        <v>8</v>
      </c>
      <c r="J448">
        <v>11.9</v>
      </c>
      <c r="K448">
        <v>2.7</v>
      </c>
      <c r="L448" t="s">
        <v>859</v>
      </c>
      <c r="M448" t="s">
        <v>13207</v>
      </c>
      <c r="N448" t="s">
        <v>917</v>
      </c>
      <c r="O448" t="s">
        <v>838</v>
      </c>
      <c r="P448" t="s">
        <v>13633</v>
      </c>
      <c r="Q448" t="s">
        <v>13634</v>
      </c>
      <c r="R448" t="s">
        <v>420</v>
      </c>
      <c r="S448" t="s">
        <v>420</v>
      </c>
      <c r="T448" t="s">
        <v>4207</v>
      </c>
      <c r="U448">
        <v>50</v>
      </c>
      <c r="V448" t="b">
        <v>0</v>
      </c>
      <c r="W448" t="b">
        <v>0</v>
      </c>
      <c r="X448" t="b">
        <v>0</v>
      </c>
      <c r="Y448" t="s">
        <v>13212</v>
      </c>
      <c r="Z448">
        <v>424.79</v>
      </c>
      <c r="AA448" t="s">
        <v>13213</v>
      </c>
      <c r="AB448">
        <v>342.67</v>
      </c>
      <c r="AC448" t="s">
        <v>13213</v>
      </c>
      <c r="AD448">
        <v>411.2</v>
      </c>
      <c r="AE448" t="s">
        <v>13214</v>
      </c>
      <c r="AF448">
        <v>313.41000000000003</v>
      </c>
      <c r="AG448" t="s">
        <v>13213</v>
      </c>
      <c r="AH448">
        <v>241.5</v>
      </c>
      <c r="AI448" t="s">
        <v>13215</v>
      </c>
      <c r="AJ448">
        <v>514</v>
      </c>
      <c r="AK448" t="s">
        <v>13213</v>
      </c>
    </row>
    <row r="449" spans="1:37" x14ac:dyDescent="0.25">
      <c r="A449" t="s">
        <v>421</v>
      </c>
      <c r="B449" t="s">
        <v>13205</v>
      </c>
      <c r="C449" t="b">
        <v>1</v>
      </c>
      <c r="D449" t="b">
        <v>1</v>
      </c>
      <c r="E449">
        <v>49</v>
      </c>
      <c r="F449">
        <v>160</v>
      </c>
      <c r="G449">
        <v>26</v>
      </c>
      <c r="H449" t="s">
        <v>860</v>
      </c>
      <c r="I449">
        <v>8</v>
      </c>
      <c r="J449">
        <v>11.9</v>
      </c>
      <c r="K449">
        <v>2.7</v>
      </c>
      <c r="L449" t="s">
        <v>859</v>
      </c>
      <c r="M449" t="s">
        <v>13207</v>
      </c>
      <c r="N449" t="s">
        <v>917</v>
      </c>
      <c r="O449" t="s">
        <v>838</v>
      </c>
      <c r="P449" t="s">
        <v>13709</v>
      </c>
      <c r="Q449" t="s">
        <v>13710</v>
      </c>
      <c r="R449" t="s">
        <v>422</v>
      </c>
      <c r="S449" t="s">
        <v>422</v>
      </c>
      <c r="T449" t="s">
        <v>4211</v>
      </c>
      <c r="U449">
        <v>50</v>
      </c>
      <c r="V449" t="b">
        <v>0</v>
      </c>
      <c r="W449" t="b">
        <v>0</v>
      </c>
      <c r="X449" t="b">
        <v>0</v>
      </c>
      <c r="Y449" t="s">
        <v>13212</v>
      </c>
      <c r="Z449">
        <v>424.79</v>
      </c>
      <c r="AA449" t="s">
        <v>13213</v>
      </c>
      <c r="AB449">
        <v>342.67</v>
      </c>
      <c r="AC449" t="s">
        <v>13213</v>
      </c>
      <c r="AD449">
        <v>411.2</v>
      </c>
      <c r="AE449" t="s">
        <v>13214</v>
      </c>
      <c r="AF449">
        <v>313.41000000000003</v>
      </c>
      <c r="AG449" t="s">
        <v>13213</v>
      </c>
      <c r="AH449">
        <v>241.5</v>
      </c>
      <c r="AI449" t="s">
        <v>13215</v>
      </c>
      <c r="AJ449">
        <v>514</v>
      </c>
      <c r="AK449" t="s">
        <v>13213</v>
      </c>
    </row>
    <row r="450" spans="1:37" x14ac:dyDescent="0.25">
      <c r="A450" t="s">
        <v>423</v>
      </c>
      <c r="B450" t="s">
        <v>13205</v>
      </c>
      <c r="C450" t="b">
        <v>1</v>
      </c>
      <c r="D450" t="b">
        <v>1</v>
      </c>
      <c r="E450">
        <v>44</v>
      </c>
      <c r="F450">
        <v>173</v>
      </c>
      <c r="G450">
        <v>13</v>
      </c>
      <c r="H450" t="s">
        <v>860</v>
      </c>
      <c r="I450">
        <v>8</v>
      </c>
      <c r="J450">
        <v>70.3</v>
      </c>
      <c r="K450">
        <v>4.2</v>
      </c>
      <c r="L450" t="s">
        <v>859</v>
      </c>
      <c r="M450" t="s">
        <v>13207</v>
      </c>
      <c r="N450" t="s">
        <v>917</v>
      </c>
      <c r="O450" t="s">
        <v>838</v>
      </c>
      <c r="P450" t="s">
        <v>13653</v>
      </c>
      <c r="Q450" t="s">
        <v>13654</v>
      </c>
      <c r="R450" t="s">
        <v>638</v>
      </c>
      <c r="S450" t="s">
        <v>13655</v>
      </c>
      <c r="T450" t="s">
        <v>4212</v>
      </c>
      <c r="U450">
        <v>50</v>
      </c>
      <c r="V450" t="b">
        <v>0</v>
      </c>
      <c r="W450" t="b">
        <v>0</v>
      </c>
      <c r="X450" t="b">
        <v>0</v>
      </c>
      <c r="Y450" t="s">
        <v>13212</v>
      </c>
      <c r="Z450">
        <v>450.41</v>
      </c>
      <c r="AA450" t="s">
        <v>13213</v>
      </c>
      <c r="AB450">
        <v>363.33</v>
      </c>
      <c r="AC450" t="s">
        <v>13213</v>
      </c>
      <c r="AD450">
        <v>436</v>
      </c>
      <c r="AE450" t="s">
        <v>13214</v>
      </c>
      <c r="AF450">
        <v>365.24</v>
      </c>
      <c r="AG450" t="s">
        <v>13213</v>
      </c>
      <c r="AH450">
        <v>331.92</v>
      </c>
      <c r="AI450" t="s">
        <v>13215</v>
      </c>
      <c r="AJ450">
        <v>545</v>
      </c>
      <c r="AK450" t="s">
        <v>13213</v>
      </c>
    </row>
    <row r="451" spans="1:37" x14ac:dyDescent="0.25">
      <c r="A451" t="s">
        <v>425</v>
      </c>
      <c r="B451" t="s">
        <v>13205</v>
      </c>
      <c r="C451" t="b">
        <v>1</v>
      </c>
      <c r="D451" t="b">
        <v>1</v>
      </c>
      <c r="E451">
        <v>44</v>
      </c>
      <c r="F451">
        <v>173</v>
      </c>
      <c r="G451">
        <v>13</v>
      </c>
      <c r="H451" t="s">
        <v>860</v>
      </c>
      <c r="I451">
        <v>8</v>
      </c>
      <c r="J451">
        <v>70.3</v>
      </c>
      <c r="K451">
        <v>4.2</v>
      </c>
      <c r="L451" t="s">
        <v>859</v>
      </c>
      <c r="M451" t="s">
        <v>13207</v>
      </c>
      <c r="N451" t="s">
        <v>917</v>
      </c>
      <c r="O451" t="s">
        <v>838</v>
      </c>
      <c r="P451" t="s">
        <v>13656</v>
      </c>
      <c r="Q451" t="s">
        <v>13657</v>
      </c>
      <c r="R451" t="s">
        <v>639</v>
      </c>
      <c r="S451" t="s">
        <v>13658</v>
      </c>
      <c r="T451" t="s">
        <v>4213</v>
      </c>
      <c r="U451">
        <v>50</v>
      </c>
      <c r="V451" t="b">
        <v>0</v>
      </c>
      <c r="W451" t="b">
        <v>0</v>
      </c>
      <c r="X451" t="b">
        <v>0</v>
      </c>
      <c r="Y451" t="s">
        <v>13212</v>
      </c>
      <c r="Z451">
        <v>483.47</v>
      </c>
      <c r="AA451" t="s">
        <v>13213</v>
      </c>
      <c r="AB451">
        <v>390</v>
      </c>
      <c r="AC451" t="s">
        <v>13213</v>
      </c>
      <c r="AD451">
        <v>468</v>
      </c>
      <c r="AE451" t="s">
        <v>13214</v>
      </c>
      <c r="AF451">
        <v>389.63</v>
      </c>
      <c r="AG451" t="s">
        <v>13213</v>
      </c>
      <c r="AH451">
        <v>355.25</v>
      </c>
      <c r="AI451" t="s">
        <v>13215</v>
      </c>
      <c r="AJ451">
        <v>585</v>
      </c>
      <c r="AK451" t="s">
        <v>13213</v>
      </c>
    </row>
    <row r="452" spans="1:37" x14ac:dyDescent="0.25">
      <c r="A452" t="s">
        <v>68</v>
      </c>
      <c r="B452" t="s">
        <v>13205</v>
      </c>
      <c r="C452" t="b">
        <v>1</v>
      </c>
      <c r="D452" t="b">
        <v>1</v>
      </c>
      <c r="E452">
        <v>1</v>
      </c>
      <c r="F452">
        <v>1</v>
      </c>
      <c r="G452">
        <v>1</v>
      </c>
      <c r="H452" t="s">
        <v>860</v>
      </c>
      <c r="I452">
        <v>0</v>
      </c>
      <c r="J452">
        <v>139.1</v>
      </c>
      <c r="K452">
        <v>0</v>
      </c>
      <c r="L452" t="s">
        <v>859</v>
      </c>
      <c r="M452" t="s">
        <v>13207</v>
      </c>
      <c r="N452" t="s">
        <v>13205</v>
      </c>
      <c r="O452" t="s">
        <v>838</v>
      </c>
      <c r="P452" t="s">
        <v>13583</v>
      </c>
      <c r="Q452" t="s">
        <v>13584</v>
      </c>
      <c r="R452" t="s">
        <v>13585</v>
      </c>
      <c r="S452" t="s">
        <v>13585</v>
      </c>
      <c r="T452" t="s">
        <v>4252</v>
      </c>
      <c r="U452">
        <v>1</v>
      </c>
      <c r="V452" t="b">
        <v>1</v>
      </c>
      <c r="W452" t="b">
        <v>0</v>
      </c>
      <c r="X452" t="b">
        <v>0</v>
      </c>
      <c r="Y452" t="s">
        <v>13212</v>
      </c>
      <c r="Z452">
        <v>1197.52</v>
      </c>
      <c r="AA452" t="s">
        <v>13213</v>
      </c>
      <c r="AB452">
        <v>966</v>
      </c>
      <c r="AC452" t="s">
        <v>13213</v>
      </c>
      <c r="AD452">
        <v>1159.2</v>
      </c>
      <c r="AE452" t="s">
        <v>13214</v>
      </c>
      <c r="AF452">
        <v>883.54</v>
      </c>
      <c r="AG452" t="s">
        <v>13213</v>
      </c>
      <c r="AH452">
        <v>740.25</v>
      </c>
      <c r="AI452" t="s">
        <v>13215</v>
      </c>
      <c r="AJ452">
        <v>1449</v>
      </c>
      <c r="AK452" t="s">
        <v>13213</v>
      </c>
    </row>
    <row r="453" spans="1:37" x14ac:dyDescent="0.25">
      <c r="A453" t="s">
        <v>76</v>
      </c>
      <c r="B453" t="s">
        <v>13205</v>
      </c>
      <c r="C453" t="b">
        <v>1</v>
      </c>
      <c r="D453" t="b">
        <v>1</v>
      </c>
      <c r="E453">
        <v>1</v>
      </c>
      <c r="F453">
        <v>1</v>
      </c>
      <c r="G453">
        <v>1</v>
      </c>
      <c r="H453" t="s">
        <v>860</v>
      </c>
      <c r="I453">
        <v>0</v>
      </c>
      <c r="J453">
        <v>121.2</v>
      </c>
      <c r="K453">
        <v>0</v>
      </c>
      <c r="L453" t="s">
        <v>859</v>
      </c>
      <c r="M453" t="s">
        <v>13207</v>
      </c>
      <c r="N453" t="s">
        <v>13205</v>
      </c>
      <c r="O453" t="s">
        <v>838</v>
      </c>
      <c r="P453" t="s">
        <v>13576</v>
      </c>
      <c r="Q453" t="s">
        <v>13577</v>
      </c>
      <c r="R453" t="s">
        <v>13578</v>
      </c>
      <c r="S453" t="s">
        <v>13578</v>
      </c>
      <c r="T453" t="s">
        <v>4253</v>
      </c>
      <c r="U453">
        <v>1</v>
      </c>
      <c r="V453" t="b">
        <v>1</v>
      </c>
      <c r="W453" t="b">
        <v>0</v>
      </c>
      <c r="X453" t="b">
        <v>0</v>
      </c>
      <c r="Y453" t="s">
        <v>13212</v>
      </c>
      <c r="Z453">
        <v>1197.52</v>
      </c>
      <c r="AA453" t="s">
        <v>13213</v>
      </c>
      <c r="AB453">
        <v>966</v>
      </c>
      <c r="AC453" t="s">
        <v>13213</v>
      </c>
      <c r="AD453">
        <v>1159.2</v>
      </c>
      <c r="AE453" t="s">
        <v>13214</v>
      </c>
      <c r="AF453">
        <v>883.54</v>
      </c>
      <c r="AG453" t="s">
        <v>13213</v>
      </c>
      <c r="AH453">
        <v>740.25</v>
      </c>
      <c r="AI453" t="s">
        <v>13215</v>
      </c>
      <c r="AJ453">
        <v>1449</v>
      </c>
      <c r="AK453" t="s">
        <v>13213</v>
      </c>
    </row>
    <row r="454" spans="1:37" x14ac:dyDescent="0.25">
      <c r="A454" t="s">
        <v>72</v>
      </c>
      <c r="B454" t="s">
        <v>13205</v>
      </c>
      <c r="C454" t="b">
        <v>1</v>
      </c>
      <c r="D454" t="b">
        <v>1</v>
      </c>
      <c r="E454">
        <v>1</v>
      </c>
      <c r="F454">
        <v>1</v>
      </c>
      <c r="G454">
        <v>1</v>
      </c>
      <c r="H454" t="s">
        <v>860</v>
      </c>
      <c r="I454">
        <v>0</v>
      </c>
      <c r="J454">
        <v>139.1</v>
      </c>
      <c r="K454">
        <v>0</v>
      </c>
      <c r="L454" t="s">
        <v>859</v>
      </c>
      <c r="M454" t="s">
        <v>13207</v>
      </c>
      <c r="N454" t="s">
        <v>13205</v>
      </c>
      <c r="O454" t="s">
        <v>838</v>
      </c>
      <c r="P454" t="s">
        <v>13704</v>
      </c>
      <c r="Q454" t="s">
        <v>13705</v>
      </c>
      <c r="R454" t="s">
        <v>13706</v>
      </c>
      <c r="S454" t="s">
        <v>13706</v>
      </c>
      <c r="T454" t="s">
        <v>4254</v>
      </c>
      <c r="U454">
        <v>1</v>
      </c>
      <c r="V454" t="b">
        <v>1</v>
      </c>
      <c r="W454" t="b">
        <v>0</v>
      </c>
      <c r="X454" t="b">
        <v>0</v>
      </c>
      <c r="Y454" t="s">
        <v>13212</v>
      </c>
      <c r="Z454">
        <v>1197.52</v>
      </c>
      <c r="AA454" t="s">
        <v>13213</v>
      </c>
      <c r="AB454">
        <v>966</v>
      </c>
      <c r="AC454" t="s">
        <v>13213</v>
      </c>
      <c r="AD454">
        <v>1159.2</v>
      </c>
      <c r="AE454" t="s">
        <v>13214</v>
      </c>
      <c r="AF454">
        <v>883.54</v>
      </c>
      <c r="AG454" t="s">
        <v>13213</v>
      </c>
      <c r="AH454">
        <v>740.25</v>
      </c>
      <c r="AI454" t="s">
        <v>13215</v>
      </c>
      <c r="AJ454">
        <v>1449</v>
      </c>
      <c r="AK454" t="s">
        <v>13213</v>
      </c>
    </row>
    <row r="455" spans="1:37" x14ac:dyDescent="0.25">
      <c r="A455" t="s">
        <v>80</v>
      </c>
      <c r="B455" t="s">
        <v>13205</v>
      </c>
      <c r="C455" t="b">
        <v>1</v>
      </c>
      <c r="D455" t="b">
        <v>1</v>
      </c>
      <c r="E455">
        <v>1</v>
      </c>
      <c r="F455">
        <v>1</v>
      </c>
      <c r="G455">
        <v>1</v>
      </c>
      <c r="H455" t="s">
        <v>860</v>
      </c>
      <c r="I455">
        <v>0</v>
      </c>
      <c r="J455">
        <v>121.2</v>
      </c>
      <c r="K455">
        <v>0</v>
      </c>
      <c r="L455" t="s">
        <v>859</v>
      </c>
      <c r="M455" t="s">
        <v>13207</v>
      </c>
      <c r="N455" t="s">
        <v>13205</v>
      </c>
      <c r="O455" t="s">
        <v>838</v>
      </c>
      <c r="P455" t="s">
        <v>13701</v>
      </c>
      <c r="Q455" t="s">
        <v>13702</v>
      </c>
      <c r="R455" t="s">
        <v>13703</v>
      </c>
      <c r="S455" t="s">
        <v>13703</v>
      </c>
      <c r="T455" t="s">
        <v>4255</v>
      </c>
      <c r="U455">
        <v>1</v>
      </c>
      <c r="V455" t="b">
        <v>1</v>
      </c>
      <c r="W455" t="b">
        <v>0</v>
      </c>
      <c r="X455" t="b">
        <v>0</v>
      </c>
      <c r="Y455" t="s">
        <v>13212</v>
      </c>
      <c r="Z455">
        <v>1197.52</v>
      </c>
      <c r="AA455" t="s">
        <v>13213</v>
      </c>
      <c r="AB455">
        <v>966</v>
      </c>
      <c r="AC455" t="s">
        <v>13213</v>
      </c>
      <c r="AD455">
        <v>1159.2</v>
      </c>
      <c r="AE455" t="s">
        <v>13214</v>
      </c>
      <c r="AF455">
        <v>883.54</v>
      </c>
      <c r="AG455" t="s">
        <v>13213</v>
      </c>
      <c r="AH455">
        <v>740.25</v>
      </c>
      <c r="AI455" t="s">
        <v>13215</v>
      </c>
      <c r="AJ455">
        <v>1449</v>
      </c>
      <c r="AK455" t="s">
        <v>13213</v>
      </c>
    </row>
    <row r="456" spans="1:37" x14ac:dyDescent="0.25">
      <c r="A456" t="s">
        <v>69</v>
      </c>
      <c r="B456" t="s">
        <v>13205</v>
      </c>
      <c r="C456" t="b">
        <v>1</v>
      </c>
      <c r="D456" t="b">
        <v>1</v>
      </c>
      <c r="E456">
        <v>1</v>
      </c>
      <c r="F456">
        <v>1</v>
      </c>
      <c r="G456">
        <v>1</v>
      </c>
      <c r="H456" t="s">
        <v>860</v>
      </c>
      <c r="I456">
        <v>0</v>
      </c>
      <c r="J456">
        <v>139.1</v>
      </c>
      <c r="K456">
        <v>0</v>
      </c>
      <c r="L456" t="s">
        <v>859</v>
      </c>
      <c r="M456" t="s">
        <v>13207</v>
      </c>
      <c r="N456" t="s">
        <v>13205</v>
      </c>
      <c r="O456" t="s">
        <v>838</v>
      </c>
      <c r="P456" t="s">
        <v>13586</v>
      </c>
      <c r="Q456" t="s">
        <v>13587</v>
      </c>
      <c r="R456" t="s">
        <v>13588</v>
      </c>
      <c r="S456" t="s">
        <v>13588</v>
      </c>
      <c r="T456" t="s">
        <v>4256</v>
      </c>
      <c r="U456">
        <v>1</v>
      </c>
      <c r="V456" t="b">
        <v>1</v>
      </c>
      <c r="W456" t="b">
        <v>0</v>
      </c>
      <c r="X456" t="b">
        <v>0</v>
      </c>
      <c r="Y456" t="s">
        <v>13212</v>
      </c>
      <c r="Z456">
        <v>1238.8399999999999</v>
      </c>
      <c r="AA456" t="s">
        <v>13213</v>
      </c>
      <c r="AB456">
        <v>999.33</v>
      </c>
      <c r="AC456" t="s">
        <v>13213</v>
      </c>
      <c r="AD456">
        <v>1199.2</v>
      </c>
      <c r="AE456" t="s">
        <v>13214</v>
      </c>
      <c r="AF456">
        <v>914.02</v>
      </c>
      <c r="AG456" t="s">
        <v>13213</v>
      </c>
      <c r="AH456">
        <v>769.42</v>
      </c>
      <c r="AI456" t="s">
        <v>13215</v>
      </c>
      <c r="AJ456">
        <v>1499</v>
      </c>
      <c r="AK456" t="s">
        <v>13213</v>
      </c>
    </row>
    <row r="457" spans="1:37" x14ac:dyDescent="0.25">
      <c r="A457" t="s">
        <v>77</v>
      </c>
      <c r="B457" t="s">
        <v>13205</v>
      </c>
      <c r="C457" t="b">
        <v>1</v>
      </c>
      <c r="D457" t="b">
        <v>1</v>
      </c>
      <c r="E457">
        <v>1</v>
      </c>
      <c r="F457">
        <v>1</v>
      </c>
      <c r="G457">
        <v>1</v>
      </c>
      <c r="H457" t="s">
        <v>860</v>
      </c>
      <c r="I457">
        <v>0</v>
      </c>
      <c r="J457">
        <v>121.2</v>
      </c>
      <c r="K457">
        <v>0</v>
      </c>
      <c r="L457" t="s">
        <v>859</v>
      </c>
      <c r="M457" t="s">
        <v>13207</v>
      </c>
      <c r="N457" t="s">
        <v>13205</v>
      </c>
      <c r="O457" t="s">
        <v>838</v>
      </c>
      <c r="P457" t="s">
        <v>13626</v>
      </c>
      <c r="Q457" t="s">
        <v>13627</v>
      </c>
      <c r="R457" t="s">
        <v>13628</v>
      </c>
      <c r="S457" t="s">
        <v>13628</v>
      </c>
      <c r="T457" t="s">
        <v>4257</v>
      </c>
      <c r="U457">
        <v>1</v>
      </c>
      <c r="V457" t="b">
        <v>1</v>
      </c>
      <c r="W457" t="b">
        <v>0</v>
      </c>
      <c r="X457" t="b">
        <v>0</v>
      </c>
      <c r="Y457" t="s">
        <v>13212</v>
      </c>
      <c r="Z457">
        <v>1238.8399999999999</v>
      </c>
      <c r="AA457" t="s">
        <v>13213</v>
      </c>
      <c r="AB457">
        <v>999.33</v>
      </c>
      <c r="AC457" t="s">
        <v>13213</v>
      </c>
      <c r="AD457">
        <v>1199.2</v>
      </c>
      <c r="AE457" t="s">
        <v>13214</v>
      </c>
      <c r="AF457">
        <v>914.02</v>
      </c>
      <c r="AG457" t="s">
        <v>13213</v>
      </c>
      <c r="AH457">
        <v>769.42</v>
      </c>
      <c r="AI457" t="s">
        <v>13215</v>
      </c>
      <c r="AJ457">
        <v>1499</v>
      </c>
      <c r="AK457" t="s">
        <v>13213</v>
      </c>
    </row>
    <row r="458" spans="1:37" x14ac:dyDescent="0.25">
      <c r="A458" t="s">
        <v>73</v>
      </c>
      <c r="B458" t="s">
        <v>13205</v>
      </c>
      <c r="C458" t="b">
        <v>1</v>
      </c>
      <c r="D458" t="b">
        <v>1</v>
      </c>
      <c r="E458">
        <v>1</v>
      </c>
      <c r="F458">
        <v>1</v>
      </c>
      <c r="G458">
        <v>1</v>
      </c>
      <c r="H458" t="s">
        <v>860</v>
      </c>
      <c r="I458">
        <v>0</v>
      </c>
      <c r="J458">
        <v>139.1</v>
      </c>
      <c r="K458">
        <v>0</v>
      </c>
      <c r="L458" t="s">
        <v>859</v>
      </c>
      <c r="M458" t="s">
        <v>13207</v>
      </c>
      <c r="N458" t="s">
        <v>13205</v>
      </c>
      <c r="O458" t="s">
        <v>838</v>
      </c>
      <c r="P458" t="s">
        <v>13567</v>
      </c>
      <c r="Q458" t="s">
        <v>13568</v>
      </c>
      <c r="R458" t="s">
        <v>13569</v>
      </c>
      <c r="S458" t="s">
        <v>13569</v>
      </c>
      <c r="T458" t="s">
        <v>4258</v>
      </c>
      <c r="U458">
        <v>1</v>
      </c>
      <c r="V458" t="b">
        <v>1</v>
      </c>
      <c r="W458" t="b">
        <v>0</v>
      </c>
      <c r="X458" t="b">
        <v>0</v>
      </c>
      <c r="Y458" t="s">
        <v>13212</v>
      </c>
      <c r="Z458">
        <v>1238.8399999999999</v>
      </c>
      <c r="AA458" t="s">
        <v>13213</v>
      </c>
      <c r="AB458">
        <v>999.33</v>
      </c>
      <c r="AC458" t="s">
        <v>13213</v>
      </c>
      <c r="AD458">
        <v>1199.2</v>
      </c>
      <c r="AE458" t="s">
        <v>13214</v>
      </c>
      <c r="AF458">
        <v>914.02</v>
      </c>
      <c r="AG458" t="s">
        <v>13213</v>
      </c>
      <c r="AH458">
        <v>769.42</v>
      </c>
      <c r="AI458" t="s">
        <v>13215</v>
      </c>
      <c r="AJ458">
        <v>1499</v>
      </c>
      <c r="AK458" t="s">
        <v>13213</v>
      </c>
    </row>
    <row r="459" spans="1:37" x14ac:dyDescent="0.25">
      <c r="A459" t="s">
        <v>81</v>
      </c>
      <c r="B459" t="s">
        <v>13205</v>
      </c>
      <c r="C459" t="b">
        <v>1</v>
      </c>
      <c r="D459" t="b">
        <v>1</v>
      </c>
      <c r="E459">
        <v>1</v>
      </c>
      <c r="F459">
        <v>1</v>
      </c>
      <c r="G459">
        <v>1</v>
      </c>
      <c r="H459" t="s">
        <v>860</v>
      </c>
      <c r="I459">
        <v>0</v>
      </c>
      <c r="J459">
        <v>121.2</v>
      </c>
      <c r="K459">
        <v>0</v>
      </c>
      <c r="L459" t="s">
        <v>859</v>
      </c>
      <c r="M459" t="s">
        <v>13207</v>
      </c>
      <c r="N459" t="s">
        <v>13205</v>
      </c>
      <c r="O459" t="s">
        <v>838</v>
      </c>
      <c r="P459" t="s">
        <v>13565</v>
      </c>
      <c r="Q459" t="s">
        <v>13566</v>
      </c>
      <c r="R459" t="s">
        <v>647</v>
      </c>
      <c r="S459" t="s">
        <v>647</v>
      </c>
      <c r="T459" t="s">
        <v>4259</v>
      </c>
      <c r="U459">
        <v>1</v>
      </c>
      <c r="V459" t="b">
        <v>1</v>
      </c>
      <c r="W459" t="b">
        <v>0</v>
      </c>
      <c r="X459" t="b">
        <v>0</v>
      </c>
      <c r="Y459" t="s">
        <v>13212</v>
      </c>
      <c r="Z459">
        <v>1238.8399999999999</v>
      </c>
      <c r="AA459" t="s">
        <v>13213</v>
      </c>
      <c r="AB459">
        <v>999.33</v>
      </c>
      <c r="AC459" t="s">
        <v>13213</v>
      </c>
      <c r="AD459">
        <v>1199.2</v>
      </c>
      <c r="AE459" t="s">
        <v>13214</v>
      </c>
      <c r="AF459">
        <v>914.02</v>
      </c>
      <c r="AG459" t="s">
        <v>13213</v>
      </c>
      <c r="AH459">
        <v>769.42</v>
      </c>
      <c r="AI459" t="s">
        <v>13215</v>
      </c>
      <c r="AJ459">
        <v>1499</v>
      </c>
      <c r="AK459" t="s">
        <v>13213</v>
      </c>
    </row>
    <row r="460" spans="1:37" x14ac:dyDescent="0.25">
      <c r="A460" t="s">
        <v>4321</v>
      </c>
      <c r="B460" t="s">
        <v>13205</v>
      </c>
      <c r="C460" t="b">
        <v>0</v>
      </c>
      <c r="D460" t="b">
        <v>0</v>
      </c>
      <c r="E460">
        <v>1</v>
      </c>
      <c r="F460">
        <v>1</v>
      </c>
      <c r="G460">
        <v>1</v>
      </c>
      <c r="H460" t="s">
        <v>13205</v>
      </c>
      <c r="I460">
        <v>1</v>
      </c>
      <c r="J460">
        <v>0.01</v>
      </c>
      <c r="K460">
        <v>0</v>
      </c>
      <c r="L460" t="s">
        <v>13205</v>
      </c>
      <c r="M460" t="s">
        <v>833</v>
      </c>
      <c r="N460" t="s">
        <v>13205</v>
      </c>
      <c r="O460" t="s">
        <v>838</v>
      </c>
      <c r="P460" t="s">
        <v>13826</v>
      </c>
      <c r="Q460" t="s">
        <v>13826</v>
      </c>
      <c r="R460" t="s">
        <v>13826</v>
      </c>
      <c r="S460" t="s">
        <v>4322</v>
      </c>
      <c r="T460" t="s">
        <v>4320</v>
      </c>
      <c r="U460">
        <v>0</v>
      </c>
      <c r="V460" t="b">
        <v>1</v>
      </c>
      <c r="W460" t="b">
        <v>1</v>
      </c>
      <c r="X460" t="b">
        <v>0</v>
      </c>
      <c r="Y460" t="s">
        <v>13212</v>
      </c>
    </row>
    <row r="461" spans="1:37" x14ac:dyDescent="0.25">
      <c r="A461" t="s">
        <v>4324</v>
      </c>
      <c r="B461" t="s">
        <v>13205</v>
      </c>
      <c r="C461" t="b">
        <v>0</v>
      </c>
      <c r="D461" t="b">
        <v>0</v>
      </c>
      <c r="E461">
        <v>1</v>
      </c>
      <c r="F461">
        <v>1</v>
      </c>
      <c r="G461">
        <v>1</v>
      </c>
      <c r="H461" t="s">
        <v>13205</v>
      </c>
      <c r="I461">
        <v>1</v>
      </c>
      <c r="J461">
        <v>0.01</v>
      </c>
      <c r="K461">
        <v>0</v>
      </c>
      <c r="L461" t="s">
        <v>13205</v>
      </c>
      <c r="M461" t="s">
        <v>833</v>
      </c>
      <c r="N461" t="s">
        <v>13205</v>
      </c>
      <c r="O461" t="s">
        <v>838</v>
      </c>
      <c r="P461" t="s">
        <v>13827</v>
      </c>
      <c r="Q461" t="s">
        <v>13827</v>
      </c>
      <c r="R461" t="s">
        <v>13827</v>
      </c>
      <c r="S461" t="s">
        <v>4325</v>
      </c>
      <c r="T461" t="s">
        <v>4323</v>
      </c>
      <c r="U461">
        <v>0</v>
      </c>
      <c r="V461" t="b">
        <v>1</v>
      </c>
      <c r="W461" t="b">
        <v>1</v>
      </c>
      <c r="X461" t="b">
        <v>0</v>
      </c>
      <c r="Y461" t="s">
        <v>13212</v>
      </c>
    </row>
    <row r="462" spans="1:37" x14ac:dyDescent="0.25">
      <c r="A462" t="s">
        <v>4327</v>
      </c>
      <c r="B462" t="s">
        <v>13205</v>
      </c>
      <c r="C462" t="b">
        <v>0</v>
      </c>
      <c r="D462" t="b">
        <v>0</v>
      </c>
      <c r="E462">
        <v>1</v>
      </c>
      <c r="F462">
        <v>1</v>
      </c>
      <c r="G462">
        <v>1</v>
      </c>
      <c r="H462" t="s">
        <v>13205</v>
      </c>
      <c r="I462">
        <v>1</v>
      </c>
      <c r="J462">
        <v>0.01</v>
      </c>
      <c r="K462">
        <v>0</v>
      </c>
      <c r="L462" t="s">
        <v>13205</v>
      </c>
      <c r="M462" t="s">
        <v>833</v>
      </c>
      <c r="N462" t="s">
        <v>13205</v>
      </c>
      <c r="O462" t="s">
        <v>838</v>
      </c>
      <c r="P462" t="s">
        <v>13830</v>
      </c>
      <c r="Q462" t="s">
        <v>13830</v>
      </c>
      <c r="R462" t="s">
        <v>13830</v>
      </c>
      <c r="S462" t="s">
        <v>4328</v>
      </c>
      <c r="T462" t="s">
        <v>4326</v>
      </c>
      <c r="U462">
        <v>0</v>
      </c>
      <c r="V462" t="b">
        <v>1</v>
      </c>
      <c r="W462" t="b">
        <v>1</v>
      </c>
      <c r="X462" t="b">
        <v>0</v>
      </c>
      <c r="Y462" t="s">
        <v>13212</v>
      </c>
    </row>
    <row r="463" spans="1:37" x14ac:dyDescent="0.25">
      <c r="A463" t="s">
        <v>4330</v>
      </c>
      <c r="B463" t="s">
        <v>13205</v>
      </c>
      <c r="C463" t="b">
        <v>0</v>
      </c>
      <c r="D463" t="b">
        <v>0</v>
      </c>
      <c r="E463">
        <v>1</v>
      </c>
      <c r="F463">
        <v>1</v>
      </c>
      <c r="G463">
        <v>1</v>
      </c>
      <c r="H463" t="s">
        <v>13205</v>
      </c>
      <c r="I463">
        <v>1</v>
      </c>
      <c r="J463">
        <v>0.01</v>
      </c>
      <c r="K463">
        <v>0</v>
      </c>
      <c r="L463" t="s">
        <v>13205</v>
      </c>
      <c r="M463" t="s">
        <v>833</v>
      </c>
      <c r="N463" t="s">
        <v>13205</v>
      </c>
      <c r="O463" t="s">
        <v>838</v>
      </c>
      <c r="P463" t="s">
        <v>13832</v>
      </c>
      <c r="Q463" t="s">
        <v>13832</v>
      </c>
      <c r="R463" t="s">
        <v>13832</v>
      </c>
      <c r="S463" t="s">
        <v>4331</v>
      </c>
      <c r="T463" t="s">
        <v>4329</v>
      </c>
      <c r="U463">
        <v>0</v>
      </c>
      <c r="V463" t="b">
        <v>1</v>
      </c>
      <c r="W463" t="b">
        <v>1</v>
      </c>
      <c r="X463" t="b">
        <v>0</v>
      </c>
      <c r="Y463" t="s">
        <v>13212</v>
      </c>
    </row>
    <row r="464" spans="1:37" x14ac:dyDescent="0.25">
      <c r="A464" t="s">
        <v>4333</v>
      </c>
      <c r="B464" t="s">
        <v>13205</v>
      </c>
      <c r="C464" t="b">
        <v>0</v>
      </c>
      <c r="D464" t="b">
        <v>0</v>
      </c>
      <c r="E464">
        <v>1</v>
      </c>
      <c r="F464">
        <v>1</v>
      </c>
      <c r="G464">
        <v>1</v>
      </c>
      <c r="H464" t="s">
        <v>13205</v>
      </c>
      <c r="I464">
        <v>1</v>
      </c>
      <c r="J464">
        <v>0.01</v>
      </c>
      <c r="K464">
        <v>0</v>
      </c>
      <c r="L464" t="s">
        <v>13205</v>
      </c>
      <c r="M464" t="s">
        <v>833</v>
      </c>
      <c r="N464" t="s">
        <v>13205</v>
      </c>
      <c r="O464" t="s">
        <v>838</v>
      </c>
      <c r="P464" t="s">
        <v>13833</v>
      </c>
      <c r="Q464" t="s">
        <v>13833</v>
      </c>
      <c r="R464" t="s">
        <v>13833</v>
      </c>
      <c r="S464" t="s">
        <v>4334</v>
      </c>
      <c r="T464" t="s">
        <v>4332</v>
      </c>
      <c r="U464">
        <v>0</v>
      </c>
      <c r="V464" t="b">
        <v>1</v>
      </c>
      <c r="W464" t="b">
        <v>1</v>
      </c>
      <c r="X464" t="b">
        <v>0</v>
      </c>
      <c r="Y464" t="s">
        <v>13212</v>
      </c>
    </row>
    <row r="465" spans="1:37" x14ac:dyDescent="0.25">
      <c r="A465" t="s">
        <v>4336</v>
      </c>
      <c r="B465" t="s">
        <v>13205</v>
      </c>
      <c r="C465" t="b">
        <v>0</v>
      </c>
      <c r="D465" t="b">
        <v>0</v>
      </c>
      <c r="E465">
        <v>1</v>
      </c>
      <c r="F465">
        <v>1</v>
      </c>
      <c r="G465">
        <v>1</v>
      </c>
      <c r="H465" t="s">
        <v>13205</v>
      </c>
      <c r="I465">
        <v>1</v>
      </c>
      <c r="J465">
        <v>0.01</v>
      </c>
      <c r="K465">
        <v>0</v>
      </c>
      <c r="L465" t="s">
        <v>13205</v>
      </c>
      <c r="M465" t="s">
        <v>833</v>
      </c>
      <c r="N465" t="s">
        <v>13205</v>
      </c>
      <c r="O465" t="s">
        <v>838</v>
      </c>
      <c r="P465" t="s">
        <v>13828</v>
      </c>
      <c r="Q465" t="s">
        <v>13828</v>
      </c>
      <c r="R465" t="s">
        <v>13828</v>
      </c>
      <c r="S465" t="s">
        <v>4337</v>
      </c>
      <c r="T465" t="s">
        <v>4335</v>
      </c>
      <c r="U465">
        <v>0</v>
      </c>
      <c r="V465" t="b">
        <v>1</v>
      </c>
      <c r="W465" t="b">
        <v>1</v>
      </c>
      <c r="X465" t="b">
        <v>0</v>
      </c>
      <c r="Y465" t="s">
        <v>13212</v>
      </c>
    </row>
    <row r="466" spans="1:37" x14ac:dyDescent="0.25">
      <c r="A466" t="s">
        <v>4339</v>
      </c>
      <c r="B466" t="s">
        <v>13205</v>
      </c>
      <c r="C466" t="b">
        <v>0</v>
      </c>
      <c r="D466" t="b">
        <v>0</v>
      </c>
      <c r="E466">
        <v>1</v>
      </c>
      <c r="F466">
        <v>1</v>
      </c>
      <c r="G466">
        <v>1</v>
      </c>
      <c r="H466" t="s">
        <v>13205</v>
      </c>
      <c r="I466">
        <v>1</v>
      </c>
      <c r="J466">
        <v>0.01</v>
      </c>
      <c r="K466">
        <v>0</v>
      </c>
      <c r="L466" t="s">
        <v>13205</v>
      </c>
      <c r="M466" t="s">
        <v>833</v>
      </c>
      <c r="N466" t="s">
        <v>13205</v>
      </c>
      <c r="O466" t="s">
        <v>838</v>
      </c>
      <c r="P466" t="s">
        <v>13829</v>
      </c>
      <c r="Q466" t="s">
        <v>13829</v>
      </c>
      <c r="R466" t="s">
        <v>13829</v>
      </c>
      <c r="S466" t="s">
        <v>4340</v>
      </c>
      <c r="T466" t="s">
        <v>4338</v>
      </c>
      <c r="U466">
        <v>0</v>
      </c>
      <c r="V466" t="b">
        <v>1</v>
      </c>
      <c r="W466" t="b">
        <v>1</v>
      </c>
      <c r="X466" t="b">
        <v>0</v>
      </c>
      <c r="Y466" t="s">
        <v>13212</v>
      </c>
    </row>
    <row r="467" spans="1:37" x14ac:dyDescent="0.25">
      <c r="A467" t="s">
        <v>4342</v>
      </c>
      <c r="B467" t="s">
        <v>13205</v>
      </c>
      <c r="C467" t="b">
        <v>0</v>
      </c>
      <c r="D467" t="b">
        <v>0</v>
      </c>
      <c r="E467">
        <v>1</v>
      </c>
      <c r="F467">
        <v>1</v>
      </c>
      <c r="G467">
        <v>1</v>
      </c>
      <c r="H467" t="s">
        <v>13205</v>
      </c>
      <c r="I467">
        <v>1</v>
      </c>
      <c r="J467">
        <v>0.01</v>
      </c>
      <c r="K467">
        <v>0</v>
      </c>
      <c r="L467" t="s">
        <v>13205</v>
      </c>
      <c r="M467" t="s">
        <v>833</v>
      </c>
      <c r="N467" t="s">
        <v>13205</v>
      </c>
      <c r="O467" t="s">
        <v>838</v>
      </c>
      <c r="P467" t="s">
        <v>13831</v>
      </c>
      <c r="Q467" t="s">
        <v>13831</v>
      </c>
      <c r="R467" t="s">
        <v>13831</v>
      </c>
      <c r="S467" t="s">
        <v>4343</v>
      </c>
      <c r="T467" t="s">
        <v>4341</v>
      </c>
      <c r="U467">
        <v>0</v>
      </c>
      <c r="V467" t="b">
        <v>1</v>
      </c>
      <c r="W467" t="b">
        <v>1</v>
      </c>
      <c r="X467" t="b">
        <v>0</v>
      </c>
      <c r="Y467" t="s">
        <v>13212</v>
      </c>
    </row>
    <row r="468" spans="1:37" x14ac:dyDescent="0.25">
      <c r="A468" t="s">
        <v>4345</v>
      </c>
      <c r="B468" t="s">
        <v>13205</v>
      </c>
      <c r="C468" t="b">
        <v>0</v>
      </c>
      <c r="D468" t="b">
        <v>0</v>
      </c>
      <c r="E468">
        <v>1</v>
      </c>
      <c r="F468">
        <v>1</v>
      </c>
      <c r="G468">
        <v>1</v>
      </c>
      <c r="H468" t="s">
        <v>13205</v>
      </c>
      <c r="I468">
        <v>1</v>
      </c>
      <c r="J468">
        <v>0.01</v>
      </c>
      <c r="K468">
        <v>0</v>
      </c>
      <c r="L468" t="s">
        <v>13205</v>
      </c>
      <c r="M468" t="s">
        <v>833</v>
      </c>
      <c r="N468" t="s">
        <v>13205</v>
      </c>
      <c r="O468" t="s">
        <v>838</v>
      </c>
      <c r="P468" t="s">
        <v>13834</v>
      </c>
      <c r="Q468" t="s">
        <v>13834</v>
      </c>
      <c r="R468" t="s">
        <v>13834</v>
      </c>
      <c r="S468" t="s">
        <v>4346</v>
      </c>
      <c r="T468" t="s">
        <v>4344</v>
      </c>
      <c r="U468">
        <v>0</v>
      </c>
      <c r="V468" t="b">
        <v>1</v>
      </c>
      <c r="W468" t="b">
        <v>1</v>
      </c>
      <c r="X468" t="b">
        <v>0</v>
      </c>
      <c r="Y468" t="s">
        <v>13212</v>
      </c>
    </row>
    <row r="469" spans="1:37" x14ac:dyDescent="0.25">
      <c r="A469" t="s">
        <v>4348</v>
      </c>
      <c r="B469" t="s">
        <v>13205</v>
      </c>
      <c r="C469" t="b">
        <v>0</v>
      </c>
      <c r="D469" t="b">
        <v>0</v>
      </c>
      <c r="E469">
        <v>1</v>
      </c>
      <c r="F469">
        <v>1</v>
      </c>
      <c r="G469">
        <v>1</v>
      </c>
      <c r="H469" t="s">
        <v>13205</v>
      </c>
      <c r="I469">
        <v>1</v>
      </c>
      <c r="J469">
        <v>0.01</v>
      </c>
      <c r="K469">
        <v>0</v>
      </c>
      <c r="L469" t="s">
        <v>13205</v>
      </c>
      <c r="M469" t="s">
        <v>833</v>
      </c>
      <c r="N469" t="s">
        <v>13205</v>
      </c>
      <c r="O469" t="s">
        <v>838</v>
      </c>
      <c r="P469" t="s">
        <v>13835</v>
      </c>
      <c r="Q469" t="s">
        <v>13835</v>
      </c>
      <c r="R469" t="s">
        <v>13835</v>
      </c>
      <c r="S469" t="s">
        <v>4349</v>
      </c>
      <c r="T469" t="s">
        <v>4347</v>
      </c>
      <c r="U469">
        <v>0</v>
      </c>
      <c r="V469" t="b">
        <v>1</v>
      </c>
      <c r="W469" t="b">
        <v>1</v>
      </c>
      <c r="X469" t="b">
        <v>0</v>
      </c>
      <c r="Y469" t="s">
        <v>13212</v>
      </c>
    </row>
    <row r="470" spans="1:37" x14ac:dyDescent="0.25">
      <c r="A470" t="s">
        <v>490</v>
      </c>
      <c r="B470" t="s">
        <v>13205</v>
      </c>
      <c r="C470" t="b">
        <v>1</v>
      </c>
      <c r="D470" t="b">
        <v>1</v>
      </c>
      <c r="E470">
        <v>1</v>
      </c>
      <c r="F470">
        <v>1</v>
      </c>
      <c r="G470">
        <v>1</v>
      </c>
      <c r="H470" t="s">
        <v>860</v>
      </c>
      <c r="I470">
        <v>1</v>
      </c>
      <c r="J470">
        <v>108.75</v>
      </c>
      <c r="K470">
        <v>0</v>
      </c>
      <c r="L470" t="s">
        <v>13205</v>
      </c>
      <c r="M470" t="s">
        <v>13207</v>
      </c>
      <c r="N470" t="s">
        <v>13205</v>
      </c>
      <c r="O470" t="s">
        <v>838</v>
      </c>
      <c r="P470" t="s">
        <v>13809</v>
      </c>
      <c r="Q470" t="s">
        <v>13809</v>
      </c>
      <c r="R470" t="s">
        <v>13809</v>
      </c>
      <c r="S470" t="s">
        <v>13810</v>
      </c>
      <c r="T470" t="s">
        <v>4350</v>
      </c>
      <c r="U470">
        <v>0</v>
      </c>
      <c r="V470" t="b">
        <v>1</v>
      </c>
      <c r="W470" t="b">
        <v>0</v>
      </c>
      <c r="X470" t="b">
        <v>0</v>
      </c>
      <c r="Y470" t="s">
        <v>13212</v>
      </c>
      <c r="Z470">
        <v>742.98</v>
      </c>
      <c r="AA470" t="s">
        <v>13213</v>
      </c>
      <c r="AB470">
        <v>599.33000000000004</v>
      </c>
      <c r="AC470" t="s">
        <v>13213</v>
      </c>
      <c r="AD470">
        <v>666</v>
      </c>
      <c r="AE470" t="s">
        <v>13214</v>
      </c>
      <c r="AF470">
        <v>548.16999999999996</v>
      </c>
      <c r="AG470" t="s">
        <v>13213</v>
      </c>
      <c r="AH470">
        <v>460.25</v>
      </c>
      <c r="AI470" t="s">
        <v>13215</v>
      </c>
      <c r="AJ470">
        <v>899</v>
      </c>
      <c r="AK470" t="s">
        <v>13213</v>
      </c>
    </row>
    <row r="471" spans="1:37" x14ac:dyDescent="0.25">
      <c r="A471" t="s">
        <v>479</v>
      </c>
      <c r="B471" t="s">
        <v>13205</v>
      </c>
      <c r="C471" t="b">
        <v>1</v>
      </c>
      <c r="D471" t="b">
        <v>1</v>
      </c>
      <c r="E471">
        <v>1</v>
      </c>
      <c r="F471">
        <v>1</v>
      </c>
      <c r="G471">
        <v>1</v>
      </c>
      <c r="H471" t="s">
        <v>860</v>
      </c>
      <c r="I471">
        <v>1</v>
      </c>
      <c r="J471">
        <v>108.75</v>
      </c>
      <c r="K471">
        <v>0</v>
      </c>
      <c r="L471" t="s">
        <v>13205</v>
      </c>
      <c r="M471" t="s">
        <v>13207</v>
      </c>
      <c r="N471" t="s">
        <v>13205</v>
      </c>
      <c r="O471" t="s">
        <v>838</v>
      </c>
      <c r="P471" t="s">
        <v>13807</v>
      </c>
      <c r="Q471" t="s">
        <v>13807</v>
      </c>
      <c r="R471" t="s">
        <v>13807</v>
      </c>
      <c r="S471" t="s">
        <v>13808</v>
      </c>
      <c r="T471" t="s">
        <v>4351</v>
      </c>
      <c r="U471">
        <v>0</v>
      </c>
      <c r="V471" t="b">
        <v>1</v>
      </c>
      <c r="W471" t="b">
        <v>0</v>
      </c>
      <c r="X471" t="b">
        <v>0</v>
      </c>
      <c r="Y471" t="s">
        <v>13212</v>
      </c>
      <c r="Z471">
        <v>742.98</v>
      </c>
      <c r="AA471" t="s">
        <v>13213</v>
      </c>
      <c r="AB471">
        <v>599.33000000000004</v>
      </c>
      <c r="AC471" t="s">
        <v>13213</v>
      </c>
      <c r="AD471">
        <v>666</v>
      </c>
      <c r="AE471" t="s">
        <v>13214</v>
      </c>
      <c r="AF471">
        <v>548.16999999999996</v>
      </c>
      <c r="AG471" t="s">
        <v>13213</v>
      </c>
      <c r="AH471">
        <v>460.25</v>
      </c>
      <c r="AI471" t="s">
        <v>13215</v>
      </c>
      <c r="AJ471">
        <v>899</v>
      </c>
      <c r="AK471" t="s">
        <v>13213</v>
      </c>
    </row>
    <row r="472" spans="1:37" x14ac:dyDescent="0.25">
      <c r="A472" t="s">
        <v>480</v>
      </c>
      <c r="B472" t="s">
        <v>13205</v>
      </c>
      <c r="C472" t="b">
        <v>1</v>
      </c>
      <c r="D472" t="b">
        <v>1</v>
      </c>
      <c r="E472">
        <v>38.5</v>
      </c>
      <c r="F472">
        <v>171</v>
      </c>
      <c r="G472">
        <v>26.5</v>
      </c>
      <c r="H472" t="s">
        <v>860</v>
      </c>
      <c r="I472">
        <v>6</v>
      </c>
      <c r="J472">
        <v>98.4</v>
      </c>
      <c r="K472">
        <v>5.05</v>
      </c>
      <c r="L472" t="s">
        <v>859</v>
      </c>
      <c r="M472" t="s">
        <v>13207</v>
      </c>
      <c r="N472" t="s">
        <v>917</v>
      </c>
      <c r="O472" t="s">
        <v>838</v>
      </c>
      <c r="P472" t="s">
        <v>13799</v>
      </c>
      <c r="Q472" t="s">
        <v>13800</v>
      </c>
      <c r="R472" t="s">
        <v>13801</v>
      </c>
      <c r="S472" t="s">
        <v>13802</v>
      </c>
      <c r="T472" t="s">
        <v>4352</v>
      </c>
      <c r="U472">
        <v>100</v>
      </c>
      <c r="V472" t="b">
        <v>0</v>
      </c>
      <c r="W472" t="b">
        <v>0</v>
      </c>
      <c r="X472" t="b">
        <v>0</v>
      </c>
      <c r="Y472" t="s">
        <v>13212</v>
      </c>
      <c r="Z472">
        <v>495.87</v>
      </c>
      <c r="AA472" t="s">
        <v>13213</v>
      </c>
      <c r="AB472">
        <v>400</v>
      </c>
      <c r="AC472" t="s">
        <v>13213</v>
      </c>
      <c r="AD472">
        <v>444.49</v>
      </c>
      <c r="AE472" t="s">
        <v>13214</v>
      </c>
      <c r="AF472">
        <v>365.85</v>
      </c>
      <c r="AG472" t="s">
        <v>13213</v>
      </c>
      <c r="AH472">
        <v>307.17</v>
      </c>
      <c r="AI472" t="s">
        <v>13215</v>
      </c>
      <c r="AJ472">
        <v>600</v>
      </c>
      <c r="AK472" t="s">
        <v>13213</v>
      </c>
    </row>
    <row r="473" spans="1:37" x14ac:dyDescent="0.25">
      <c r="A473" t="s">
        <v>494</v>
      </c>
      <c r="B473" t="s">
        <v>13205</v>
      </c>
      <c r="C473" t="b">
        <v>1</v>
      </c>
      <c r="D473" t="b">
        <v>1</v>
      </c>
      <c r="E473">
        <v>56</v>
      </c>
      <c r="F473">
        <v>167</v>
      </c>
      <c r="G473">
        <v>27</v>
      </c>
      <c r="H473" t="s">
        <v>860</v>
      </c>
      <c r="I473">
        <v>6</v>
      </c>
      <c r="J473">
        <v>10.35</v>
      </c>
      <c r="K473">
        <v>3.1</v>
      </c>
      <c r="L473" t="s">
        <v>859</v>
      </c>
      <c r="M473" t="s">
        <v>13207</v>
      </c>
      <c r="N473" t="s">
        <v>917</v>
      </c>
      <c r="O473" t="s">
        <v>838</v>
      </c>
      <c r="P473" t="s">
        <v>13805</v>
      </c>
      <c r="Q473" t="s">
        <v>13805</v>
      </c>
      <c r="R473" t="s">
        <v>13805</v>
      </c>
      <c r="S473" t="s">
        <v>13806</v>
      </c>
      <c r="T473" t="s">
        <v>4353</v>
      </c>
      <c r="U473">
        <v>50</v>
      </c>
      <c r="V473" t="b">
        <v>0</v>
      </c>
      <c r="W473" t="b">
        <v>0</v>
      </c>
      <c r="X473" t="b">
        <v>0</v>
      </c>
      <c r="Y473" t="s">
        <v>13212</v>
      </c>
      <c r="Z473">
        <v>247.11</v>
      </c>
      <c r="AA473" t="s">
        <v>13213</v>
      </c>
      <c r="AB473">
        <v>199.33</v>
      </c>
      <c r="AC473" t="s">
        <v>13213</v>
      </c>
      <c r="AD473">
        <v>221.51</v>
      </c>
      <c r="AE473" t="s">
        <v>13214</v>
      </c>
      <c r="AF473">
        <v>182.32</v>
      </c>
      <c r="AG473" t="s">
        <v>13213</v>
      </c>
      <c r="AH473">
        <v>153.08000000000001</v>
      </c>
      <c r="AI473" t="s">
        <v>13215</v>
      </c>
      <c r="AJ473">
        <v>299</v>
      </c>
      <c r="AK473" t="s">
        <v>13213</v>
      </c>
    </row>
    <row r="474" spans="1:37" x14ac:dyDescent="0.25">
      <c r="A474" t="s">
        <v>481</v>
      </c>
      <c r="B474" t="s">
        <v>13205</v>
      </c>
      <c r="C474" t="b">
        <v>1</v>
      </c>
      <c r="D474" t="b">
        <v>1</v>
      </c>
      <c r="E474">
        <v>56</v>
      </c>
      <c r="F474">
        <v>167</v>
      </c>
      <c r="G474">
        <v>27</v>
      </c>
      <c r="H474" t="s">
        <v>860</v>
      </c>
      <c r="I474">
        <v>6</v>
      </c>
      <c r="J474">
        <v>10.35</v>
      </c>
      <c r="K474">
        <v>3.1</v>
      </c>
      <c r="L474" t="s">
        <v>859</v>
      </c>
      <c r="M474" t="s">
        <v>13207</v>
      </c>
      <c r="N474" t="s">
        <v>917</v>
      </c>
      <c r="O474" t="s">
        <v>838</v>
      </c>
      <c r="P474" t="s">
        <v>13803</v>
      </c>
      <c r="Q474" t="s">
        <v>13803</v>
      </c>
      <c r="R474" t="s">
        <v>13803</v>
      </c>
      <c r="S474" t="s">
        <v>13804</v>
      </c>
      <c r="T474" t="s">
        <v>4354</v>
      </c>
      <c r="U474">
        <v>100</v>
      </c>
      <c r="V474" t="b">
        <v>0</v>
      </c>
      <c r="W474" t="b">
        <v>0</v>
      </c>
      <c r="X474" t="b">
        <v>0</v>
      </c>
      <c r="Y474" t="s">
        <v>13212</v>
      </c>
      <c r="Z474">
        <v>247.11</v>
      </c>
      <c r="AA474" t="s">
        <v>13213</v>
      </c>
      <c r="AB474">
        <v>199.33</v>
      </c>
      <c r="AC474" t="s">
        <v>13213</v>
      </c>
      <c r="AD474">
        <v>221.51</v>
      </c>
      <c r="AE474" t="s">
        <v>13214</v>
      </c>
      <c r="AF474">
        <v>182.32</v>
      </c>
      <c r="AG474" t="s">
        <v>13213</v>
      </c>
      <c r="AH474">
        <v>153.08000000000001</v>
      </c>
      <c r="AI474" t="s">
        <v>13215</v>
      </c>
      <c r="AJ474">
        <v>299</v>
      </c>
      <c r="AK474" t="s">
        <v>13213</v>
      </c>
    </row>
    <row r="475" spans="1:37" x14ac:dyDescent="0.25">
      <c r="A475" t="s">
        <v>7471</v>
      </c>
      <c r="B475" t="s">
        <v>13205</v>
      </c>
      <c r="C475" t="b">
        <v>1</v>
      </c>
      <c r="D475" t="b">
        <v>1</v>
      </c>
      <c r="E475">
        <v>95</v>
      </c>
      <c r="F475">
        <v>7.2</v>
      </c>
      <c r="G475">
        <v>47.2</v>
      </c>
      <c r="H475" t="s">
        <v>13206</v>
      </c>
      <c r="I475">
        <v>36</v>
      </c>
      <c r="J475">
        <v>13.7</v>
      </c>
      <c r="K475">
        <v>0</v>
      </c>
      <c r="L475" t="s">
        <v>13327</v>
      </c>
      <c r="M475" t="s">
        <v>13207</v>
      </c>
      <c r="N475" t="s">
        <v>13328</v>
      </c>
      <c r="O475" t="s">
        <v>874</v>
      </c>
      <c r="P475" t="s">
        <v>13329</v>
      </c>
      <c r="Q475" t="s">
        <v>13330</v>
      </c>
      <c r="R475" t="s">
        <v>13331</v>
      </c>
      <c r="S475" t="s">
        <v>13332</v>
      </c>
      <c r="T475" t="s">
        <v>7470</v>
      </c>
      <c r="U475">
        <v>100</v>
      </c>
      <c r="V475" t="b">
        <v>0</v>
      </c>
      <c r="W475" t="b">
        <v>0</v>
      </c>
      <c r="X475" t="b">
        <v>0</v>
      </c>
      <c r="Y475" t="s">
        <v>13212</v>
      </c>
      <c r="Z475">
        <v>110.64</v>
      </c>
      <c r="AA475" t="s">
        <v>13213</v>
      </c>
      <c r="AB475">
        <v>89.25</v>
      </c>
      <c r="AC475" t="s">
        <v>13213</v>
      </c>
      <c r="AD475">
        <v>107.1</v>
      </c>
      <c r="AE475" t="s">
        <v>13214</v>
      </c>
      <c r="AF475">
        <v>89.25</v>
      </c>
      <c r="AG475" t="s">
        <v>13213</v>
      </c>
      <c r="AH475">
        <v>74.38</v>
      </c>
      <c r="AI475" t="s">
        <v>13215</v>
      </c>
      <c r="AJ475">
        <v>133.88</v>
      </c>
      <c r="AK475" t="s">
        <v>13213</v>
      </c>
    </row>
    <row r="476" spans="1:37" x14ac:dyDescent="0.25">
      <c r="A476" t="s">
        <v>7492</v>
      </c>
      <c r="B476" t="s">
        <v>13205</v>
      </c>
      <c r="C476" t="b">
        <v>1</v>
      </c>
      <c r="D476" t="b">
        <v>1</v>
      </c>
      <c r="E476">
        <v>120</v>
      </c>
      <c r="F476">
        <v>8.1999999999999993</v>
      </c>
      <c r="G476">
        <v>43.2</v>
      </c>
      <c r="H476" t="s">
        <v>13206</v>
      </c>
      <c r="I476">
        <v>30</v>
      </c>
      <c r="J476">
        <v>18.899999999999999</v>
      </c>
      <c r="K476">
        <v>0.6</v>
      </c>
      <c r="L476" t="s">
        <v>13327</v>
      </c>
      <c r="M476" t="s">
        <v>13207</v>
      </c>
      <c r="N476" t="s">
        <v>13328</v>
      </c>
      <c r="O476" t="s">
        <v>874</v>
      </c>
      <c r="P476" t="s">
        <v>13338</v>
      </c>
      <c r="Q476" t="s">
        <v>13339</v>
      </c>
      <c r="R476" t="s">
        <v>13340</v>
      </c>
      <c r="S476" t="s">
        <v>13341</v>
      </c>
      <c r="T476" t="s">
        <v>7491</v>
      </c>
      <c r="U476">
        <v>50</v>
      </c>
      <c r="V476" t="b">
        <v>0</v>
      </c>
      <c r="W476" t="b">
        <v>0</v>
      </c>
      <c r="X476" t="b">
        <v>0</v>
      </c>
      <c r="Y476" t="s">
        <v>13212</v>
      </c>
      <c r="Z476">
        <v>126.13</v>
      </c>
      <c r="AA476" t="s">
        <v>13213</v>
      </c>
      <c r="AB476">
        <v>101.75</v>
      </c>
      <c r="AC476" t="s">
        <v>13213</v>
      </c>
      <c r="AD476">
        <v>122.09</v>
      </c>
      <c r="AE476" t="s">
        <v>13214</v>
      </c>
      <c r="AF476">
        <v>101.75</v>
      </c>
      <c r="AG476" t="s">
        <v>13213</v>
      </c>
      <c r="AH476">
        <v>84.79</v>
      </c>
      <c r="AI476" t="s">
        <v>13215</v>
      </c>
      <c r="AJ476">
        <v>152.62</v>
      </c>
      <c r="AK476" t="s">
        <v>13213</v>
      </c>
    </row>
    <row r="477" spans="1:37" x14ac:dyDescent="0.25">
      <c r="A477" t="s">
        <v>199</v>
      </c>
      <c r="B477" t="s">
        <v>13205</v>
      </c>
      <c r="C477" t="b">
        <v>1</v>
      </c>
      <c r="D477" t="b">
        <v>1</v>
      </c>
      <c r="E477">
        <v>15</v>
      </c>
      <c r="F477">
        <v>5</v>
      </c>
      <c r="G477">
        <v>15</v>
      </c>
      <c r="H477" t="s">
        <v>13206</v>
      </c>
      <c r="I477">
        <v>650</v>
      </c>
      <c r="J477">
        <v>0.1</v>
      </c>
      <c r="K477">
        <v>0</v>
      </c>
      <c r="L477" t="s">
        <v>859</v>
      </c>
      <c r="M477" t="s">
        <v>13207</v>
      </c>
      <c r="N477" t="s">
        <v>13208</v>
      </c>
      <c r="O477" t="s">
        <v>874</v>
      </c>
      <c r="P477" t="s">
        <v>13324</v>
      </c>
      <c r="Q477" t="s">
        <v>13325</v>
      </c>
      <c r="R477" t="s">
        <v>10804</v>
      </c>
      <c r="S477" t="s">
        <v>13326</v>
      </c>
      <c r="T477" t="s">
        <v>10803</v>
      </c>
      <c r="U477">
        <v>250</v>
      </c>
      <c r="V477" t="b">
        <v>0</v>
      </c>
      <c r="W477" t="b">
        <v>0</v>
      </c>
      <c r="X477" t="b">
        <v>0</v>
      </c>
      <c r="Y477" t="s">
        <v>13212</v>
      </c>
      <c r="Z477">
        <v>4.13</v>
      </c>
      <c r="AA477" t="s">
        <v>13213</v>
      </c>
      <c r="AB477">
        <v>3.33</v>
      </c>
      <c r="AC477" t="s">
        <v>13213</v>
      </c>
      <c r="AD477">
        <v>4</v>
      </c>
      <c r="AE477" t="s">
        <v>13214</v>
      </c>
      <c r="AF477">
        <v>4.26</v>
      </c>
      <c r="AG477" t="s">
        <v>13213</v>
      </c>
      <c r="AH477">
        <v>3.5</v>
      </c>
      <c r="AI477" t="s">
        <v>13215</v>
      </c>
      <c r="AJ477">
        <v>5</v>
      </c>
      <c r="AK477" t="s">
        <v>13213</v>
      </c>
    </row>
    <row r="478" spans="1:37" ht="26.4" x14ac:dyDescent="0.25">
      <c r="A478" s="2" t="s">
        <v>559</v>
      </c>
      <c r="B478" s="2" t="s">
        <v>810</v>
      </c>
      <c r="C478" s="2" t="s">
        <v>817</v>
      </c>
      <c r="D478" s="2" t="s">
        <v>808</v>
      </c>
      <c r="E478" s="2" t="s">
        <v>822</v>
      </c>
      <c r="F478" s="2" t="s">
        <v>823</v>
      </c>
      <c r="G478" s="2" t="s">
        <v>821</v>
      </c>
      <c r="H478" s="2" t="s">
        <v>13182</v>
      </c>
      <c r="I478" s="2" t="s">
        <v>816</v>
      </c>
      <c r="J478" s="2" t="s">
        <v>13183</v>
      </c>
      <c r="K478" s="2" t="s">
        <v>820</v>
      </c>
      <c r="L478" s="2" t="s">
        <v>815</v>
      </c>
      <c r="M478" s="2" t="s">
        <v>13184</v>
      </c>
      <c r="N478" s="2" t="s">
        <v>806</v>
      </c>
      <c r="O478" s="2" t="s">
        <v>814</v>
      </c>
      <c r="P478" s="2" t="s">
        <v>13185</v>
      </c>
      <c r="Q478" s="2" t="s">
        <v>13186</v>
      </c>
      <c r="R478" s="2" t="s">
        <v>560</v>
      </c>
      <c r="S478" s="2" t="s">
        <v>13187</v>
      </c>
      <c r="T478" s="2" t="s">
        <v>995</v>
      </c>
      <c r="U478" s="2" t="s">
        <v>13188</v>
      </c>
      <c r="V478" s="2" t="s">
        <v>13189</v>
      </c>
      <c r="W478" s="2" t="s">
        <v>13190</v>
      </c>
      <c r="X478" s="2" t="s">
        <v>13191</v>
      </c>
      <c r="Y478" s="2" t="s">
        <v>13192</v>
      </c>
      <c r="Z478" s="2" t="s">
        <v>13193</v>
      </c>
      <c r="AA478" s="2" t="s">
        <v>13194</v>
      </c>
      <c r="AB478" s="2" t="s">
        <v>13195</v>
      </c>
      <c r="AC478" s="2" t="s">
        <v>13196</v>
      </c>
      <c r="AD478" s="55" t="s">
        <v>13197</v>
      </c>
      <c r="AE478" s="55" t="s">
        <v>13198</v>
      </c>
      <c r="AF478" s="55" t="s">
        <v>13199</v>
      </c>
      <c r="AG478" s="55" t="s">
        <v>13200</v>
      </c>
      <c r="AH478" s="55" t="s">
        <v>13201</v>
      </c>
      <c r="AI478" s="55" t="s">
        <v>13202</v>
      </c>
      <c r="AJ478" s="55" t="s">
        <v>13203</v>
      </c>
      <c r="AK478" s="55" t="s">
        <v>13204</v>
      </c>
    </row>
    <row r="479" spans="1:37" x14ac:dyDescent="0.25">
      <c r="A479" t="s">
        <v>13181</v>
      </c>
      <c r="B479" t="s">
        <v>13181</v>
      </c>
      <c r="E479" t="s">
        <v>13181</v>
      </c>
      <c r="F479" t="s">
        <v>13181</v>
      </c>
      <c r="G479" t="s">
        <v>13181</v>
      </c>
      <c r="H479" t="s">
        <v>13181</v>
      </c>
      <c r="I479" t="s">
        <v>13181</v>
      </c>
      <c r="J479" t="s">
        <v>13181</v>
      </c>
      <c r="K479" t="s">
        <v>13181</v>
      </c>
      <c r="L479" t="s">
        <v>13181</v>
      </c>
      <c r="P479" t="s">
        <v>13181</v>
      </c>
      <c r="Q479" t="s">
        <v>13181</v>
      </c>
      <c r="R479" t="s">
        <v>13181</v>
      </c>
      <c r="S479" t="s">
        <v>13181</v>
      </c>
      <c r="T479" t="s">
        <v>13181</v>
      </c>
      <c r="AB479" t="s">
        <v>13181</v>
      </c>
      <c r="AC479" t="s">
        <v>13181</v>
      </c>
      <c r="AJ479" t="s">
        <v>13181</v>
      </c>
      <c r="AK479" t="s">
        <v>13181</v>
      </c>
    </row>
  </sheetData>
  <sortState xmlns:xlrd2="http://schemas.microsoft.com/office/spreadsheetml/2017/richdata2" ref="A1:AK479">
    <sortCondition ref="A1:A479"/>
  </sortState>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86"/>
  <sheetViews>
    <sheetView topLeftCell="A130" workbookViewId="0">
      <selection activeCell="B38" sqref="B38"/>
    </sheetView>
  </sheetViews>
  <sheetFormatPr defaultColWidth="9.109375" defaultRowHeight="13.2" x14ac:dyDescent="0.25"/>
  <cols>
    <col min="1" max="1" width="11.33203125" bestFit="1" customWidth="1"/>
    <col min="2" max="2" width="55.6640625" bestFit="1" customWidth="1"/>
  </cols>
  <sheetData>
    <row r="1" spans="1:2" x14ac:dyDescent="0.25">
      <c r="A1" t="s">
        <v>559</v>
      </c>
      <c r="B1" t="s">
        <v>560</v>
      </c>
    </row>
    <row r="2" spans="1:2" x14ac:dyDescent="0.25">
      <c r="A2" t="s">
        <v>2</v>
      </c>
      <c r="B2" t="s">
        <v>3</v>
      </c>
    </row>
    <row r="3" spans="1:2" x14ac:dyDescent="0.25">
      <c r="A3" t="s">
        <v>12</v>
      </c>
      <c r="B3" t="s">
        <v>13</v>
      </c>
    </row>
    <row r="4" spans="1:2" x14ac:dyDescent="0.25">
      <c r="A4" t="s">
        <v>26</v>
      </c>
      <c r="B4" t="s">
        <v>649</v>
      </c>
    </row>
    <row r="5" spans="1:2" x14ac:dyDescent="0.25">
      <c r="A5" t="s">
        <v>22</v>
      </c>
      <c r="B5" t="s">
        <v>561</v>
      </c>
    </row>
    <row r="6" spans="1:2" x14ac:dyDescent="0.25">
      <c r="A6" t="s">
        <v>342</v>
      </c>
      <c r="B6" t="s">
        <v>343</v>
      </c>
    </row>
    <row r="7" spans="1:2" x14ac:dyDescent="0.25">
      <c r="A7" t="s">
        <v>88</v>
      </c>
      <c r="B7" t="s">
        <v>562</v>
      </c>
    </row>
    <row r="8" spans="1:2" x14ac:dyDescent="0.25">
      <c r="A8" t="s">
        <v>4</v>
      </c>
      <c r="B8" t="s">
        <v>5</v>
      </c>
    </row>
    <row r="9" spans="1:2" x14ac:dyDescent="0.25">
      <c r="A9" t="s">
        <v>14</v>
      </c>
      <c r="B9" t="s">
        <v>15</v>
      </c>
    </row>
    <row r="10" spans="1:2" x14ac:dyDescent="0.25">
      <c r="A10" t="s">
        <v>27</v>
      </c>
      <c r="B10" t="s">
        <v>652</v>
      </c>
    </row>
    <row r="11" spans="1:2" x14ac:dyDescent="0.25">
      <c r="A11" t="s">
        <v>23</v>
      </c>
      <c r="B11" t="s">
        <v>563</v>
      </c>
    </row>
    <row r="12" spans="1:2" x14ac:dyDescent="0.25">
      <c r="A12" t="s">
        <v>344</v>
      </c>
      <c r="B12" t="s">
        <v>345</v>
      </c>
    </row>
    <row r="13" spans="1:2" x14ac:dyDescent="0.25">
      <c r="A13" t="s">
        <v>90</v>
      </c>
      <c r="B13" t="s">
        <v>564</v>
      </c>
    </row>
    <row r="14" spans="1:2" x14ac:dyDescent="0.25">
      <c r="A14" t="s">
        <v>6</v>
      </c>
      <c r="B14" t="s">
        <v>7</v>
      </c>
    </row>
    <row r="15" spans="1:2" x14ac:dyDescent="0.25">
      <c r="A15" t="s">
        <v>16</v>
      </c>
      <c r="B15" t="s">
        <v>17</v>
      </c>
    </row>
    <row r="16" spans="1:2" x14ac:dyDescent="0.25">
      <c r="A16" t="s">
        <v>28</v>
      </c>
      <c r="B16" t="s">
        <v>653</v>
      </c>
    </row>
    <row r="17" spans="1:2" x14ac:dyDescent="0.25">
      <c r="A17" t="s">
        <v>24</v>
      </c>
      <c r="B17" t="s">
        <v>650</v>
      </c>
    </row>
    <row r="18" spans="1:2" x14ac:dyDescent="0.25">
      <c r="A18" t="s">
        <v>346</v>
      </c>
      <c r="B18" t="s">
        <v>347</v>
      </c>
    </row>
    <row r="19" spans="1:2" x14ac:dyDescent="0.25">
      <c r="A19" t="s">
        <v>92</v>
      </c>
      <c r="B19" t="s">
        <v>565</v>
      </c>
    </row>
    <row r="20" spans="1:2" x14ac:dyDescent="0.25">
      <c r="A20" t="s">
        <v>8</v>
      </c>
      <c r="B20" t="s">
        <v>9</v>
      </c>
    </row>
    <row r="21" spans="1:2" x14ac:dyDescent="0.25">
      <c r="A21" t="s">
        <v>10</v>
      </c>
      <c r="B21" t="s">
        <v>11</v>
      </c>
    </row>
    <row r="22" spans="1:2" x14ac:dyDescent="0.25">
      <c r="A22" t="s">
        <v>18</v>
      </c>
      <c r="B22" t="s">
        <v>19</v>
      </c>
    </row>
    <row r="23" spans="1:2" x14ac:dyDescent="0.25">
      <c r="A23" t="s">
        <v>20</v>
      </c>
      <c r="B23" t="s">
        <v>21</v>
      </c>
    </row>
    <row r="24" spans="1:2" x14ac:dyDescent="0.25">
      <c r="A24" t="s">
        <v>29</v>
      </c>
      <c r="B24" t="s">
        <v>654</v>
      </c>
    </row>
    <row r="25" spans="1:2" x14ac:dyDescent="0.25">
      <c r="A25" t="s">
        <v>348</v>
      </c>
      <c r="B25" t="s">
        <v>349</v>
      </c>
    </row>
    <row r="26" spans="1:2" x14ac:dyDescent="0.25">
      <c r="A26" t="s">
        <v>350</v>
      </c>
      <c r="B26" t="s">
        <v>351</v>
      </c>
    </row>
    <row r="27" spans="1:2" x14ac:dyDescent="0.25">
      <c r="A27" t="s">
        <v>25</v>
      </c>
      <c r="B27" t="s">
        <v>651</v>
      </c>
    </row>
    <row r="28" spans="1:2" x14ac:dyDescent="0.25">
      <c r="A28" t="s">
        <v>94</v>
      </c>
      <c r="B28" t="s">
        <v>566</v>
      </c>
    </row>
    <row r="29" spans="1:2" x14ac:dyDescent="0.25">
      <c r="A29" t="s">
        <v>272</v>
      </c>
      <c r="B29" t="s">
        <v>394</v>
      </c>
    </row>
    <row r="30" spans="1:2" x14ac:dyDescent="0.25">
      <c r="A30" t="s">
        <v>275</v>
      </c>
      <c r="B30" t="s">
        <v>397</v>
      </c>
    </row>
    <row r="31" spans="1:2" x14ac:dyDescent="0.25">
      <c r="A31" t="s">
        <v>289</v>
      </c>
      <c r="B31" t="s">
        <v>391</v>
      </c>
    </row>
    <row r="32" spans="1:2" x14ac:dyDescent="0.25">
      <c r="A32" t="s">
        <v>273</v>
      </c>
      <c r="B32" t="s">
        <v>395</v>
      </c>
    </row>
    <row r="33" spans="1:2" x14ac:dyDescent="0.25">
      <c r="A33" t="s">
        <v>276</v>
      </c>
      <c r="B33" t="s">
        <v>398</v>
      </c>
    </row>
    <row r="34" spans="1:2" x14ac:dyDescent="0.25">
      <c r="A34" t="s">
        <v>290</v>
      </c>
      <c r="B34" t="s">
        <v>392</v>
      </c>
    </row>
    <row r="35" spans="1:2" x14ac:dyDescent="0.25">
      <c r="A35" t="s">
        <v>274</v>
      </c>
      <c r="B35" t="s">
        <v>396</v>
      </c>
    </row>
    <row r="36" spans="1:2" x14ac:dyDescent="0.25">
      <c r="A36" t="s">
        <v>277</v>
      </c>
      <c r="B36" t="s">
        <v>399</v>
      </c>
    </row>
    <row r="37" spans="1:2" x14ac:dyDescent="0.25">
      <c r="A37" t="s">
        <v>291</v>
      </c>
      <c r="B37" t="s">
        <v>393</v>
      </c>
    </row>
    <row r="38" spans="1:2" x14ac:dyDescent="0.25">
      <c r="A38" t="s">
        <v>40</v>
      </c>
      <c r="B38" t="s">
        <v>41</v>
      </c>
    </row>
    <row r="39" spans="1:2" x14ac:dyDescent="0.25">
      <c r="A39" t="s">
        <v>30</v>
      </c>
      <c r="B39" t="s">
        <v>31</v>
      </c>
    </row>
    <row r="40" spans="1:2" x14ac:dyDescent="0.25">
      <c r="A40" t="s">
        <v>58</v>
      </c>
      <c r="B40" t="s">
        <v>59</v>
      </c>
    </row>
    <row r="41" spans="1:2" x14ac:dyDescent="0.25">
      <c r="A41" t="s">
        <v>50</v>
      </c>
      <c r="B41" t="s">
        <v>567</v>
      </c>
    </row>
    <row r="42" spans="1:2" x14ac:dyDescent="0.25">
      <c r="A42" t="s">
        <v>352</v>
      </c>
      <c r="B42" t="s">
        <v>353</v>
      </c>
    </row>
    <row r="43" spans="1:2" x14ac:dyDescent="0.25">
      <c r="A43" t="s">
        <v>278</v>
      </c>
      <c r="B43" t="s">
        <v>279</v>
      </c>
    </row>
    <row r="44" spans="1:2" x14ac:dyDescent="0.25">
      <c r="A44" t="s">
        <v>42</v>
      </c>
      <c r="B44" t="s">
        <v>43</v>
      </c>
    </row>
    <row r="45" spans="1:2" x14ac:dyDescent="0.25">
      <c r="A45" t="s">
        <v>32</v>
      </c>
      <c r="B45" t="s">
        <v>33</v>
      </c>
    </row>
    <row r="46" spans="1:2" x14ac:dyDescent="0.25">
      <c r="A46" t="s">
        <v>60</v>
      </c>
      <c r="B46" t="s">
        <v>61</v>
      </c>
    </row>
    <row r="47" spans="1:2" x14ac:dyDescent="0.25">
      <c r="A47" t="s">
        <v>52</v>
      </c>
      <c r="B47" t="s">
        <v>568</v>
      </c>
    </row>
    <row r="48" spans="1:2" x14ac:dyDescent="0.25">
      <c r="A48" t="s">
        <v>569</v>
      </c>
      <c r="B48" t="s">
        <v>570</v>
      </c>
    </row>
    <row r="49" spans="1:2" x14ac:dyDescent="0.25">
      <c r="A49" t="s">
        <v>354</v>
      </c>
      <c r="B49" t="s">
        <v>355</v>
      </c>
    </row>
    <row r="50" spans="1:2" x14ac:dyDescent="0.25">
      <c r="A50" t="s">
        <v>286</v>
      </c>
      <c r="B50" t="s">
        <v>571</v>
      </c>
    </row>
    <row r="51" spans="1:2" x14ac:dyDescent="0.25">
      <c r="A51" t="s">
        <v>280</v>
      </c>
      <c r="B51" t="s">
        <v>281</v>
      </c>
    </row>
    <row r="52" spans="1:2" x14ac:dyDescent="0.25">
      <c r="A52" t="s">
        <v>437</v>
      </c>
      <c r="B52" t="s">
        <v>448</v>
      </c>
    </row>
    <row r="53" spans="1:2" x14ac:dyDescent="0.25">
      <c r="A53" t="s">
        <v>439</v>
      </c>
      <c r="B53" t="s">
        <v>572</v>
      </c>
    </row>
    <row r="54" spans="1:2" x14ac:dyDescent="0.25">
      <c r="A54" t="s">
        <v>573</v>
      </c>
      <c r="B54" t="s">
        <v>574</v>
      </c>
    </row>
    <row r="55" spans="1:2" x14ac:dyDescent="0.25">
      <c r="A55" t="s">
        <v>44</v>
      </c>
      <c r="B55" t="s">
        <v>45</v>
      </c>
    </row>
    <row r="56" spans="1:2" x14ac:dyDescent="0.25">
      <c r="A56" t="s">
        <v>34</v>
      </c>
      <c r="B56" t="s">
        <v>35</v>
      </c>
    </row>
    <row r="57" spans="1:2" x14ac:dyDescent="0.25">
      <c r="A57" t="s">
        <v>62</v>
      </c>
      <c r="B57" t="s">
        <v>63</v>
      </c>
    </row>
    <row r="58" spans="1:2" x14ac:dyDescent="0.25">
      <c r="A58" t="s">
        <v>54</v>
      </c>
      <c r="B58" t="s">
        <v>575</v>
      </c>
    </row>
    <row r="59" spans="1:2" x14ac:dyDescent="0.25">
      <c r="A59" t="s">
        <v>576</v>
      </c>
      <c r="B59" t="s">
        <v>577</v>
      </c>
    </row>
    <row r="60" spans="1:2" x14ac:dyDescent="0.25">
      <c r="A60" t="s">
        <v>356</v>
      </c>
      <c r="B60" t="s">
        <v>357</v>
      </c>
    </row>
    <row r="61" spans="1:2" x14ac:dyDescent="0.25">
      <c r="A61" t="s">
        <v>287</v>
      </c>
      <c r="B61" t="s">
        <v>578</v>
      </c>
    </row>
    <row r="62" spans="1:2" x14ac:dyDescent="0.25">
      <c r="A62" t="s">
        <v>282</v>
      </c>
      <c r="B62" t="s">
        <v>283</v>
      </c>
    </row>
    <row r="63" spans="1:2" x14ac:dyDescent="0.25">
      <c r="A63" t="s">
        <v>441</v>
      </c>
      <c r="B63" t="s">
        <v>450</v>
      </c>
    </row>
    <row r="64" spans="1:2" x14ac:dyDescent="0.25">
      <c r="A64" t="s">
        <v>443</v>
      </c>
      <c r="B64" t="s">
        <v>579</v>
      </c>
    </row>
    <row r="65" spans="1:2" x14ac:dyDescent="0.25">
      <c r="A65" t="s">
        <v>580</v>
      </c>
      <c r="B65" t="s">
        <v>581</v>
      </c>
    </row>
    <row r="66" spans="1:2" x14ac:dyDescent="0.25">
      <c r="A66" t="s">
        <v>46</v>
      </c>
      <c r="B66" t="s">
        <v>47</v>
      </c>
    </row>
    <row r="67" spans="1:2" x14ac:dyDescent="0.25">
      <c r="A67" t="s">
        <v>48</v>
      </c>
      <c r="B67" t="s">
        <v>49</v>
      </c>
    </row>
    <row r="68" spans="1:2" x14ac:dyDescent="0.25">
      <c r="A68" t="s">
        <v>36</v>
      </c>
      <c r="B68" t="s">
        <v>37</v>
      </c>
    </row>
    <row r="69" spans="1:2" x14ac:dyDescent="0.25">
      <c r="A69" t="s">
        <v>38</v>
      </c>
      <c r="B69" t="s">
        <v>39</v>
      </c>
    </row>
    <row r="70" spans="1:2" x14ac:dyDescent="0.25">
      <c r="A70" t="s">
        <v>64</v>
      </c>
      <c r="B70" t="s">
        <v>65</v>
      </c>
    </row>
    <row r="71" spans="1:2" x14ac:dyDescent="0.25">
      <c r="A71" t="s">
        <v>56</v>
      </c>
      <c r="B71" t="s">
        <v>582</v>
      </c>
    </row>
    <row r="72" spans="1:2" x14ac:dyDescent="0.25">
      <c r="A72" t="s">
        <v>583</v>
      </c>
      <c r="B72" t="s">
        <v>584</v>
      </c>
    </row>
    <row r="73" spans="1:2" x14ac:dyDescent="0.25">
      <c r="A73" t="s">
        <v>358</v>
      </c>
      <c r="B73" t="s">
        <v>359</v>
      </c>
    </row>
    <row r="74" spans="1:2" x14ac:dyDescent="0.25">
      <c r="A74" t="s">
        <v>360</v>
      </c>
      <c r="B74" t="s">
        <v>361</v>
      </c>
    </row>
    <row r="75" spans="1:2" x14ac:dyDescent="0.25">
      <c r="A75" t="s">
        <v>288</v>
      </c>
      <c r="B75" t="s">
        <v>585</v>
      </c>
    </row>
    <row r="76" spans="1:2" x14ac:dyDescent="0.25">
      <c r="A76" t="s">
        <v>284</v>
      </c>
      <c r="B76" t="s">
        <v>285</v>
      </c>
    </row>
    <row r="77" spans="1:2" x14ac:dyDescent="0.25">
      <c r="A77" t="s">
        <v>445</v>
      </c>
      <c r="B77" t="s">
        <v>449</v>
      </c>
    </row>
    <row r="78" spans="1:2" x14ac:dyDescent="0.25">
      <c r="A78" t="s">
        <v>447</v>
      </c>
      <c r="B78" t="s">
        <v>586</v>
      </c>
    </row>
    <row r="79" spans="1:2" x14ac:dyDescent="0.25">
      <c r="A79" t="s">
        <v>587</v>
      </c>
      <c r="B79" t="s">
        <v>588</v>
      </c>
    </row>
    <row r="80" spans="1:2" x14ac:dyDescent="0.25">
      <c r="A80" t="s">
        <v>86</v>
      </c>
      <c r="B80" t="s">
        <v>87</v>
      </c>
    </row>
    <row r="81" spans="1:2" x14ac:dyDescent="0.25">
      <c r="A81" t="s">
        <v>454</v>
      </c>
      <c r="B81" t="s">
        <v>455</v>
      </c>
    </row>
    <row r="82" spans="1:2" x14ac:dyDescent="0.25">
      <c r="A82" t="s">
        <v>362</v>
      </c>
      <c r="B82" t="s">
        <v>589</v>
      </c>
    </row>
    <row r="83" spans="1:2" x14ac:dyDescent="0.25">
      <c r="A83" t="s">
        <v>471</v>
      </c>
      <c r="B83" t="s">
        <v>472</v>
      </c>
    </row>
    <row r="84" spans="1:2" x14ac:dyDescent="0.25">
      <c r="A84" t="s">
        <v>473</v>
      </c>
      <c r="B84" t="s">
        <v>474</v>
      </c>
    </row>
    <row r="85" spans="1:2" x14ac:dyDescent="0.25">
      <c r="A85" t="s">
        <v>469</v>
      </c>
      <c r="B85" t="s">
        <v>470</v>
      </c>
    </row>
    <row r="86" spans="1:2" x14ac:dyDescent="0.25">
      <c r="A86" t="s">
        <v>104</v>
      </c>
      <c r="B86" t="s">
        <v>105</v>
      </c>
    </row>
    <row r="87" spans="1:2" x14ac:dyDescent="0.25">
      <c r="A87" t="s">
        <v>84</v>
      </c>
      <c r="B87" t="s">
        <v>590</v>
      </c>
    </row>
    <row r="88" spans="1:2" x14ac:dyDescent="0.25">
      <c r="A88" t="s">
        <v>82</v>
      </c>
      <c r="B88" t="s">
        <v>83</v>
      </c>
    </row>
    <row r="89" spans="1:2" x14ac:dyDescent="0.25">
      <c r="A89" t="s">
        <v>427</v>
      </c>
      <c r="B89" t="s">
        <v>591</v>
      </c>
    </row>
    <row r="90" spans="1:2" x14ac:dyDescent="0.25">
      <c r="A90" t="s">
        <v>428</v>
      </c>
      <c r="B90" t="s">
        <v>592</v>
      </c>
    </row>
    <row r="91" spans="1:2" x14ac:dyDescent="0.25">
      <c r="A91" t="s">
        <v>429</v>
      </c>
      <c r="B91" t="s">
        <v>593</v>
      </c>
    </row>
    <row r="92" spans="1:2" x14ac:dyDescent="0.25">
      <c r="A92" t="s">
        <v>325</v>
      </c>
      <c r="B92" t="s">
        <v>594</v>
      </c>
    </row>
    <row r="93" spans="1:2" x14ac:dyDescent="0.25">
      <c r="A93" t="s">
        <v>326</v>
      </c>
      <c r="B93" t="s">
        <v>595</v>
      </c>
    </row>
    <row r="94" spans="1:2" x14ac:dyDescent="0.25">
      <c r="A94" t="s">
        <v>327</v>
      </c>
      <c r="B94" t="s">
        <v>596</v>
      </c>
    </row>
    <row r="95" spans="1:2" x14ac:dyDescent="0.25">
      <c r="A95" t="s">
        <v>328</v>
      </c>
      <c r="B95" t="s">
        <v>597</v>
      </c>
    </row>
    <row r="96" spans="1:2" x14ac:dyDescent="0.25">
      <c r="A96" t="s">
        <v>329</v>
      </c>
      <c r="B96" t="s">
        <v>529</v>
      </c>
    </row>
    <row r="97" spans="1:2" x14ac:dyDescent="0.25">
      <c r="A97" t="s">
        <v>330</v>
      </c>
      <c r="B97" t="s">
        <v>530</v>
      </c>
    </row>
    <row r="98" spans="1:2" x14ac:dyDescent="0.25">
      <c r="A98" t="s">
        <v>331</v>
      </c>
      <c r="B98" t="s">
        <v>598</v>
      </c>
    </row>
    <row r="99" spans="1:2" x14ac:dyDescent="0.25">
      <c r="A99" t="s">
        <v>332</v>
      </c>
      <c r="B99" t="s">
        <v>599</v>
      </c>
    </row>
    <row r="100" spans="1:2" x14ac:dyDescent="0.25">
      <c r="A100" t="s">
        <v>333</v>
      </c>
      <c r="B100" t="s">
        <v>600</v>
      </c>
    </row>
    <row r="101" spans="1:2" x14ac:dyDescent="0.25">
      <c r="A101" t="s">
        <v>334</v>
      </c>
      <c r="B101" t="s">
        <v>534</v>
      </c>
    </row>
    <row r="102" spans="1:2" x14ac:dyDescent="0.25">
      <c r="A102" t="s">
        <v>335</v>
      </c>
      <c r="B102" t="s">
        <v>535</v>
      </c>
    </row>
    <row r="103" spans="1:2" x14ac:dyDescent="0.25">
      <c r="A103" t="s">
        <v>336</v>
      </c>
      <c r="B103" t="s">
        <v>536</v>
      </c>
    </row>
    <row r="104" spans="1:2" x14ac:dyDescent="0.25">
      <c r="A104" t="s">
        <v>337</v>
      </c>
      <c r="B104" t="s">
        <v>537</v>
      </c>
    </row>
    <row r="105" spans="1:2" x14ac:dyDescent="0.25">
      <c r="A105" t="s">
        <v>338</v>
      </c>
      <c r="B105" t="s">
        <v>538</v>
      </c>
    </row>
    <row r="106" spans="1:2" x14ac:dyDescent="0.25">
      <c r="A106" t="s">
        <v>339</v>
      </c>
      <c r="B106" t="s">
        <v>539</v>
      </c>
    </row>
    <row r="107" spans="1:2" x14ac:dyDescent="0.25">
      <c r="A107" t="s">
        <v>340</v>
      </c>
      <c r="B107" t="s">
        <v>540</v>
      </c>
    </row>
    <row r="108" spans="1:2" x14ac:dyDescent="0.25">
      <c r="A108" t="s">
        <v>341</v>
      </c>
      <c r="B108" t="s">
        <v>541</v>
      </c>
    </row>
    <row r="109" spans="1:2" x14ac:dyDescent="0.25">
      <c r="A109" t="s">
        <v>430</v>
      </c>
      <c r="B109" t="s">
        <v>431</v>
      </c>
    </row>
    <row r="110" spans="1:2" x14ac:dyDescent="0.25">
      <c r="A110" t="s">
        <v>432</v>
      </c>
      <c r="B110" t="s">
        <v>433</v>
      </c>
    </row>
    <row r="111" spans="1:2" x14ac:dyDescent="0.25">
      <c r="A111" t="s">
        <v>434</v>
      </c>
      <c r="B111" t="s">
        <v>435</v>
      </c>
    </row>
    <row r="112" spans="1:2" x14ac:dyDescent="0.25">
      <c r="A112" t="s">
        <v>502</v>
      </c>
      <c r="B112" t="s">
        <v>601</v>
      </c>
    </row>
    <row r="113" spans="1:2" x14ac:dyDescent="0.25">
      <c r="A113" t="s">
        <v>501</v>
      </c>
      <c r="B113" t="s">
        <v>602</v>
      </c>
    </row>
    <row r="114" spans="1:2" x14ac:dyDescent="0.25">
      <c r="A114" t="s">
        <v>475</v>
      </c>
      <c r="B114" t="s">
        <v>603</v>
      </c>
    </row>
    <row r="115" spans="1:2" x14ac:dyDescent="0.25">
      <c r="A115" t="s">
        <v>500</v>
      </c>
      <c r="B115" t="s">
        <v>604</v>
      </c>
    </row>
    <row r="116" spans="1:2" x14ac:dyDescent="0.25">
      <c r="A116" t="s">
        <v>476</v>
      </c>
      <c r="B116" t="s">
        <v>605</v>
      </c>
    </row>
    <row r="117" spans="1:2" x14ac:dyDescent="0.25">
      <c r="A117" t="s">
        <v>477</v>
      </c>
      <c r="B117" t="s">
        <v>606</v>
      </c>
    </row>
    <row r="118" spans="1:2" x14ac:dyDescent="0.25">
      <c r="A118" t="s">
        <v>478</v>
      </c>
      <c r="B118" t="s">
        <v>607</v>
      </c>
    </row>
    <row r="119" spans="1:2" x14ac:dyDescent="0.25">
      <c r="A119" t="s">
        <v>608</v>
      </c>
      <c r="B119" t="s">
        <v>609</v>
      </c>
    </row>
    <row r="120" spans="1:2" x14ac:dyDescent="0.25">
      <c r="A120" t="s">
        <v>482</v>
      </c>
      <c r="B120" t="s">
        <v>483</v>
      </c>
    </row>
    <row r="121" spans="1:2" x14ac:dyDescent="0.25">
      <c r="A121" t="s">
        <v>297</v>
      </c>
      <c r="B121" t="s">
        <v>558</v>
      </c>
    </row>
    <row r="122" spans="1:2" x14ac:dyDescent="0.25">
      <c r="A122" t="s">
        <v>296</v>
      </c>
      <c r="B122" t="s">
        <v>557</v>
      </c>
    </row>
    <row r="123" spans="1:2" x14ac:dyDescent="0.25">
      <c r="A123" t="s">
        <v>295</v>
      </c>
      <c r="B123" t="s">
        <v>556</v>
      </c>
    </row>
    <row r="124" spans="1:2" x14ac:dyDescent="0.25">
      <c r="A124" t="s">
        <v>484</v>
      </c>
      <c r="B124" t="s">
        <v>485</v>
      </c>
    </row>
    <row r="125" spans="1:2" x14ac:dyDescent="0.25">
      <c r="A125" t="s">
        <v>486</v>
      </c>
      <c r="B125" t="s">
        <v>487</v>
      </c>
    </row>
    <row r="126" spans="1:2" x14ac:dyDescent="0.25">
      <c r="A126" t="s">
        <v>488</v>
      </c>
      <c r="B126" t="s">
        <v>489</v>
      </c>
    </row>
    <row r="127" spans="1:2" x14ac:dyDescent="0.25">
      <c r="A127" t="s">
        <v>110</v>
      </c>
      <c r="B127" t="s">
        <v>555</v>
      </c>
    </row>
    <row r="128" spans="1:2" x14ac:dyDescent="0.25">
      <c r="A128" t="s">
        <v>112</v>
      </c>
      <c r="B128" t="s">
        <v>554</v>
      </c>
    </row>
    <row r="129" spans="1:2" x14ac:dyDescent="0.25">
      <c r="A129" t="s">
        <v>292</v>
      </c>
      <c r="B129" t="s">
        <v>542</v>
      </c>
    </row>
    <row r="130" spans="1:2" x14ac:dyDescent="0.25">
      <c r="A130" t="s">
        <v>106</v>
      </c>
      <c r="B130" t="s">
        <v>545</v>
      </c>
    </row>
    <row r="131" spans="1:2" x14ac:dyDescent="0.25">
      <c r="A131" t="s">
        <v>293</v>
      </c>
      <c r="B131" t="s">
        <v>543</v>
      </c>
    </row>
    <row r="132" spans="1:2" x14ac:dyDescent="0.25">
      <c r="A132" t="s">
        <v>294</v>
      </c>
      <c r="B132" t="s">
        <v>544</v>
      </c>
    </row>
    <row r="133" spans="1:2" x14ac:dyDescent="0.25">
      <c r="A133" t="s">
        <v>107</v>
      </c>
      <c r="B133" t="s">
        <v>546</v>
      </c>
    </row>
    <row r="134" spans="1:2" x14ac:dyDescent="0.25">
      <c r="A134" t="s">
        <v>108</v>
      </c>
      <c r="B134" t="s">
        <v>547</v>
      </c>
    </row>
    <row r="135" spans="1:2" x14ac:dyDescent="0.25">
      <c r="A135" t="s">
        <v>109</v>
      </c>
      <c r="B135" t="s">
        <v>548</v>
      </c>
    </row>
    <row r="136" spans="1:2" x14ac:dyDescent="0.25">
      <c r="A136" t="s">
        <v>456</v>
      </c>
      <c r="B136" t="s">
        <v>549</v>
      </c>
    </row>
    <row r="137" spans="1:2" x14ac:dyDescent="0.25">
      <c r="A137" t="s">
        <v>457</v>
      </c>
      <c r="B137" t="s">
        <v>550</v>
      </c>
    </row>
    <row r="138" spans="1:2" x14ac:dyDescent="0.25">
      <c r="A138" t="s">
        <v>458</v>
      </c>
      <c r="B138" t="s">
        <v>551</v>
      </c>
    </row>
    <row r="139" spans="1:2" x14ac:dyDescent="0.25">
      <c r="A139" t="s">
        <v>459</v>
      </c>
      <c r="B139" t="s">
        <v>552</v>
      </c>
    </row>
    <row r="140" spans="1:2" x14ac:dyDescent="0.25">
      <c r="A140" t="s">
        <v>111</v>
      </c>
      <c r="B140" t="s">
        <v>553</v>
      </c>
    </row>
    <row r="141" spans="1:2" x14ac:dyDescent="0.25">
      <c r="A141" t="s">
        <v>610</v>
      </c>
      <c r="B141" t="s">
        <v>611</v>
      </c>
    </row>
    <row r="142" spans="1:2" x14ac:dyDescent="0.25">
      <c r="A142" t="s">
        <v>612</v>
      </c>
      <c r="B142" t="s">
        <v>613</v>
      </c>
    </row>
    <row r="143" spans="1:2" x14ac:dyDescent="0.25">
      <c r="A143" t="s">
        <v>614</v>
      </c>
      <c r="B143" t="s">
        <v>615</v>
      </c>
    </row>
    <row r="144" spans="1:2" x14ac:dyDescent="0.25">
      <c r="A144" t="s">
        <v>96</v>
      </c>
      <c r="B144" t="s">
        <v>616</v>
      </c>
    </row>
    <row r="145" spans="1:2" x14ac:dyDescent="0.25">
      <c r="A145" t="s">
        <v>100</v>
      </c>
      <c r="B145" t="s">
        <v>617</v>
      </c>
    </row>
    <row r="146" spans="1:2" x14ac:dyDescent="0.25">
      <c r="A146" t="s">
        <v>400</v>
      </c>
      <c r="B146" t="s">
        <v>618</v>
      </c>
    </row>
    <row r="147" spans="1:2" x14ac:dyDescent="0.25">
      <c r="A147" t="s">
        <v>402</v>
      </c>
      <c r="B147" t="s">
        <v>403</v>
      </c>
    </row>
    <row r="148" spans="1:2" x14ac:dyDescent="0.25">
      <c r="A148" t="s">
        <v>404</v>
      </c>
      <c r="B148" t="s">
        <v>405</v>
      </c>
    </row>
    <row r="149" spans="1:2" x14ac:dyDescent="0.25">
      <c r="A149" t="s">
        <v>406</v>
      </c>
      <c r="B149" t="s">
        <v>619</v>
      </c>
    </row>
    <row r="150" spans="1:2" x14ac:dyDescent="0.25">
      <c r="A150" t="s">
        <v>66</v>
      </c>
      <c r="B150" t="s">
        <v>620</v>
      </c>
    </row>
    <row r="151" spans="1:2" x14ac:dyDescent="0.25">
      <c r="A151" t="s">
        <v>74</v>
      </c>
      <c r="B151" t="s">
        <v>621</v>
      </c>
    </row>
    <row r="152" spans="1:2" x14ac:dyDescent="0.25">
      <c r="A152" t="s">
        <v>70</v>
      </c>
      <c r="B152" t="s">
        <v>622</v>
      </c>
    </row>
    <row r="153" spans="1:2" x14ac:dyDescent="0.25">
      <c r="A153" t="s">
        <v>78</v>
      </c>
      <c r="B153" t="s">
        <v>623</v>
      </c>
    </row>
    <row r="154" spans="1:2" x14ac:dyDescent="0.25">
      <c r="A154" t="s">
        <v>97</v>
      </c>
      <c r="B154" t="s">
        <v>624</v>
      </c>
    </row>
    <row r="155" spans="1:2" x14ac:dyDescent="0.25">
      <c r="A155" t="s">
        <v>101</v>
      </c>
      <c r="B155" t="s">
        <v>625</v>
      </c>
    </row>
    <row r="156" spans="1:2" x14ac:dyDescent="0.25">
      <c r="A156" t="s">
        <v>408</v>
      </c>
      <c r="B156" t="s">
        <v>626</v>
      </c>
    </row>
    <row r="157" spans="1:2" x14ac:dyDescent="0.25">
      <c r="A157" t="s">
        <v>410</v>
      </c>
      <c r="B157" t="s">
        <v>411</v>
      </c>
    </row>
    <row r="158" spans="1:2" x14ac:dyDescent="0.25">
      <c r="A158" t="s">
        <v>412</v>
      </c>
      <c r="B158" t="s">
        <v>413</v>
      </c>
    </row>
    <row r="159" spans="1:2" x14ac:dyDescent="0.25">
      <c r="A159" t="s">
        <v>414</v>
      </c>
      <c r="B159" t="s">
        <v>627</v>
      </c>
    </row>
    <row r="160" spans="1:2" x14ac:dyDescent="0.25">
      <c r="A160" t="s">
        <v>67</v>
      </c>
      <c r="B160" t="s">
        <v>628</v>
      </c>
    </row>
    <row r="161" spans="1:2" x14ac:dyDescent="0.25">
      <c r="A161" t="s">
        <v>75</v>
      </c>
      <c r="B161" t="s">
        <v>629</v>
      </c>
    </row>
    <row r="162" spans="1:2" x14ac:dyDescent="0.25">
      <c r="A162" t="s">
        <v>71</v>
      </c>
      <c r="B162" t="s">
        <v>630</v>
      </c>
    </row>
    <row r="163" spans="1:2" x14ac:dyDescent="0.25">
      <c r="A163" t="s">
        <v>79</v>
      </c>
      <c r="B163" t="s">
        <v>631</v>
      </c>
    </row>
    <row r="164" spans="1:2" x14ac:dyDescent="0.25">
      <c r="A164" t="s">
        <v>98</v>
      </c>
      <c r="B164" t="s">
        <v>632</v>
      </c>
    </row>
    <row r="165" spans="1:2" x14ac:dyDescent="0.25">
      <c r="A165" t="s">
        <v>99</v>
      </c>
      <c r="B165" t="s">
        <v>633</v>
      </c>
    </row>
    <row r="166" spans="1:2" x14ac:dyDescent="0.25">
      <c r="A166" t="s">
        <v>102</v>
      </c>
      <c r="B166" t="s">
        <v>634</v>
      </c>
    </row>
    <row r="167" spans="1:2" x14ac:dyDescent="0.25">
      <c r="A167" t="s">
        <v>103</v>
      </c>
      <c r="B167" t="s">
        <v>635</v>
      </c>
    </row>
    <row r="168" spans="1:2" x14ac:dyDescent="0.25">
      <c r="A168" t="s">
        <v>416</v>
      </c>
      <c r="B168" t="s">
        <v>636</v>
      </c>
    </row>
    <row r="169" spans="1:2" x14ac:dyDescent="0.25">
      <c r="A169" t="s">
        <v>417</v>
      </c>
      <c r="B169" t="s">
        <v>637</v>
      </c>
    </row>
    <row r="170" spans="1:2" x14ac:dyDescent="0.25">
      <c r="A170" t="s">
        <v>419</v>
      </c>
      <c r="B170" t="s">
        <v>420</v>
      </c>
    </row>
    <row r="171" spans="1:2" x14ac:dyDescent="0.25">
      <c r="A171" t="s">
        <v>421</v>
      </c>
      <c r="B171" t="s">
        <v>422</v>
      </c>
    </row>
    <row r="172" spans="1:2" x14ac:dyDescent="0.25">
      <c r="A172" t="s">
        <v>423</v>
      </c>
      <c r="B172" t="s">
        <v>638</v>
      </c>
    </row>
    <row r="173" spans="1:2" x14ac:dyDescent="0.25">
      <c r="A173" t="s">
        <v>425</v>
      </c>
      <c r="B173" t="s">
        <v>639</v>
      </c>
    </row>
    <row r="174" spans="1:2" x14ac:dyDescent="0.25">
      <c r="A174" t="s">
        <v>68</v>
      </c>
      <c r="B174" t="s">
        <v>640</v>
      </c>
    </row>
    <row r="175" spans="1:2" x14ac:dyDescent="0.25">
      <c r="A175" t="s">
        <v>76</v>
      </c>
      <c r="B175" t="s">
        <v>641</v>
      </c>
    </row>
    <row r="176" spans="1:2" x14ac:dyDescent="0.25">
      <c r="A176" t="s">
        <v>72</v>
      </c>
      <c r="B176" t="s">
        <v>642</v>
      </c>
    </row>
    <row r="177" spans="1:2" x14ac:dyDescent="0.25">
      <c r="A177" t="s">
        <v>80</v>
      </c>
      <c r="B177" t="s">
        <v>643</v>
      </c>
    </row>
    <row r="178" spans="1:2" x14ac:dyDescent="0.25">
      <c r="A178" t="s">
        <v>69</v>
      </c>
      <c r="B178" t="s">
        <v>644</v>
      </c>
    </row>
    <row r="179" spans="1:2" x14ac:dyDescent="0.25">
      <c r="A179" t="s">
        <v>77</v>
      </c>
      <c r="B179" t="s">
        <v>645</v>
      </c>
    </row>
    <row r="180" spans="1:2" x14ac:dyDescent="0.25">
      <c r="A180" t="s">
        <v>73</v>
      </c>
      <c r="B180" t="s">
        <v>646</v>
      </c>
    </row>
    <row r="181" spans="1:2" x14ac:dyDescent="0.25">
      <c r="A181" t="s">
        <v>81</v>
      </c>
      <c r="B181" t="s">
        <v>647</v>
      </c>
    </row>
    <row r="182" spans="1:2" x14ac:dyDescent="0.25">
      <c r="A182" t="s">
        <v>490</v>
      </c>
      <c r="B182" t="s">
        <v>491</v>
      </c>
    </row>
    <row r="183" spans="1:2" x14ac:dyDescent="0.25">
      <c r="A183" t="s">
        <v>479</v>
      </c>
      <c r="B183" t="s">
        <v>492</v>
      </c>
    </row>
    <row r="184" spans="1:2" x14ac:dyDescent="0.25">
      <c r="A184" t="s">
        <v>480</v>
      </c>
      <c r="B184" t="s">
        <v>648</v>
      </c>
    </row>
    <row r="185" spans="1:2" x14ac:dyDescent="0.25">
      <c r="A185" t="s">
        <v>494</v>
      </c>
      <c r="B185" t="s">
        <v>495</v>
      </c>
    </row>
    <row r="186" spans="1:2" x14ac:dyDescent="0.25">
      <c r="A186" t="s">
        <v>481</v>
      </c>
      <c r="B186" t="s">
        <v>468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12</vt:i4>
      </vt:variant>
      <vt:variant>
        <vt:lpstr>Named Ranges</vt:lpstr>
      </vt:variant>
      <vt:variant>
        <vt:i4>6</vt:i4>
      </vt:variant>
    </vt:vector>
  </HeadingPairs>
  <TitlesOfParts>
    <vt:vector size="18" baseType="lpstr">
      <vt:lpstr>Go-Karts pricelist 2026</vt:lpstr>
      <vt:lpstr>Ride-Ons pricelist 2026</vt:lpstr>
      <vt:lpstr>Trampoline pricelist 2026</vt:lpstr>
      <vt:lpstr>Play pricelist 2026</vt:lpstr>
      <vt:lpstr>Sports pricelist 2026</vt:lpstr>
      <vt:lpstr>Pricelist Spareparts 2026</vt:lpstr>
      <vt:lpstr>$13.000 Container</vt:lpstr>
      <vt:lpstr>$15.000 Container</vt:lpstr>
      <vt:lpstr>Nieuw AX</vt:lpstr>
      <vt:lpstr>EAN</vt:lpstr>
      <vt:lpstr>Mastersheet</vt:lpstr>
      <vt:lpstr>Sheet1</vt:lpstr>
      <vt:lpstr>'$13.000 Container'!Print_Area</vt:lpstr>
      <vt:lpstr>'$15.000 Container'!Print_Area</vt:lpstr>
      <vt:lpstr>'Go-Karts pricelist 2026'!Print_Area</vt:lpstr>
      <vt:lpstr>'Play pricelist 2026'!Print_Area</vt:lpstr>
      <vt:lpstr>'Ride-Ons pricelist 2026'!Print_Area</vt:lpstr>
      <vt:lpstr>'Sports pricelist 2026'!Print_Area</vt:lpstr>
    </vt:vector>
  </TitlesOfParts>
  <Company>Berg Toys BV</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Willem Riezebosch</dc:creator>
  <cp:lastModifiedBy>Jürgen Walter</cp:lastModifiedBy>
  <cp:lastPrinted>2017-09-29T08:31:45Z</cp:lastPrinted>
  <dcterms:created xsi:type="dcterms:W3CDTF">2007-12-04T16:15:05Z</dcterms:created>
  <dcterms:modified xsi:type="dcterms:W3CDTF">2026-03-06T08:12:06Z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Jet Reports Drill Button Active">
    <vt:bool>false</vt:bool>
  </property>
  <property fmtid="{D5CDD505-2E9C-101B-9397-08002B2CF9AE}" pid="3" name="NeedsREVERT">
    <vt:lpwstr>FALSE</vt:lpwstr>
  </property>
</Properties>
</file>